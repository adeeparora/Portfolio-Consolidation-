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de by Side" sheetId="2" state="visible" r:id="rId4"/>
    <sheet name="Prices" sheetId="3" state="visible" r:id="rId5"/>
    <sheet name="Vidushi Malhotra" sheetId="4" state="visible" r:id="rId6"/>
    <sheet name="Dr Umesh Choudhry" sheetId="5" state="visible" r:id="rId7"/>
    <sheet name="Gautam" sheetId="6" state="visible" r:id="rId8"/>
    <sheet name="DA" sheetId="7" state="visible" r:id="rId9"/>
    <sheet name="_state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Distinct securities held across all portfolios (cash excluded)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Leave blank to use statement price. Type a number to override for all portfolios.</t>
        </r>
      </text>
    </comment>
  </commentList>
</comments>
</file>

<file path=xl/sharedStrings.xml><?xml version="1.0" encoding="utf-8"?>
<sst xmlns="http://schemas.openxmlformats.org/spreadsheetml/2006/main" count="707" uniqueCount="185">
  <si>
    <t xml:space="preserve">CONSOLIDATED PORTFOLIO SUMMARY – ALL MANAGED ACCOUNTS</t>
  </si>
  <si>
    <t xml:space="preserve">Built 09.10.2026 from 4 statements. All market values at NSE/BSE close of 08.10.2026 (Prices sheet); statement-reported values kept alongside for reconciliation.</t>
  </si>
  <si>
    <t xml:space="preserve">Portfolio</t>
  </si>
  <si>
    <t xml:space="preserve">Broker</t>
  </si>
  <si>
    <t xml:space="preserve">Holdings as of</t>
  </si>
  <si>
    <t xml:space="preserve">Statement price basis</t>
  </si>
  <si>
    <t xml:space="preserve"># Holdings</t>
  </si>
  <si>
    <t xml:space="preserve">Invested (₹)</t>
  </si>
  <si>
    <t xml:space="preserve">Market Value (₹)</t>
  </si>
  <si>
    <t xml:space="preserve">Unrealised P&amp;L (₹)</t>
  </si>
  <si>
    <t xml:space="preserve">P&amp;L %</t>
  </si>
  <si>
    <t xml:space="preserve">Share of Combined MV</t>
  </si>
  <si>
    <t xml:space="preserve">Stmt Invested (₹)</t>
  </si>
  <si>
    <t xml:space="preserve">Stmt Market Value (₹)</t>
  </si>
  <si>
    <t xml:space="preserve">Repricing Impact (₹)</t>
  </si>
  <si>
    <t xml:space="preserve">Vidushi Malhotra</t>
  </si>
  <si>
    <t xml:space="preserve">Zerodha</t>
  </si>
  <si>
    <t xml:space="preserve">04.10.2026 (+ trades of 05.10.2026)</t>
  </si>
  <si>
    <t xml:space="preserve">LTP 05.10.2026</t>
  </si>
  <si>
    <t xml:space="preserve">Dr Umesh Choudhry</t>
  </si>
  <si>
    <t xml:space="preserve">ICICI Direct</t>
  </si>
  <si>
    <t xml:space="preserve">04.10.2026 + trades of 09.10.2026</t>
  </si>
  <si>
    <t xml:space="preserve">NSE live 09.10.2026 ~09:45 IST</t>
  </si>
  <si>
    <t xml:space="preserve">Gautam</t>
  </si>
  <si>
    <t xml:space="preserve">HDFC Securities</t>
  </si>
  <si>
    <t xml:space="preserve">05.10.2026</t>
  </si>
  <si>
    <t xml:space="preserve">DA</t>
  </si>
  <si>
    <t xml:space="preserve">HDFC Securities + Kotak Securities</t>
  </si>
  <si>
    <t xml:space="preserve">Post 12.09.2026 trades (file dated 04.10.2026)</t>
  </si>
  <si>
    <t xml:space="preserve">As on statement (date not printed)</t>
  </si>
  <si>
    <t xml:space="preserve">COMBINED (ALL 4)</t>
  </si>
  <si>
    <t xml:space="preserve">Zerodha + ICICI Direct + HDFC Securities + HDFC Securities + Kotak Securities</t>
  </si>
  <si>
    <t xml:space="preserve">Statement totals as printed on each statement (inputs).</t>
  </si>
  <si>
    <t xml:space="preserve">TOP 10 COMBINED EXPOSURES – weight in each portfolio</t>
  </si>
  <si>
    <t xml:space="preserve">Rank</t>
  </si>
  <si>
    <t xml:space="preserve">Security</t>
  </si>
  <si>
    <t xml:space="preserve">Combined MV (₹)</t>
  </si>
  <si>
    <t xml:space="preserve">Combined Weight</t>
  </si>
  <si>
    <t xml:space="preserve">Held in (# a/cs)</t>
  </si>
  <si>
    <t xml:space="preserve">NOTES &amp; FLAGS</t>
  </si>
  <si>
    <t xml:space="preserve">• Pricing: every holding is valued at the NSE/BSE close of 08.10.2026 (Screener.in daily price series), one price per security across all accounts. 'Repricing Impact' = workbook value minus each statement's own market value.</t>
  </si>
  <si>
    <t xml:space="preserve">• No exchange close for the 4 ETFs (Nifty 50 BeES, Gold BeES, Liquid BeES, HDFC Gold ETF), the Utkarsh SFB rights entitlement, NEPC Agro and PSL Ltd – these stay at statement price (Liquid BeES holds near ₹1,000).</t>
  </si>
  <si>
    <t xml:space="preserve">• Gautam: NEPC Agro Foods (144 sh) and PSL Ltd (1,000 sh) have no cost or price on the statement – shown with quantity, carried at nil value.</t>
  </si>
  <si>
    <t xml:space="preserve">• Names aligned across statements: LTM Ltd = LTIMindtree (DA); Connplex Cinemas = Connplex Smart Theatres (DA); AFCOM = Afcom Holdings.</t>
  </si>
  <si>
    <t xml:space="preserve">• Trades blended into holdings and listed on each tab: Vidushi 05.10.2026 (3 buys, ₹9,889); Dr Umesh 09.10.2026 (13 buys, ₹5.01 L, incl. new Eicher Motors and Rategain).</t>
  </si>
  <si>
    <t xml:space="preserve">• Dr Umesh holds ₹36,000 uninvested cash at ICICI Direct – row 'Cash – ICICI Direct' at ₹1 per unit, counted in totals but not as a holding.</t>
  </si>
  <si>
    <t xml:space="preserve">• Statement invested/market totals reconcile to transcribed rows within ₹2 (rupee rounding on the statements).</t>
  </si>
  <si>
    <t xml:space="preserve">SIDE-BY-SIDE HOLDINGS – COMBINED AND BY PORTFOLIO</t>
  </si>
  <si>
    <t xml:space="preserve">All values at the common Ref Price (Prices sheet). Sorted by combined market value at build; '-' = not held. Amber price = only a stale statement price available.</t>
  </si>
  <si>
    <t xml:space="preserve">VIDUSHI MALHOTRA – Zerodha</t>
  </si>
  <si>
    <t xml:space="preserve">DR UMESH CHOUDHRY – ICICI Direct</t>
  </si>
  <si>
    <t xml:space="preserve">GAUTAM – HDFC Securities</t>
  </si>
  <si>
    <t xml:space="preserve">DA – HDFC Securities + Kotak Securities</t>
  </si>
  <si>
    <t xml:space="preserve">#</t>
  </si>
  <si>
    <t xml:space="preserve">Ref Price (₹)</t>
  </si>
  <si>
    <t xml:space="preserve">Price Basis</t>
  </si>
  <si>
    <t xml:space="preserve">Held in
(# a/cs)</t>
  </si>
  <si>
    <t xml:space="preserve">Qty</t>
  </si>
  <si>
    <t xml:space="preserve">Wtd Avg Cost (₹)</t>
  </si>
  <si>
    <t xml:space="preserve">Mkt Value (₹)</t>
  </si>
  <si>
    <t xml:space="preserve">P&amp;L (₹)</t>
  </si>
  <si>
    <t xml:space="preserve">Weight %</t>
  </si>
  <si>
    <t xml:space="preserve">TOTAL</t>
  </si>
  <si>
    <t xml:space="preserve">Bajaj Finance Ltd</t>
  </si>
  <si>
    <t xml:space="preserve">Titan Company Ltd</t>
  </si>
  <si>
    <t xml:space="preserve">Poonawalla Fincorp Ltd</t>
  </si>
  <si>
    <t xml:space="preserve">HDFC Bank Ltd</t>
  </si>
  <si>
    <t xml:space="preserve">AFCOM Holdings Ltd</t>
  </si>
  <si>
    <t xml:space="preserve">Connplex Cinemas Ltd</t>
  </si>
  <si>
    <t xml:space="preserve">Bajaj Housing Finance Ltd</t>
  </si>
  <si>
    <t xml:space="preserve">LTM Ltd (formerly LTIMindtree)</t>
  </si>
  <si>
    <t xml:space="preserve">Nippon India ETF Nifty 1D Rate Liquid BeES</t>
  </si>
  <si>
    <t xml:space="preserve">Fineotex Chemical Ltd</t>
  </si>
  <si>
    <t xml:space="preserve">Persistent Systems Ltd</t>
  </si>
  <si>
    <t xml:space="preserve">Tata Consultancy Services Ltd</t>
  </si>
  <si>
    <t xml:space="preserve">L&amp;T Technology Services Ltd</t>
  </si>
  <si>
    <t xml:space="preserve">Tata Elxsi Ltd</t>
  </si>
  <si>
    <t xml:space="preserve">Affle 3i Ltd</t>
  </si>
  <si>
    <t xml:space="preserve">Eicher Motors Ltd</t>
  </si>
  <si>
    <t xml:space="preserve">Reliance Industries Ltd</t>
  </si>
  <si>
    <t xml:space="preserve">Trent Ltd</t>
  </si>
  <si>
    <t xml:space="preserve">Avenue Supermarts (DMart) Ltd</t>
  </si>
  <si>
    <t xml:space="preserve">Vinati Organics Ltd</t>
  </si>
  <si>
    <t xml:space="preserve">Nestle India Ltd</t>
  </si>
  <si>
    <t xml:space="preserve">InterGlobe Aviation Ltd (IndiGo)</t>
  </si>
  <si>
    <t xml:space="preserve">Jio Financial Services Ltd</t>
  </si>
  <si>
    <t xml:space="preserve">Waaree Energies Ltd</t>
  </si>
  <si>
    <t xml:space="preserve">Rategain Travel Technologies Ltd</t>
  </si>
  <si>
    <t xml:space="preserve">HCL Technologies Ltd</t>
  </si>
  <si>
    <t xml:space="preserve">NCC Ltd</t>
  </si>
  <si>
    <t xml:space="preserve">Indus Towers Ltd</t>
  </si>
  <si>
    <t xml:space="preserve">Capacite Infraprojects Ltd</t>
  </si>
  <si>
    <t xml:space="preserve">Cash – ICICI Direct</t>
  </si>
  <si>
    <t xml:space="preserve">Moschip Technologies Ltd</t>
  </si>
  <si>
    <t xml:space="preserve">Godrej Consumer Products Ltd</t>
  </si>
  <si>
    <t xml:space="preserve">Vedanta Power (VEDPOWER)</t>
  </si>
  <si>
    <t xml:space="preserve">Vedant Fashions (Manyavar) Ltd</t>
  </si>
  <si>
    <t xml:space="preserve">Great Eastern Shipping Co Ltd</t>
  </si>
  <si>
    <t xml:space="preserve">International Gemmological Institute (India) Ltd</t>
  </si>
  <si>
    <t xml:space="preserve">Gujarat Energy</t>
  </si>
  <si>
    <t xml:space="preserve">Astec LifeSciences Ltd</t>
  </si>
  <si>
    <t xml:space="preserve">Indraprastha Gas Ltd</t>
  </si>
  <si>
    <t xml:space="preserve">RITES Ltd</t>
  </si>
  <si>
    <t xml:space="preserve">Indian Railway Finance Corp Ltd</t>
  </si>
  <si>
    <t xml:space="preserve">NTPC Green Energy Ltd</t>
  </si>
  <si>
    <t xml:space="preserve">GFL Ltd</t>
  </si>
  <si>
    <t xml:space="preserve">HUDCO Ltd</t>
  </si>
  <si>
    <t xml:space="preserve">Brigade Enterprises Ltd</t>
  </si>
  <si>
    <t xml:space="preserve">Syngene International Ltd</t>
  </si>
  <si>
    <t xml:space="preserve">Ambuja Cements Ltd</t>
  </si>
  <si>
    <t xml:space="preserve">Shriram Properties Ltd</t>
  </si>
  <si>
    <t xml:space="preserve">Vinyl Chemicals (India) Ltd</t>
  </si>
  <si>
    <t xml:space="preserve">Sonata Software Ltd</t>
  </si>
  <si>
    <t xml:space="preserve">HDFC Gold ETF</t>
  </si>
  <si>
    <t xml:space="preserve">Bagmane Prime Office REIT</t>
  </si>
  <si>
    <t xml:space="preserve">REC Ltd</t>
  </si>
  <si>
    <t xml:space="preserve">JK Tyre &amp; Industries Ltd</t>
  </si>
  <si>
    <t xml:space="preserve">Indian Energy Exchange Ltd</t>
  </si>
  <si>
    <t xml:space="preserve">Nippon India ETF Gold BeES</t>
  </si>
  <si>
    <t xml:space="preserve">Shakti Pumps (India) Ltd</t>
  </si>
  <si>
    <t xml:space="preserve">Ashoka Buildcon Ltd</t>
  </si>
  <si>
    <t xml:space="preserve">Cyient Ltd</t>
  </si>
  <si>
    <t xml:space="preserve">Bharti Airtel Ltd</t>
  </si>
  <si>
    <t xml:space="preserve">Utkarsh Small Finance Bank Ltd</t>
  </si>
  <si>
    <t xml:space="preserve">Orient Electric Ltd</t>
  </si>
  <si>
    <t xml:space="preserve">Orient Cement Ltd</t>
  </si>
  <si>
    <t xml:space="preserve">Utkarsh SFB – Rights Entitlement</t>
  </si>
  <si>
    <t xml:space="preserve">Nippon India ETF Nifty 50 BeES</t>
  </si>
  <si>
    <t xml:space="preserve">NEPC Agro Foods Ltd</t>
  </si>
  <si>
    <t xml:space="preserve">PSL Ltd (formerly PSL Holdings Ltd)</t>
  </si>
  <si>
    <t xml:space="preserve">COMMON PRICE SHEET</t>
  </si>
  <si>
    <t xml:space="preserve">One price per security, used to value every portfolio. Without an exchange close, the statement price is used, freshest statement first: Vidushi stmt – LTP 05.10 → Umesh stmt – NSE live 09.10 → Gautam stmt – 05.10 → DA stmt – older (stale).</t>
  </si>
  <si>
    <t xml:space="preserve">Column B holds NSE/BSE closes for 08.10.2026 (Screener.in). TO UPDATE: overwrite the yellow column B and the source text beside it — every portfolio and the combined view revalue. Blank B = statement price.</t>
  </si>
  <si>
    <t xml:space="preserve">Override Price (₹)
← type here</t>
  </si>
  <si>
    <t xml:space="preserve">Ref Price (₹)
(used everywhere)</t>
  </si>
  <si>
    <t xml:space="preserve">Vidushi Malhotra stmt (₹)</t>
  </si>
  <si>
    <t xml:space="preserve">Dr Umesh Choudhry stmt (₹)</t>
  </si>
  <si>
    <t xml:space="preserve">Gautam stmt (₹)</t>
  </si>
  <si>
    <t xml:space="preserve">DA stmt (₹)</t>
  </si>
  <si>
    <t xml:space="preserve">Override source</t>
  </si>
  <si>
    <t xml:space="preserve">Prev close 07.10 (₹)</t>
  </si>
  <si>
    <t xml:space="preserve">1-day chg %</t>
  </si>
  <si>
    <t xml:space="preserve">Close 08.10.2026 (Screener.in)</t>
  </si>
  <si>
    <t xml:space="preserve">Cash at par (₹1)</t>
  </si>
  <si>
    <t xml:space="preserve">No exchange close found – statement price used</t>
  </si>
  <si>
    <t xml:space="preserve">Holdings as of 04.10.2026 (+ trades of 05.10.2026). Statement prices: LTP 05.10.2026. Market value uses the common Ref Price from the Prices sheet so all portfolios are valued alike.</t>
  </si>
  <si>
    <t xml:space="preserve">Blue = figures from the statement (inputs). Black = formulas. Green = pulled from another sheet.</t>
  </si>
  <si>
    <t xml:space="preserve">Company</t>
  </si>
  <si>
    <t xml:space="preserve">No. of Shares</t>
  </si>
  <si>
    <t xml:space="preserve">Total Invested (₹)</t>
  </si>
  <si>
    <t xml:space="preserve">Portfolio Weight %</t>
  </si>
  <si>
    <t xml:space="preserve">Statement Mkt Value (₹)</t>
  </si>
  <si>
    <t xml:space="preserve">Statement Price (₹)</t>
  </si>
  <si>
    <t xml:space="preserve">Repricing Diff vs Stmt (₹)</t>
  </si>
  <si>
    <t xml:space="preserve">Note</t>
  </si>
  <si>
    <t xml:space="preserve">Trades executed 05.10.2026 (already blended into Wtd Avg Cost)</t>
  </si>
  <si>
    <t xml:space="preserve">Date / Time</t>
  </si>
  <si>
    <t xml:space="preserve">Type</t>
  </si>
  <si>
    <t xml:space="preserve">Instrument</t>
  </si>
  <si>
    <t xml:space="preserve">Fill Price (₹)</t>
  </si>
  <si>
    <t xml:space="preserve">Value (₹)</t>
  </si>
  <si>
    <t xml:space="preserve">2026-10-05 12:46:57</t>
  </si>
  <si>
    <t xml:space="preserve">BUY</t>
  </si>
  <si>
    <t xml:space="preserve">2026-10-05 12:46:33</t>
  </si>
  <si>
    <t xml:space="preserve">2026-10-05 12:46:00</t>
  </si>
  <si>
    <t xml:space="preserve">Net bought (buys − sells)</t>
  </si>
  <si>
    <t xml:space="preserve">Holdings as of 04.10.2026 + trades of 09.10.2026. Statement prices: NSE live 09.10.2026 ~09:45 IST. Market value uses the common Ref Price from the Prices sheet so all portfolios are valued alike.</t>
  </si>
  <si>
    <t xml:space="preserve">Buys on 09.10.2026 (derived: statement 09.10 minus 04.10; already blended into Wtd Avg Cost)</t>
  </si>
  <si>
    <t xml:space="preserve">09.10.2026</t>
  </si>
  <si>
    <t xml:space="preserve">SME</t>
  </si>
  <si>
    <t xml:space="preserve">Shown as LTM Limited</t>
  </si>
  <si>
    <t xml:space="preserve">Uninvested cash, valued at ₹1 per unit</t>
  </si>
  <si>
    <t xml:space="preserve">New position 09.10.2026</t>
  </si>
  <si>
    <t xml:space="preserve">Holdings as of 05.10.2026. Statement prices: 05.10.2026. Market value uses the common Ref Price from the Prices sheet so all portfolios are valued alike.</t>
  </si>
  <si>
    <t xml:space="preserve">Shown as AFCOM</t>
  </si>
  <si>
    <t xml:space="preserve">No cost or price on statement (marked *) – carried at nil</t>
  </si>
  <si>
    <t xml:space="preserve">Holdings as of Post 12.09.2026 trades (file dated 04.10.2026). Statement prices: As on statement (date not printed). Market value uses the common Ref Price from the Prices sheet so all portfolios are valued alike.</t>
  </si>
  <si>
    <t xml:space="preserve">HDFC Sec + Kotak</t>
  </si>
  <si>
    <t xml:space="preserve">Kotak Securities</t>
  </si>
  <si>
    <t xml:space="preserve">Shown as Connplex Smart Theatres Ltd</t>
  </si>
  <si>
    <t xml:space="preserve">Shown as Afcom Holdings Ltd</t>
  </si>
  <si>
    <t xml:space="preserve">Name as on statement</t>
  </si>
  <si>
    <t xml:space="preserve">Shown as LTIMindtree Ltd</t>
  </si>
  <si>
    <t xml:space="preserve">Rights entitlement – nil cost</t>
  </si>
  <si>
    <t xml:space="preserve">{"built": "09.10.2026", "close_date": "08.10.2026", "prev_date": "07.10.2026", "closes": {"Bajaj Finance Ltd": [955.95, 963.85], "Titan Company Ltd": [4359.5, 4377], "Poonawalla Fincorp Ltd": [437.9, 448.9], "HDFC Bank Ltd": [692.25, 702.75], "HCL Technologies Ltd": [1176.9, 1185], "Bajaj Housing Finance Ltd": [82.14, 84.08], "LTM Ltd (formerly LTIMindtree)": [3915, 3930], "Affle 3i Ltd": [1401.4, 1436], "L&amp;T Technology Services Ltd": [3176.6, 3252.1], "Fineotex Chemical Ltd": [55.99, 57.8], "AFCOM Holdings Ltd": [1432.05, 1499.4], "Connplex Cinemas Ltd": [245, 256.65], "Vinati Organics Ltd": [1120.8, 1142.3], "Persistent Systems Ltd": [5468, 5507], "Tata Consultancy Services Ltd": [2076, 2080.3], "Tata Elxsi Ltd": [2996, 3082.5], "Trent Ltd": [2876.3, 2890.3], "Avenue Supermarts (DMart) Ltd": [3585, 3636], "Nestle India Ltd": [1319, 1324], "Eicher Motors Ltd": [6767.5, 6960], "InterGlobe Aviation Ltd (IndiGo)": [4813.1, 4990], "Waaree Energies Ltd": [2317, 2401], "Rategain Travel Technologies Ltd": [830.95, 854.55], "International Gemmological Institute (India) Ltd": [307.05, 317.05], "Shriram Properties Ltd": [65.8, 68.05], "Bagmane Prime Office REIT": [106.52, 106.62], "Bharti Airtel Ltd": [1804.6, 1833.9], "Orient Electric Ltd": [162.95, 160.73], "Reliance Industries Ltd": [1178, 1207.7], "Jio Financial Services Ltd": [211, 216.44], "NCC Ltd": [119.93, 126.88], "Capacite Infraprojects Ltd": [177.19, 181.72], "Indus Towers Ltd": [373, 385.05], "Vedanta Power (VEDPOWER)": [31.89, 32.42], "Moschip Technologies Ltd": [186.71, 195.2], "Godrej Consumer Products Ltd": [865, 865.55], "Vedant Fashions (Manyavar) Ltd": [489.9, 500.2], "Indian Railway Finance Corp Ltd": [74.3, 76.15], "RITES Ltd": [195.85, 200.74], "Indraprastha Gas Ltd": [142.03, 146.35], "Great Eastern Shipping Co Ltd": [1529.7, 1567.9], "HUDCO Ltd": [156.99, 161.79], "NTPC Green Energy Ltd": [90.8, 88.51], "Brigade Enterprises Ltd": [547.2, 554.2], "GFL Ltd": [54.91, 57.83], "Sonata Software Ltd": [240.9, 248.1], "Syngene International Ltd": [346, 360.3], "Ambuja Cements Ltd": [341, 356.9], "Astec LifeSciences Ltd": [714.75, 748.2], "Gujarat Energy": [219.86, 228.48], "Indian Energy Exchange Ltd": [103.75, 105.85], "Vinyl Chemicals (India) Ltd": [209.8, 215.53], "JK Tyre &amp; Industries Ltd": [330.25, 333.4], "REC Ltd": [295, 298.9], "Shakti Pumps (India) Ltd": [426.65, 447.4], "Ashoka Buildcon Ltd": [101.4, 104.03], "Cyient Ltd": [1084.7, 1115], "Utkarsh Small Finance Bank Ltd": [13.64, 13.98], "Orient Cement Ltd": [110.08, 113.21]}, "screener_urls": {"Bajaj Finance Ltd": "/company/BAJFINANCE/consolidated/", "Titan Company Ltd": "/company/TITAN/consolidated/", "Poonawalla Fincorp Ltd": "/company/POONAWALLA/consolidated/", "HDFC Bank Ltd": "/company/HDFCBANK/consolidated/", "HCL Technologies Ltd": "/company/HCLTECH/consolidated/", "Bajaj Housing Finance Ltd": "/company/BAJAJHFL/", "LTM Ltd (formerly LTIMindtree)": "/company/LTM/", "Affle 3i Ltd": "/company/AFFLE/consolidated/", "L&amp;T Technology Services Ltd": "/company/LTTS/consolidated/", "Fineotex Chemical Ltd": "/company/FCL/consolidated/", "AFCOM Holdings Ltd": "/company/544224/", "Connplex Cinemas Ltd": "/company/CONNPLEX/", "Vinati Organics Ltd": "/company/VINATIORGA/", "Persistent Systems Ltd": "/company/PERSISTENT/consolidated/", "Tata Consultancy Services Ltd": "/company/TCS/consolidated/", "Tata Elxsi Ltd": "/company/TATAELXSI/", "Trent Ltd": "/company/TRENT/consolidated/", "Avenue Supermarts (DMart) Ltd": "/company/DMART/consolidated/", "Nestle India Ltd": "/company/NESTLEIND/", "Eicher Motors Ltd": "/company/EICHERMOT/consolidated/", "InterGlobe Aviation Ltd (IndiGo)": "/company/INDIGO/", "Waaree Energies Ltd": "/company/WAAREEENER/consolidated/", "Rategain Travel Technologies Ltd": "/company/RATEGAIN/consolidated/", "International Gemmological Institute (India) Ltd": "/company/IGIL/", "Shriram Properties Ltd": "/company/SHRIRAMPPS/consolidated/", "Bagmane Prime Office REIT": "/company/BAGMANE/consolidated/", "Bharti Airtel Ltd": "/company/BHARTIARTL/consolidated/", "Orient Electric Ltd": "/company/ORIENTELEC/", "Reliance Industries Ltd": "/company/RELIANCE/", "Jio Financial Services Ltd": "/company/JIOFIN/", "NCC Ltd": "/company/NCC/", "Capacite Infraprojects Ltd": "/company/CAPACITE/", "Indus Towers Ltd": "/company/INDUSTOWER/", "Vedanta Power (VEDPOWER)": "/company/VEDPOWER/consolidated/", "Moschip Technologies Ltd": "/company/MOSCHIP/", "Godrej Consumer Products Ltd": "/company/GODREJCP/", "Vedant Fashions (Manyavar) Ltd": "/company/MANYAVAR/", "Indian Railway Finance Corp Ltd": "/company/IRFC/", "RITES Ltd": "/company/RITES/", "Indraprastha Gas Ltd": "/company/IGL/", "Great Eastern Shipping Co Ltd": "/company/GESHIP/", "HUDCO Ltd": "/company/HUDCO/", "NTPC Green Energy Ltd": "/company/NTPCGREEN/", "Brigade Enterprises Ltd": "/company/BRIGADE/", "GFL Ltd": "/company/GFLLIMITED/", "Sonata Software Ltd": "/company/SONATSOFTW/", "Syngene International Ltd": "/company/SYNGENE/", "Ambuja Cements Ltd": "/company/AMBUJACEM/", "Astec LifeSciences Ltd": "/company/ASTEC/", "Gujarat Energy": "/company/GUJENERGY/consolidated/", "Indian Energy Exchange Ltd": "/company/IEX/", "Vinyl Chemicals (India) Ltd": "/company/VINYLINDIA/", "JK Tyre &amp; Industries Ltd": "/company/JKTYRE/", "REC Ltd": "/company/RECLTD/", "Shakti Pumps (India) Ltd": "/company/SHAKTIPUMP/", "Ashoka Buildcon Ltd": "/company/ASHOKA/", "Cyient Ltd": "/company/CYIENT/", "Utkarsh Small Finance Bank Ltd": "/company/UTKARSHBNK/", "Orient Cement Ltd": "/company/ORIENTCEM/"}, "notes": ["No exchange close for the 4 ETFs (Nifty 50 BeES, Gold BeES, Liquid BeES, HDFC Gold ETF), the Utkarsh SFB rights entitlement, NEPC Agro and PSL Ltd – these stay at statement price (Liquid BeES holds near ₹1,000).", "Gautam: NEPC Agro Foods (144 sh) and PSL Ltd (1,000 sh) have no cost or price on the statement – shown with quantity, carried at nil value.", "Names aligned across statements: LTM Ltd = LTIMindtree (DA); Connplex Cinemas = Connplex Smart Theatres (DA); AFCOM = Afcom Holdings.", "Trades blended into holdings and listed on each tab: Vidushi 05.10.2026 (3 buys, ₹9,889); Dr Umesh 09.10.2026 (13 buys, ₹5.01 L, incl. new Eicher Motors and Rategain).", "Dr Umesh holds ₹36,000 uninvested cash at ICICI Direct – row 'Cash – ICICI Direct' at ₹1 per unit, counted in totals but not as a holding.", "Statement invested/market totals reconcile to transcribed rows within ₹2 (rupee rounding on the statements)."], "portfolios": [{"key": "Vidushi", "tab": "Vidushi Malhotra", "name": "Vidushi Malhotra", "broker": "Zerodha", "holdings_date": "04.10.2026 (+ trades of 05.10.2026)", "price_basis": "LTP 05.10.2026", "stmt_invested": 201361, "stmt_mv": 230319, "basis_label": "Vidushi stmt – LTP 05.10", "stale_prices": false, "rows": [["Bajaj Finance Ltd", "Zerodha", 121, 92928, 117842, ""], ["Titan Company Ltd", "Zerodha", 9, 28441, 41130, ""], ["Poonawalla Fincorp Ltd", "Zerodha", 38, 17192, 17123, ""], ["HDFC Bank Ltd", "Zerodha", 21, 16598, 14863, ""], ["HCL Technologies Ltd", "Zerodha", 9, 10284, 10815, ""], ["Bajaj Housing Finance Ltd", "Zerodha", 121, 13968, 9898, ""], ["LTM Ltd (formerly LTIMindtree)", "Zerodha", 2, 10198, 7972, ""], ["Affle 3i Ltd", "Zerodha", 3, 4954, 4370, ""], ["L&amp;T Technology Services Ltd", "Zerodha", 1, 4607, 3219, ""], ["Fineotex Chemical Ltd", "Zerodha", 50, 1877, 2711, ""], ["Nippon India ETF Nifty 50 BeES", "Zerodha", 1, 251, 257, ""], ["Nippon India ETF Gold BeES", "Zerodha", 1, 63, 121, ""]], "trades_title": "Trades executed 05.10.2026 (already blended into Wtd Avg Cost)", "trades": [["2026-10-05 12:46:57", "BUY", "Poonawalla Fincorp Ltd", 8, 451, 3606], ["2026-10-05 12:46:33", "BUY", "HDFC Bank Ltd", 2, 707, 1414], ["2026-10-05 12:46:00", "BUY", "Bajaj Finance Ltd", 5, 974, 4869]]}, {"key": "Umesh", "tab": "Dr Umesh Choudhry", "name": "Dr Umesh Choudhry", "broker": "ICICI Direct", "holdings_date": "04.10.2026 + trades of 09.10.2026", "price_basis": "NSE live 09.10.2026 ~09:45 IST", "stmt_invested": 5222229.03, "stmt_mv": 5467267.23, "basis_label": "Umesh stmt – NSE live 09.10", "stale_prices": false, "rows": [["Bajaj Finance Ltd", "ICICI Direct", 2412, 1930286, 2318776, ""], ["Titan Company Ltd", "ICICI Direct", 172, 617467, 751984, ""], ["HDFC Bank Ltd", "ICICI Direct", 673, 599414, 472547, ""], ["AFCOM Holdings Ltd", "ICICI Direct", 240, 203179, 342000, "SME"], ["Poonawalla Fincorp Ltd", "ICICI Direct", 769, 346990, 340513, ""], ["Connplex Cinemas Ltd", "ICICI Direct", 800, 183992, 196000, "SME"], ["Bajaj Housing Finance Ltd", "ICICI Direct", 2198, 255800, 180698, ""], ["LTM Ltd (formerly LTIMindtree)", "ICICI Direct", 37, 216602, 149365, "Shown as LTM Limited"], ["Fineotex Chemical Ltd", "ICICI Direct", 2370, 94397, 133502, ""], ["L&amp;T Technology Services Ltd", "ICICI Direct", 32, 151039, 102480, ""], ["Persistent Systems Ltd", "ICICI Direct", 17, 86733, 95634, ""], ["Vinati Organics Ltd", "ICICI Direct", 82, 160741, 92480, ""], ["Tata Elxsi Ltd", "ICICI Direct", 22, 86278, 67571, ""], ["Affle 3i Ltd", "ICICI Direct", 47, 72448, 66876, ""], ["Tata Consultancy Services Ltd", "ICICI Direct", 29, 122603, 63165, ""], ["Eicher Motors Ltd", "ICICI Direct", 3, 20717, 20805, "New position 09.10.2026"], ["Trent Ltd", "ICICI Direct", 5, 14549, 14550, ""], ["Avenue Supermarts (DMart) Ltd", "ICICI Direct", 4, 14740, 14270, ""], ["Rategain Travel Technologies Ltd", "ICICI Direct", 8, 6760, 6727, "New position 09.10.2026"], ["Nestle India Ltd", "ICICI Direct", 1, 1494, 1325, ""], ["Cash – ICICI Direct", "ICICI Direct", 36000, 36000, 36000, "Uninvested cash, valued at ₹1 per unit"]], "trades_title": "Buys on 09.10.2026 (derived: statement 09.10 minus 04.10; already blended into Wtd Avg Cost)", "trades": [["09.10.2026", "BUY", "Bajaj Finance Ltd", 237, 962.39, 228087], ["09.10.2026", "BUY", "Poonawalla Fincorp Ltd", 176, 442.07, 77804], ["09.10.2026", "BUY", "HDFC Bank Ltd", 55, 701.55, 38585], ["09.10.2026", "BUY", "Titan Company Ltd", 6, 4375.0, 26250], ["09.10.2026", "BUY", "Bajaj Housing Finance Ltd", 280, 82.46, 23089], ["09.10.2026", "BUY", "Persistent Systems Ltd", 4, 5588.0, 22352], ["09.10.2026", "BUY", "Tata Elxsi Ltd", 7, 3081.0, 21567], ["09.10.2026", "BUY", "Eicher Motors Ltd", 3, 6905.67, 20717], ["09.10.2026", "BUY", "Avenue Supermarts (DMart) Ltd", 3, 3560.33, 10681], ["09.10.2026", "BUY", "Affle 3i Ltd", 7, 1415.0, 9905], ["09.10.2026", "BUY", "Trent Ltd", 3, 2885.0, 8655], ["09.10.2026", "BUY", "Rategain Travel Technologies Ltd", 8, 845.0, 6760], ["09.10.2026", "BUY", "L&amp;T Technology Services Ltd", 2, 3185.0, 6370]]}, {"key": "Gautam", "tab": "Gautam", "name": "Gautam", "broker": "HDFC Securities", "holdings_date": "05.10.2026", "price_basis": "05.10.2026", "stmt_invested": 5000484.73, "stmt_mv": 4762080, "basis_label": "Gautam stmt – 05.10", "stale_prices": false, "rows": [["Bajaj Finance Ltd", "HDFC Securities", 1664, 1691323, 1632384, ""], ["Poonawalla Fincorp Ltd", "HDFC Securities", 1001, 470470, 443443, ""], ["Nippon India ETF Nifty 1D Rate Liquid BeES", "HDFC Securities", 300, 300000, 300000, ""], ["HDFC Bank Ltd", "HDFC Securities", 390, 280566, 275730, ""], ["LTM Ltd (formerly LTIMindtree)", "HDFC Securities", 60, 273840, 240420, "Shown as LTM Limited"], ["Connplex Cinemas Ltd", "HDFC Securities", 800, 211200, 196800, ""], ["Tata Consultancy Services Ltd", "HDFC Securities", 92, 210588, 194672, ""], ["Titan Company Ltd", "HDFC Securities", 41, 197804, 185156, ""], ["AFCOM Holdings Ltd", "HDFC Securities", 120, 199920, 177720, "Shown as AFCOM"], ["Eicher Motors Ltd", "HDFC Securities", 17, 126249, 117640, ""], ["Bajaj Housing Finance Ltd", "HDFC Securities", 1326, 110708, 109528, ""], ["Tata Elxsi Ltd", "HDFC Securities", 34, 113506, 105740, ""], ["InterGlobe Aviation Ltd (IndiGo)", "HDFC Securities", 20, 103860, 98600, ""], ["Persistent Systems Ltd", "HDFC Securities", 16, 88018, 88704, ""], ["Affle 3i Ltd", "HDFC Securities", 58, 95198, 84100, ""], ["L&amp;T Technology Services Ltd", "HDFC Securities", 25, 84761, 81700, ""], ["Avenue Supermarts (DMart) Ltd", "HDFC Securities", 21, 80409, 80073, ""], ["Trent Ltd", "HDFC Securities", 28, 77644, 72240, ""], ["Waaree Energies Ltd", "HDFC Securities", 24, 61261, 56160, ""], ["Rategain Travel Technologies Ltd", "HDFC Securities", 63, 52533, 52983, ""], ["Fineotex Chemical Ltd", "HDFC Securities", 692, 39486, 38544, ""], ["Nestle India Ltd", "HDFC Securities", 22, 27683, 28776, ""], ["International Gemmological Institute (India) Ltd", "HDFC Securities", 80, 25126, 25120, ""], ["Shriram Properties Ltd", "HDFC Securities", 250, 19250, 16850, ""], ["Bagmane Prime Office REIT", "HDFC Securities", 150, 16050, 16050, ""], ["Nippon India ETF Gold BeES", "HDFC Securities", 121, 13310, 14883, ""], ["Vinati Organics Ltd", "HDFC Securities", 10, 11941, 12080, ""], ["Bharti Airtel Ltd", "HDFC Securities", 5, 9610, 8705, ""], ["Orient Electric Ltd", "HDFC Securities", 25, 4500, 3850, ""], ["HDFC Gold ETF", "HDFC Securities", 27, 3672, 3429, ""], ["NEPC Agro Foods Ltd", "HDFC Securities", 144, null, null, "No cost or price on statement (marked *) – carried at nil"], ["PSL Ltd (formerly PSL Holdings Ltd)", "HDFC Securities", 1000, null, null, "No cost or price on statement (marked *) – carried at nil"]]}, {"key": "DA", "tab": "DA", "name": "DA", "broker": "HDFC Securities + Kotak Securities", "holdings_date": "Post 12.09.2026 trades (file dated 04.10.2026)", "price_basis": "As on statement (date not printed)", "stmt_invested": 4364995, "stmt_mv": 4141021, "basis_label": "DA stmt – older", "stale_prices": true, "rows": [["Bajaj Finance Ltd", "HDFC Sec + Kotak", 915, 964117, 946110, ""], ["Poonawalla Fincorp Ltd", "HDFC Sec + Kotak", 792, 376533, 352440, ""], ["Titan Company Ltd", "HDFC Sec + Kotak", 59, 260113, 295590, ""], ["HDFC Bank Ltd", "HDFC Sec + Kotak", 337, 250961, 238596, ""], ["Reliance Industries Ltd", "HDFC Securities", 146, 198998, 183668, ""], ["AFCOM Holdings Ltd", "Kotak Securities", 120, 169080, 184800, "Shown as Afcom Holdings Ltd"], ["Connplex Cinemas Ltd", "Kotak Securities", 800, 180000, 212000, "Shown as Connplex Smart Theatres Ltd"], ["Bajaj Housing Finance Ltd", "HDFC Sec + Kotak", 1732, 172732, 145488, ""], ["Persistent Systems Ltd", "HDFC Sec + Kotak", 18, 91873, 99288, ""], ["Jio Financial Services Ltd", "HDFC Securities", 374, 94996, 86020, ""], ["Fineotex Chemical Ltd", "HDFC Securities", 2030, 69020, 117131, ""], ["L&amp;T Technology Services Ltd", "HDFC Sec + Kotak", 24, 85824, 80088, ""], ["Affle 3i Ltd", "HDFC Sec + Kotak", 45, 74914, 70560, ""], ["Nestle India Ltd", "Kotak Securities", 52, 65780, 71916, ""], ["Tata Elxsi Ltd", "HDFC Sec + Kotak", 20, 74720, 67660, ""], ["Eicher Motors Ltd", "HDFC Sec + Kotak", 8, 64347, 60240, ""], ["NCC Ltd", "HDFC Securities", 399, 70623, 56259, ""], ["Trent Ltd", "HDFC Sec + Kotak", 18, 53931, 50436, ""], ["Avenue Supermarts (DMart) Ltd", "HDFC Sec + Kotak", 13, 51822, 47944, ""], ["Capacite Infraprojects Ltd", "HDFC Securities", 230, 64400, 44160, ""], ["HCL Technologies Ltd", "Kotak Securities", 33, 47223, 39798, ""], ["Indus Towers Ltd", "Kotak Securities", 111, 45510, 43068, ""], ["Vedanta Power (VEDPOWER)", "Kotak Securities", 1072, 46096, 36448, ""], ["Moschip Technologies Ltd", "Kotak Securities", 187, 41888, 39270, ""], ["Godrej Consumer Products Ltd", "HDFC Securities", 40, 41520, 34600, ""], ["Vedant Fashions (Manyavar) Ltd", "HDFC Securities", 66, 43428, 38412, ""], ["Tata Consultancy Services Ltd", "HDFC Sec + Kotak", 13, 31148, 28613, ""], ["Indian Railway Finance Corp Ltd", "Kotak Securities", 302, 48018, 24462, ""], ["RITES Ltd", "Kotak Securities", 116, 29696, 24244, ""], ["Indraprastha Gas Ltd", "Kotak Securities", 166, 33864, 25232, ""], ["Great Eastern Shipping Co Ltd", "HDFC Sec + Kotak", 19, 26923, 26828, ""], ["HUDCO Ltd", "Kotak Securities", 124, 28024, 21452, ""], ["LTM Ltd (formerly LTIMindtree)", "HDFC Sec + Kotak", 5, 23660, 21375, "Shown as LTIMindtree Ltd"], ["NTPC Green Energy Ltd", "Kotak Securities", 245, 27195, 21315, ""], ["Brigade Enterprises Ltd", "Kotak Securities", 35, 24710, 22365, ""], ["Waaree Energies Ltd", "HDFC Securities", 8, 14064, 21000, ""], ["GFL Ltd", "Kotak Securities", 380, 18620, 22040, ""], ["Sonata Software Ltd", "Kotak Securities", 67, 28140, 17822, ""], ["Syngene International Ltd", "Kotak Securities", 51, 30804, 19533, ""], ["Ambuja Cements Ltd", "Kotak Securities", 49, 25823, 19208, ""], ["Astec LifeSciences Ltd", "Kotak Securities", 33, 27093, 23100, ""], ["Gujarat Energy", "Kotak Securities", 110, 43010, 26620, "Name as on statement"], ["Indian Energy Exchange Ltd", "Kotak Securities", 150, 24000, 17100, ""], ["Vinyl Chemicals (India) Ltd", "HDFC Securities", 78, 30030, 17160, ""], ["JK Tyre &amp; Industries Ltd", "Kotak Securities", 48, 19392, 16992, ""], ["REC Ltd", "Kotak Securities", 54, 27540, 16902, ""], ["Shakti Pumps (India) Ltd", "Kotak Securities", 33, 17886, 16302, ""], ["Ashoka Buildcon Ltd", "Kotak Securities", 132, 23496, 15048, ""], ["HDFC Gold ETF", "HDFC Securities", 99, 12177, 12771, ""], ["Cyient Ltd", "Kotak Securities", 9, 12114, 9531, ""], ["Utkarsh Small Finance Bank Ltd", "HDFC Securities", 560, 30800, 8120, ""], ["Orient Cement Ltd", "Kotak Securities", 20, 6320, 2520, ""], ["Utkarsh SFB – Rights Entitlement", "HDFC Securities", 344, 0, 1376, "Rights entitlement – nil cost"]]}]}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</si>
</sst>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#,##0;[RED]\(#,##0\);\-"/>
    <numFmt numFmtId="167" formatCode="0.0%;[RED]\(0.0%\);\-"/>
    <numFmt numFmtId="168" formatCode="0&quot; stocks&quot;"/>
    <numFmt numFmtId="169" formatCode="#,##0.00;[RED]\(#,##0.00\);\-"/>
    <numFmt numFmtId="170" formatCode="#,##0;\(#,##0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sz val="8"/>
      <color rgb="FF008000"/>
      <name val="Arial"/>
      <family val="0"/>
      <charset val="1"/>
    </font>
    <font>
      <sz val="10"/>
      <name val="Arial"/>
      <family val="2"/>
    </font>
    <font>
      <b val="true"/>
      <sz val="9"/>
      <color rgb="FFC0000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DCE6F1"/>
        <bgColor rgb="FFD4EFDF"/>
      </patternFill>
    </fill>
    <fill>
      <patternFill patternType="solid">
        <fgColor rgb="FFE8DAEF"/>
        <bgColor rgb="FFD9D9D9"/>
      </patternFill>
    </fill>
    <fill>
      <patternFill patternType="solid">
        <fgColor rgb="FFF5D5D0"/>
        <bgColor rgb="FFE8DAEF"/>
      </patternFill>
    </fill>
    <fill>
      <patternFill patternType="solid">
        <fgColor rgb="FFFBEBD0"/>
        <bgColor rgb="FFFCE4B6"/>
      </patternFill>
    </fill>
    <fill>
      <patternFill patternType="solid">
        <fgColor rgb="FF0B5345"/>
        <bgColor rgb="FF1F3864"/>
      </patternFill>
    </fill>
    <fill>
      <patternFill patternType="solid">
        <fgColor rgb="FF4A235A"/>
        <bgColor rgb="FF404040"/>
      </patternFill>
    </fill>
    <fill>
      <patternFill patternType="solid">
        <fgColor rgb="FF7B241C"/>
        <bgColor rgb="FF800000"/>
      </patternFill>
    </fill>
    <fill>
      <patternFill patternType="solid">
        <fgColor rgb="FF7E5109"/>
        <bgColor rgb="FF595959"/>
      </patternFill>
    </fill>
    <fill>
      <patternFill patternType="solid">
        <fgColor rgb="FFD9D9D9"/>
        <bgColor rgb="FFE8DAEF"/>
      </patternFill>
    </fill>
    <fill>
      <patternFill patternType="solid">
        <fgColor rgb="FFD4EFDF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7F7F7F"/>
      </top>
      <bottom style="medium">
        <color rgb="FF7F7F7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1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B6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5109"/>
      <rgbColor rgb="FF800080"/>
      <rgbColor rgb="FF008080"/>
      <rgbColor rgb="FFBFBFBF"/>
      <rgbColor rgb="FF7F7F7F"/>
      <rgbColor rgb="FF9999FF"/>
      <rgbColor rgb="FF993366"/>
      <rgbColor rgb="FFFBEBD0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FDF"/>
      <rgbColor rgb="FFFCE4B6"/>
      <rgbColor rgb="FFE8DAEF"/>
      <rgbColor rgb="FFFF99CC"/>
      <rgbColor rgb="FFCC99FF"/>
      <rgbColor rgb="FFF5D5D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B5345"/>
      <rgbColor rgb="FF333300"/>
      <rgbColor rgb="FF7B241C"/>
      <rgbColor rgb="FF993366"/>
      <rgbColor rgb="FF4A235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11" min="6" style="0" width="14"/>
    <col collapsed="false" customWidth="true" hidden="false" outlineLevel="0" max="12" min="12" style="0" width="15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31.5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</row>
    <row r="6" customFormat="false" ht="15" hidden="false" customHeight="false" outlineLevel="0" collapsed="false">
      <c r="A6" s="4" t="s">
        <v>15</v>
      </c>
      <c r="B6" s="5" t="s">
        <v>16</v>
      </c>
      <c r="C6" s="5" t="s">
        <v>17</v>
      </c>
      <c r="D6" s="5" t="s">
        <v>18</v>
      </c>
      <c r="E6" s="6" t="n">
        <f aca="false">COUNTIFS('Vidushi Malhotra'!$D$7:$D$300,"&gt;0",'Vidushi Malhotra'!$B$7:$B$300,"&lt;&gt;Cash*")</f>
        <v>12</v>
      </c>
      <c r="F6" s="7" t="n">
        <f aca="false">'Vidushi Malhotra'!E6</f>
        <v>201361</v>
      </c>
      <c r="G6" s="7" t="n">
        <f aca="false">'Vidushi Malhotra'!H6</f>
        <v>225002.24</v>
      </c>
      <c r="H6" s="8" t="n">
        <f aca="false">G6-F6</f>
        <v>23641.24</v>
      </c>
      <c r="I6" s="9" t="n">
        <f aca="false">IF(F6&gt;0,H6/F6,"")</f>
        <v>0.117407243706577</v>
      </c>
      <c r="J6" s="9" t="n">
        <f aca="false">IF($G$10=0,"",G6/$G$10)</f>
        <v>0.0158417664418299</v>
      </c>
      <c r="K6" s="10" t="n">
        <v>201361</v>
      </c>
      <c r="L6" s="10" t="n">
        <v>230319</v>
      </c>
      <c r="M6" s="8" t="n">
        <f aca="false">G6-L6</f>
        <v>-5316.75999999998</v>
      </c>
    </row>
    <row r="7" customFormat="false" ht="15" hidden="false" customHeight="false" outlineLevel="0" collapsed="false">
      <c r="A7" s="11" t="s">
        <v>19</v>
      </c>
      <c r="B7" s="5" t="s">
        <v>20</v>
      </c>
      <c r="C7" s="5" t="s">
        <v>21</v>
      </c>
      <c r="D7" s="5" t="s">
        <v>22</v>
      </c>
      <c r="E7" s="6" t="n">
        <f aca="false">COUNTIFS('Dr Umesh Choudhry'!$D$7:$D$300,"&gt;0",'Dr Umesh Choudhry'!$B$7:$B$300,"&lt;&gt;Cash*")</f>
        <v>20</v>
      </c>
      <c r="F7" s="7" t="n">
        <f aca="false">'Dr Umesh Choudhry'!E6</f>
        <v>5222229</v>
      </c>
      <c r="G7" s="7" t="n">
        <f aca="false">'Dr Umesh Choudhry'!H6</f>
        <v>5427486.97</v>
      </c>
      <c r="H7" s="8" t="n">
        <f aca="false">G7-F7</f>
        <v>205257.97</v>
      </c>
      <c r="I7" s="9" t="n">
        <f aca="false">IF(F7&gt;0,H7/F7,"")</f>
        <v>0.0393046666471347</v>
      </c>
      <c r="J7" s="9" t="n">
        <f aca="false">IF($G$10=0,"",G7/$G$10)</f>
        <v>0.382133888732907</v>
      </c>
      <c r="K7" s="10" t="n">
        <v>5222229.03</v>
      </c>
      <c r="L7" s="10" t="n">
        <v>5467267.23</v>
      </c>
      <c r="M7" s="8" t="n">
        <f aca="false">G7-L7</f>
        <v>-39780.2600000007</v>
      </c>
    </row>
    <row r="8" customFormat="false" ht="15" hidden="false" customHeight="false" outlineLevel="0" collapsed="false">
      <c r="A8" s="12" t="s">
        <v>23</v>
      </c>
      <c r="B8" s="5" t="s">
        <v>24</v>
      </c>
      <c r="C8" s="5" t="s">
        <v>25</v>
      </c>
      <c r="D8" s="5" t="s">
        <v>25</v>
      </c>
      <c r="E8" s="6" t="n">
        <f aca="false">COUNTIFS(Gautam!$D$7:$D$300,"&gt;0",Gautam!$B$7:$B$300,"&lt;&gt;Cash*")</f>
        <v>32</v>
      </c>
      <c r="F8" s="7" t="n">
        <f aca="false">Gautam!E6</f>
        <v>5000486</v>
      </c>
      <c r="G8" s="7" t="n">
        <f aca="false">Gautam!H6</f>
        <v>4672678.12</v>
      </c>
      <c r="H8" s="8" t="n">
        <f aca="false">G8-F8</f>
        <v>-327807.88</v>
      </c>
      <c r="I8" s="9" t="n">
        <f aca="false">IF(F8&gt;0,H8/F8,"")</f>
        <v>-0.0655552040341679</v>
      </c>
      <c r="J8" s="9" t="n">
        <f aca="false">IF($G$10=0,"",G8/$G$10)</f>
        <v>0.328989948877347</v>
      </c>
      <c r="K8" s="10" t="n">
        <v>5000484.73</v>
      </c>
      <c r="L8" s="10" t="n">
        <v>4762080</v>
      </c>
      <c r="M8" s="8" t="n">
        <f aca="false">G8-L8</f>
        <v>-89401.8799999999</v>
      </c>
    </row>
    <row r="9" customFormat="false" ht="15" hidden="false" customHeight="false" outlineLevel="0" collapsed="false">
      <c r="A9" s="13" t="s">
        <v>26</v>
      </c>
      <c r="B9" s="5" t="s">
        <v>27</v>
      </c>
      <c r="C9" s="5" t="s">
        <v>28</v>
      </c>
      <c r="D9" s="5" t="s">
        <v>29</v>
      </c>
      <c r="E9" s="6" t="n">
        <f aca="false">COUNTIFS(DA!$D$7:$D$300,"&gt;0",DA!$B$7:$B$300,"&lt;&gt;Cash*")</f>
        <v>53</v>
      </c>
      <c r="F9" s="7" t="n">
        <f aca="false">DA!E6</f>
        <v>4364996</v>
      </c>
      <c r="G9" s="7" t="n">
        <f aca="false">DA!H6</f>
        <v>3877935.64</v>
      </c>
      <c r="H9" s="8" t="n">
        <f aca="false">G9-F9</f>
        <v>-487060.36</v>
      </c>
      <c r="I9" s="9" t="n">
        <f aca="false">IF(F9&gt;0,H9/F9,"")</f>
        <v>-0.111583231691392</v>
      </c>
      <c r="J9" s="9" t="n">
        <f aca="false">IF($G$10=0,"",G9/$G$10)</f>
        <v>0.273034395947916</v>
      </c>
      <c r="K9" s="10" t="n">
        <v>4364995</v>
      </c>
      <c r="L9" s="10" t="n">
        <v>4141021</v>
      </c>
      <c r="M9" s="8" t="n">
        <f aca="false">G9-L9</f>
        <v>-263085.36</v>
      </c>
    </row>
    <row r="10" customFormat="false" ht="15" hidden="false" customHeight="false" outlineLevel="0" collapsed="false">
      <c r="A10" s="14" t="s">
        <v>30</v>
      </c>
      <c r="B10" s="14" t="s">
        <v>31</v>
      </c>
      <c r="C10" s="14"/>
      <c r="D10" s="14"/>
      <c r="E10" s="15" t="n">
        <f aca="false">'Side by Side'!E6</f>
        <v>66</v>
      </c>
      <c r="F10" s="16" t="n">
        <f aca="false">SUM(F6:F9)</f>
        <v>14789072</v>
      </c>
      <c r="G10" s="16" t="n">
        <f aca="false">SUM(G6:G9)</f>
        <v>14203102.97</v>
      </c>
      <c r="H10" s="16" t="n">
        <f aca="false">SUM(H6:H9)</f>
        <v>-585969.03</v>
      </c>
      <c r="I10" s="17" t="n">
        <f aca="false">IF(F10&gt;0,H10/F10,"")</f>
        <v>-0.0396217578763563</v>
      </c>
      <c r="J10" s="17" t="n">
        <f aca="false">SUM(J6:J9)</f>
        <v>1</v>
      </c>
      <c r="K10" s="16" t="n">
        <f aca="false">SUM(K6:K9)</f>
        <v>14789069.76</v>
      </c>
      <c r="L10" s="16" t="n">
        <f aca="false">SUM(L6:L9)</f>
        <v>14600687.23</v>
      </c>
      <c r="M10" s="16" t="n">
        <f aca="false">SUM(M6:M9)</f>
        <v>-397584.260000001</v>
      </c>
    </row>
    <row r="11" customFormat="false" ht="15" hidden="false" customHeight="false" outlineLevel="0" collapsed="false">
      <c r="L11" s="18" t="s">
        <v>32</v>
      </c>
    </row>
    <row r="13" customFormat="false" ht="15" hidden="false" customHeight="false" outlineLevel="0" collapsed="false">
      <c r="A13" s="19" t="s">
        <v>33</v>
      </c>
    </row>
    <row r="14" customFormat="false" ht="30" hidden="false" customHeight="true" outlineLevel="0" collapsed="false">
      <c r="A14" s="20" t="s">
        <v>34</v>
      </c>
      <c r="B14" s="20" t="s">
        <v>35</v>
      </c>
      <c r="C14" s="20" t="s">
        <v>36</v>
      </c>
      <c r="D14" s="20" t="s">
        <v>37</v>
      </c>
      <c r="E14" s="3" t="s">
        <v>15</v>
      </c>
      <c r="F14" s="21" t="s">
        <v>19</v>
      </c>
      <c r="G14" s="22" t="s">
        <v>23</v>
      </c>
      <c r="H14" s="23" t="s">
        <v>26</v>
      </c>
      <c r="I14" s="3" t="s">
        <v>38</v>
      </c>
    </row>
    <row r="15" customFormat="false" ht="15" hidden="false" customHeight="false" outlineLevel="0" collapsed="false">
      <c r="A15" s="6" t="n">
        <v>1</v>
      </c>
      <c r="B15" s="24" t="str">
        <f aca="false">INDEX('Side by Side'!$B$7:$B$73,MATCH(C15,'Side by Side'!$I$7:$I$73,0))</f>
        <v>Bajaj Finance Ltd</v>
      </c>
      <c r="C15" s="7" t="n">
        <f aca="false">LARGE('Side by Side'!$I$7:$I$73,A15)</f>
        <v>4886816.4</v>
      </c>
      <c r="D15" s="25" t="n">
        <f aca="false">INDEX('Side by Side'!$L$7:$L$73,MATCH(C15,'Side by Side'!$I$7:$I$73,0))</f>
        <v>0.344066814858838</v>
      </c>
      <c r="E15" s="25" t="n">
        <f aca="false">INDEX('Side by Side'!$S$7:$S$73,MATCH(C15,'Side by Side'!$I$7:$I$73,0))</f>
        <v>0.514083548679338</v>
      </c>
      <c r="F15" s="25" t="n">
        <f aca="false">INDEX('Side by Side'!$Z$7:$Z$73,MATCH(C15,'Side by Side'!$I$7:$I$73,0))</f>
        <v>0.424828546387095</v>
      </c>
      <c r="G15" s="25" t="n">
        <f aca="false">INDEX('Side by Side'!$AG$7:$AG$73,MATCH(C15,'Side by Side'!$I$7:$I$73,0))</f>
        <v>0.340425931157441</v>
      </c>
      <c r="H15" s="25" t="n">
        <f aca="false">INDEX('Side by Side'!$AN$7:$AN$73,MATCH(C15,'Side by Side'!$I$7:$I$73,0))</f>
        <v>0.225556670146284</v>
      </c>
      <c r="I15" s="26" t="n">
        <f aca="false">INDEX('Side by Side'!$E$7:$E$73,MATCH(C15,'Side by Side'!$I$7:$I$73,0))</f>
        <v>4</v>
      </c>
    </row>
    <row r="16" customFormat="false" ht="15" hidden="false" customHeight="false" outlineLevel="0" collapsed="false">
      <c r="A16" s="6" t="n">
        <v>2</v>
      </c>
      <c r="B16" s="24" t="str">
        <f aca="false">INDEX('Side by Side'!$B$7:$B$73,MATCH(C16,'Side by Side'!$I$7:$I$73,0))</f>
        <v>Titan Company Ltd</v>
      </c>
      <c r="C16" s="7" t="n">
        <f aca="false">LARGE('Side by Side'!$I$7:$I$73,A16)</f>
        <v>1225019.5</v>
      </c>
      <c r="D16" s="25" t="n">
        <f aca="false">INDEX('Side by Side'!$L$7:$L$73,MATCH(C16,'Side by Side'!$I$7:$I$73,0))</f>
        <v>0.086250131579522</v>
      </c>
      <c r="E16" s="25" t="n">
        <f aca="false">INDEX('Side by Side'!$S$7:$S$73,MATCH(C16,'Side by Side'!$I$7:$I$73,0))</f>
        <v>0.174378263967505</v>
      </c>
      <c r="F16" s="25" t="n">
        <f aca="false">INDEX('Side by Side'!$Z$7:$Z$73,MATCH(C16,'Side by Side'!$I$7:$I$73,0))</f>
        <v>0.138154914815024</v>
      </c>
      <c r="G16" s="25" t="n">
        <f aca="false">INDEX('Side by Side'!$AG$7:$AG$73,MATCH(C16,'Side by Side'!$I$7:$I$73,0))</f>
        <v>0.0382520463446774</v>
      </c>
      <c r="H16" s="25" t="n">
        <f aca="false">INDEX('Side by Side'!$AN$7:$AN$73,MATCH(C16,'Side by Side'!$I$7:$I$73,0))</f>
        <v>0.0663266551788363</v>
      </c>
      <c r="I16" s="26" t="n">
        <f aca="false">INDEX('Side by Side'!$E$7:$E$73,MATCH(C16,'Side by Side'!$I$7:$I$73,0))</f>
        <v>4</v>
      </c>
    </row>
    <row r="17" customFormat="false" ht="15" hidden="false" customHeight="false" outlineLevel="0" collapsed="false">
      <c r="A17" s="6" t="n">
        <v>3</v>
      </c>
      <c r="B17" s="24" t="str">
        <f aca="false">INDEX('Side by Side'!$B$7:$B$73,MATCH(C17,'Side by Side'!$I$7:$I$73,0))</f>
        <v>Poonawalla Fincorp Ltd</v>
      </c>
      <c r="C17" s="7" t="n">
        <f aca="false">LARGE('Side by Side'!$I$7:$I$73,A17)</f>
        <v>1138540</v>
      </c>
      <c r="D17" s="25" t="n">
        <f aca="false">INDEX('Side by Side'!$L$7:$L$73,MATCH(C17,'Side by Side'!$I$7:$I$73,0))</f>
        <v>0.0801613564588556</v>
      </c>
      <c r="E17" s="25" t="n">
        <f aca="false">INDEX('Side by Side'!$S$7:$S$73,MATCH(C17,'Side by Side'!$I$7:$I$73,0))</f>
        <v>0.0739557081742831</v>
      </c>
      <c r="F17" s="25" t="n">
        <f aca="false">INDEX('Side by Side'!$Z$7:$Z$73,MATCH(C17,'Side by Side'!$I$7:$I$73,0))</f>
        <v>0.062044386630743</v>
      </c>
      <c r="G17" s="25" t="n">
        <f aca="false">INDEX('Side by Side'!$AG$7:$AG$73,MATCH(C17,'Side by Side'!$I$7:$I$73,0))</f>
        <v>0.093808708569894</v>
      </c>
      <c r="H17" s="25" t="n">
        <f aca="false">INDEX('Side by Side'!$AN$7:$AN$73,MATCH(C17,'Side by Side'!$I$7:$I$73,0))</f>
        <v>0.0894333563514221</v>
      </c>
      <c r="I17" s="26" t="n">
        <f aca="false">INDEX('Side by Side'!$E$7:$E$73,MATCH(C17,'Side by Side'!$I$7:$I$73,0))</f>
        <v>4</v>
      </c>
    </row>
    <row r="18" customFormat="false" ht="15" hidden="false" customHeight="false" outlineLevel="0" collapsed="false">
      <c r="A18" s="6" t="n">
        <v>4</v>
      </c>
      <c r="B18" s="24" t="str">
        <f aca="false">INDEX('Side by Side'!$B$7:$B$73,MATCH(C18,'Side by Side'!$I$7:$I$73,0))</f>
        <v>HDFC Bank Ltd</v>
      </c>
      <c r="C18" s="7" t="n">
        <f aca="false">LARGE('Side by Side'!$I$7:$I$73,A18)</f>
        <v>983687.25</v>
      </c>
      <c r="D18" s="25" t="n">
        <f aca="false">INDEX('Side by Side'!$L$7:$L$73,MATCH(C18,'Side by Side'!$I$7:$I$73,0))</f>
        <v>0.0692586156755857</v>
      </c>
      <c r="E18" s="25" t="n">
        <f aca="false">INDEX('Side by Side'!$S$7:$S$73,MATCH(C18,'Side by Side'!$I$7:$I$73,0))</f>
        <v>0.0646093567779592</v>
      </c>
      <c r="F18" s="25" t="n">
        <f aca="false">INDEX('Side by Side'!$Z$7:$Z$73,MATCH(C18,'Side by Side'!$I$7:$I$73,0))</f>
        <v>0.0858379306251932</v>
      </c>
      <c r="G18" s="25" t="n">
        <f aca="false">INDEX('Side by Side'!$AG$7:$AG$73,MATCH(C18,'Side by Side'!$I$7:$I$73,0))</f>
        <v>0.0577778937617043</v>
      </c>
      <c r="H18" s="25" t="n">
        <f aca="false">INDEX('Side by Side'!$AN$7:$AN$73,MATCH(C18,'Side by Side'!$I$7:$I$73,0))</f>
        <v>0.0601578447031679</v>
      </c>
      <c r="I18" s="26" t="n">
        <f aca="false">INDEX('Side by Side'!$E$7:$E$73,MATCH(C18,'Side by Side'!$I$7:$I$73,0))</f>
        <v>4</v>
      </c>
    </row>
    <row r="19" customFormat="false" ht="15" hidden="false" customHeight="false" outlineLevel="0" collapsed="false">
      <c r="A19" s="6" t="n">
        <v>5</v>
      </c>
      <c r="B19" s="24" t="str">
        <f aca="false">INDEX('Side by Side'!$B$7:$B$73,MATCH(C19,'Side by Side'!$I$7:$I$73,0))</f>
        <v>AFCOM Holdings Ltd</v>
      </c>
      <c r="C19" s="7" t="n">
        <f aca="false">LARGE('Side by Side'!$I$7:$I$73,A19)</f>
        <v>687384</v>
      </c>
      <c r="D19" s="25" t="n">
        <f aca="false">INDEX('Side by Side'!$L$7:$L$73,MATCH(C19,'Side by Side'!$I$7:$I$73,0))</f>
        <v>0.0483967483339311</v>
      </c>
      <c r="E19" s="25" t="n">
        <f aca="false">INDEX('Side by Side'!$S$7:$S$73,MATCH(C19,'Side by Side'!$I$7:$I$73,0))</f>
        <v>0</v>
      </c>
      <c r="F19" s="25" t="n">
        <f aca="false">INDEX('Side by Side'!$Z$7:$Z$73,MATCH(C19,'Side by Side'!$I$7:$I$73,0))</f>
        <v>0.0633243344294938</v>
      </c>
      <c r="G19" s="25" t="n">
        <f aca="false">INDEX('Side by Side'!$AG$7:$AG$73,MATCH(C19,'Side by Side'!$I$7:$I$73,0))</f>
        <v>0.0367767681802144</v>
      </c>
      <c r="H19" s="25" t="n">
        <f aca="false">INDEX('Side by Side'!$AN$7:$AN$73,MATCH(C19,'Side by Side'!$I$7:$I$73,0))</f>
        <v>0.0443137834025528</v>
      </c>
      <c r="I19" s="26" t="n">
        <f aca="false">INDEX('Side by Side'!$E$7:$E$73,MATCH(C19,'Side by Side'!$I$7:$I$73,0))</f>
        <v>3</v>
      </c>
    </row>
    <row r="20" customFormat="false" ht="15" hidden="false" customHeight="false" outlineLevel="0" collapsed="false">
      <c r="A20" s="6" t="n">
        <v>6</v>
      </c>
      <c r="B20" s="24" t="str">
        <f aca="false">INDEX('Side by Side'!$B$7:$B$73,MATCH(C20,'Side by Side'!$I$7:$I$73,0))</f>
        <v>Connplex Cinemas Ltd</v>
      </c>
      <c r="C20" s="7" t="n">
        <f aca="false">LARGE('Side by Side'!$I$7:$I$73,A20)</f>
        <v>588000</v>
      </c>
      <c r="D20" s="25" t="n">
        <f aca="false">INDEX('Side by Side'!$L$7:$L$73,MATCH(C20,'Side by Side'!$I$7:$I$73,0))</f>
        <v>0.0413994041472474</v>
      </c>
      <c r="E20" s="25" t="n">
        <f aca="false">INDEX('Side by Side'!$S$7:$S$73,MATCH(C20,'Side by Side'!$I$7:$I$73,0))</f>
        <v>0</v>
      </c>
      <c r="F20" s="25" t="n">
        <f aca="false">INDEX('Side by Side'!$Z$7:$Z$73,MATCH(C20,'Side by Side'!$I$7:$I$73,0))</f>
        <v>0.0361124772999685</v>
      </c>
      <c r="G20" s="25" t="n">
        <f aca="false">INDEX('Side by Side'!$AG$7:$AG$73,MATCH(C20,'Side by Side'!$I$7:$I$73,0))</f>
        <v>0.0419459665242253</v>
      </c>
      <c r="H20" s="25" t="n">
        <f aca="false">INDEX('Side by Side'!$AN$7:$AN$73,MATCH(C20,'Side by Side'!$I$7:$I$73,0))</f>
        <v>0.0505423550556914</v>
      </c>
      <c r="I20" s="26" t="n">
        <f aca="false">INDEX('Side by Side'!$E$7:$E$73,MATCH(C20,'Side by Side'!$I$7:$I$73,0))</f>
        <v>3</v>
      </c>
    </row>
    <row r="21" customFormat="false" ht="15" hidden="false" customHeight="false" outlineLevel="0" collapsed="false">
      <c r="A21" s="6" t="n">
        <v>7</v>
      </c>
      <c r="B21" s="24" t="str">
        <f aca="false">INDEX('Side by Side'!$B$7:$B$73,MATCH(C21,'Side by Side'!$I$7:$I$73,0))</f>
        <v>Bajaj Housing Finance Ltd</v>
      </c>
      <c r="C21" s="7" t="n">
        <f aca="false">LARGE('Side by Side'!$I$7:$I$73,A21)</f>
        <v>441666.78</v>
      </c>
      <c r="D21" s="25" t="n">
        <f aca="false">INDEX('Side by Side'!$L$7:$L$73,MATCH(C21,'Side by Side'!$I$7:$I$73,0))</f>
        <v>0.0310964991898527</v>
      </c>
      <c r="E21" s="25" t="n">
        <f aca="false">INDEX('Side by Side'!$S$7:$S$73,MATCH(C21,'Side by Side'!$I$7:$I$73,0))</f>
        <v>0.0441726269036255</v>
      </c>
      <c r="F21" s="25" t="n">
        <f aca="false">INDEX('Side by Side'!$Z$7:$Z$73,MATCH(C21,'Side by Side'!$I$7:$I$73,0))</f>
        <v>0.0332646989293463</v>
      </c>
      <c r="G21" s="25" t="n">
        <f aca="false">INDEX('Side by Side'!$AG$7:$AG$73,MATCH(C21,'Side by Side'!$I$7:$I$73,0))</f>
        <v>0.0233094677619266</v>
      </c>
      <c r="H21" s="25" t="n">
        <f aca="false">INDEX('Side by Side'!$AN$7:$AN$73,MATCH(C21,'Side by Side'!$I$7:$I$73,0))</f>
        <v>0.0366861374728746</v>
      </c>
      <c r="I21" s="26" t="n">
        <f aca="false">INDEX('Side by Side'!$E$7:$E$73,MATCH(C21,'Side by Side'!$I$7:$I$73,0))</f>
        <v>4</v>
      </c>
    </row>
    <row r="22" customFormat="false" ht="15" hidden="false" customHeight="false" outlineLevel="0" collapsed="false">
      <c r="A22" s="6" t="n">
        <v>8</v>
      </c>
      <c r="B22" s="24" t="str">
        <f aca="false">INDEX('Side by Side'!$B$7:$B$73,MATCH(C22,'Side by Side'!$I$7:$I$73,0))</f>
        <v>LTM Ltd (formerly LTIMindtree)</v>
      </c>
      <c r="C22" s="7" t="n">
        <f aca="false">LARGE('Side by Side'!$I$7:$I$73,A22)</f>
        <v>407160</v>
      </c>
      <c r="D22" s="25" t="n">
        <f aca="false">INDEX('Side by Side'!$L$7:$L$73,MATCH(C22,'Side by Side'!$I$7:$I$73,0))</f>
        <v>0.0286669751574715</v>
      </c>
      <c r="E22" s="25" t="n">
        <f aca="false">INDEX('Side by Side'!$S$7:$S$73,MATCH(C22,'Side by Side'!$I$7:$I$73,0))</f>
        <v>0.0347996535501158</v>
      </c>
      <c r="F22" s="25" t="n">
        <f aca="false">INDEX('Side by Side'!$Z$7:$Z$73,MATCH(C22,'Side by Side'!$I$7:$I$73,0))</f>
        <v>0.0266891474453415</v>
      </c>
      <c r="G22" s="25" t="n">
        <f aca="false">INDEX('Side by Side'!$AG$7:$AG$73,MATCH(C22,'Side by Side'!$I$7:$I$73,0))</f>
        <v>0.0502709568190843</v>
      </c>
      <c r="H22" s="25" t="n">
        <f aca="false">INDEX('Side by Side'!$AN$7:$AN$73,MATCH(C22,'Side by Side'!$I$7:$I$73,0))</f>
        <v>0.00504778877660796</v>
      </c>
      <c r="I22" s="26" t="n">
        <f aca="false">INDEX('Side by Side'!$E$7:$E$73,MATCH(C22,'Side by Side'!$I$7:$I$73,0))</f>
        <v>4</v>
      </c>
    </row>
    <row r="23" customFormat="false" ht="15" hidden="false" customHeight="false" outlineLevel="0" collapsed="false">
      <c r="A23" s="6" t="n">
        <v>9</v>
      </c>
      <c r="B23" s="24" t="str">
        <f aca="false">INDEX('Side by Side'!$B$7:$B$73,MATCH(C23,'Side by Side'!$I$7:$I$73,0))</f>
        <v>Nippon India ETF Nifty 1D Rate Liquid BeES</v>
      </c>
      <c r="C23" s="7" t="n">
        <f aca="false">LARGE('Side by Side'!$I$7:$I$73,A23)</f>
        <v>300000</v>
      </c>
      <c r="D23" s="25" t="n">
        <f aca="false">INDEX('Side by Side'!$L$7:$L$73,MATCH(C23,'Side by Side'!$I$7:$I$73,0))</f>
        <v>0.0211221449730854</v>
      </c>
      <c r="E23" s="25" t="n">
        <f aca="false">INDEX('Side by Side'!$S$7:$S$73,MATCH(C23,'Side by Side'!$I$7:$I$73,0))</f>
        <v>0</v>
      </c>
      <c r="F23" s="25" t="n">
        <f aca="false">INDEX('Side by Side'!$Z$7:$Z$73,MATCH(C23,'Side by Side'!$I$7:$I$73,0))</f>
        <v>0</v>
      </c>
      <c r="G23" s="25" t="n">
        <f aca="false">INDEX('Side by Side'!$AG$7:$AG$73,MATCH(C23,'Side by Side'!$I$7:$I$73,0))</f>
        <v>0.0642030099860591</v>
      </c>
      <c r="H23" s="25" t="n">
        <f aca="false">INDEX('Side by Side'!$AN$7:$AN$73,MATCH(C23,'Side by Side'!$I$7:$I$73,0))</f>
        <v>0</v>
      </c>
      <c r="I23" s="26" t="n">
        <f aca="false">INDEX('Side by Side'!$E$7:$E$73,MATCH(C23,'Side by Side'!$I$7:$I$73,0))</f>
        <v>1</v>
      </c>
    </row>
    <row r="24" customFormat="false" ht="15" hidden="false" customHeight="false" outlineLevel="0" collapsed="false">
      <c r="A24" s="6" t="n">
        <v>10</v>
      </c>
      <c r="B24" s="24" t="str">
        <f aca="false">INDEX('Side by Side'!$B$7:$B$73,MATCH(C24,'Side by Side'!$I$7:$I$73,0))</f>
        <v>Fineotex Chemical Ltd</v>
      </c>
      <c r="C24" s="7" t="n">
        <f aca="false">LARGE('Side by Side'!$I$7:$I$73,A24)</f>
        <v>287900.58</v>
      </c>
      <c r="D24" s="25" t="n">
        <f aca="false">INDEX('Side by Side'!$L$7:$L$73,MATCH(C24,'Side by Side'!$I$7:$I$73,0))</f>
        <v>0.0202702592953179</v>
      </c>
      <c r="E24" s="25" t="n">
        <f aca="false">INDEX('Side by Side'!$S$7:$S$73,MATCH(C24,'Side by Side'!$I$7:$I$73,0))</f>
        <v>0.0124420983542208</v>
      </c>
      <c r="F24" s="25" t="n">
        <f aca="false">INDEX('Side by Side'!$Z$7:$Z$73,MATCH(C24,'Side by Side'!$I$7:$I$73,0))</f>
        <v>0.0244489393956113</v>
      </c>
      <c r="G24" s="25" t="n">
        <f aca="false">INDEX('Side by Side'!$AG$7:$AG$73,MATCH(C24,'Side by Side'!$I$7:$I$73,0))</f>
        <v>0.0082918358605022</v>
      </c>
      <c r="H24" s="25" t="n">
        <f aca="false">INDEX('Side by Side'!$AN$7:$AN$73,MATCH(C24,'Side by Side'!$I$7:$I$73,0))</f>
        <v>0.0293093311883846</v>
      </c>
      <c r="I24" s="26" t="n">
        <f aca="false">INDEX('Side by Side'!$E$7:$E$73,MATCH(C24,'Side by Side'!$I$7:$I$73,0))</f>
        <v>4</v>
      </c>
    </row>
    <row r="27" customFormat="false" ht="15" hidden="false" customHeight="false" outlineLevel="0" collapsed="false">
      <c r="A27" s="27" t="s">
        <v>39</v>
      </c>
    </row>
    <row r="28" customFormat="false" ht="15" hidden="false" customHeight="false" outlineLevel="0" collapsed="false">
      <c r="A28" s="28" t="s">
        <v>40</v>
      </c>
    </row>
    <row r="29" customFormat="false" ht="15" hidden="false" customHeight="false" outlineLevel="0" collapsed="false">
      <c r="A29" s="28" t="str">
        <f aca="false">"• Securities on an exchange close: "&amp;COUNTIF(Prices!$I$6:$I$300,"Close*")&amp;"   |   on a statement price: "&amp;COUNTIF(Prices!$I$6:$I$300,"No exchange*")&amp;"   |   held in all 4 accounts: "&amp;COUNTIF('Side by Side'!$E$7:$E$73,4)</f>
        <v>• Securities on an exchange close: 59   |   on a statement price: 7   |   held in all 4 accounts: 9</v>
      </c>
    </row>
    <row r="30" customFormat="false" ht="15" hidden="false" customHeight="false" outlineLevel="0" collapsed="false">
      <c r="A30" s="28" t="s">
        <v>41</v>
      </c>
    </row>
    <row r="31" customFormat="false" ht="15" hidden="false" customHeight="false" outlineLevel="0" collapsed="false">
      <c r="A31" s="28" t="s">
        <v>42</v>
      </c>
    </row>
    <row r="32" customFormat="false" ht="15" hidden="false" customHeight="false" outlineLevel="0" collapsed="false">
      <c r="A32" s="28" t="s">
        <v>43</v>
      </c>
    </row>
    <row r="33" customFormat="false" ht="15" hidden="false" customHeight="false" outlineLevel="0" collapsed="false">
      <c r="A33" s="28" t="s">
        <v>44</v>
      </c>
    </row>
    <row r="34" customFormat="false" ht="15" hidden="false" customHeight="false" outlineLevel="0" collapsed="false">
      <c r="A34" s="28" t="s">
        <v>45</v>
      </c>
    </row>
    <row r="35" customFormat="false" ht="15" hidden="false" customHeight="false" outlineLevel="0" collapsed="false">
      <c r="A35" s="28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2" min="11" style="0" width="7.5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6" min="15" style="0" width="12"/>
    <col collapsed="false" customWidth="true" hidden="false" outlineLevel="0" max="17" min="17" style="0" width="11"/>
    <col collapsed="false" customWidth="true" hidden="false" outlineLevel="0" max="19" min="18" style="0" width="7.5"/>
    <col collapsed="false" customWidth="true" hidden="false" outlineLevel="0" max="20" min="20" style="0" width="8"/>
    <col collapsed="false" customWidth="true" hidden="false" outlineLevel="0" max="21" min="21" style="0" width="10"/>
    <col collapsed="false" customWidth="true" hidden="false" outlineLevel="0" max="23" min="22" style="0" width="12"/>
    <col collapsed="false" customWidth="true" hidden="false" outlineLevel="0" max="24" min="24" style="0" width="11"/>
    <col collapsed="false" customWidth="true" hidden="false" outlineLevel="0" max="26" min="25" style="0" width="7.5"/>
    <col collapsed="false" customWidth="true" hidden="false" outlineLevel="0" max="27" min="27" style="0" width="8"/>
    <col collapsed="false" customWidth="true" hidden="false" outlineLevel="0" max="28" min="28" style="0" width="10"/>
    <col collapsed="false" customWidth="true" hidden="false" outlineLevel="0" max="30" min="29" style="0" width="12"/>
    <col collapsed="false" customWidth="true" hidden="false" outlineLevel="0" max="31" min="31" style="0" width="11"/>
    <col collapsed="false" customWidth="true" hidden="false" outlineLevel="0" max="33" min="32" style="0" width="7.5"/>
    <col collapsed="false" customWidth="true" hidden="false" outlineLevel="0" max="34" min="34" style="0" width="8"/>
    <col collapsed="false" customWidth="true" hidden="false" outlineLevel="0" max="35" min="35" style="0" width="10"/>
    <col collapsed="false" customWidth="true" hidden="false" outlineLevel="0" max="37" min="36" style="0" width="12"/>
    <col collapsed="false" customWidth="true" hidden="false" outlineLevel="0" max="38" min="38" style="0" width="11"/>
    <col collapsed="false" customWidth="true" hidden="false" outlineLevel="0" max="40" min="39" style="0" width="7.5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30" hidden="false" customHeight="true" outlineLevel="0" collapsed="false">
      <c r="A4" s="29"/>
      <c r="B4" s="29"/>
      <c r="C4" s="29"/>
      <c r="D4" s="29"/>
      <c r="E4" s="29"/>
      <c r="F4" s="30" t="s">
        <v>30</v>
      </c>
      <c r="G4" s="30"/>
      <c r="H4" s="30"/>
      <c r="I4" s="30"/>
      <c r="J4" s="30"/>
      <c r="K4" s="30"/>
      <c r="L4" s="30"/>
      <c r="M4" s="31" t="s">
        <v>49</v>
      </c>
      <c r="N4" s="31"/>
      <c r="O4" s="31"/>
      <c r="P4" s="31"/>
      <c r="Q4" s="31"/>
      <c r="R4" s="31"/>
      <c r="S4" s="31"/>
      <c r="T4" s="32" t="s">
        <v>50</v>
      </c>
      <c r="U4" s="32"/>
      <c r="V4" s="32"/>
      <c r="W4" s="32"/>
      <c r="X4" s="32"/>
      <c r="Y4" s="32"/>
      <c r="Z4" s="32"/>
      <c r="AA4" s="33" t="s">
        <v>51</v>
      </c>
      <c r="AB4" s="33"/>
      <c r="AC4" s="33"/>
      <c r="AD4" s="33"/>
      <c r="AE4" s="33"/>
      <c r="AF4" s="33"/>
      <c r="AG4" s="33"/>
      <c r="AH4" s="34" t="s">
        <v>52</v>
      </c>
      <c r="AI4" s="34"/>
      <c r="AJ4" s="34"/>
      <c r="AK4" s="34"/>
      <c r="AL4" s="34"/>
      <c r="AM4" s="34"/>
      <c r="AN4" s="34"/>
    </row>
    <row r="5" customFormat="false" ht="30" hidden="false" customHeight="true" outlineLevel="0" collapsed="false">
      <c r="A5" s="3" t="s">
        <v>53</v>
      </c>
      <c r="B5" s="3" t="s">
        <v>35</v>
      </c>
      <c r="C5" s="3" t="s">
        <v>54</v>
      </c>
      <c r="D5" s="3" t="s">
        <v>55</v>
      </c>
      <c r="E5" s="3" t="s">
        <v>56</v>
      </c>
      <c r="F5" s="20" t="s">
        <v>57</v>
      </c>
      <c r="G5" s="20" t="s">
        <v>58</v>
      </c>
      <c r="H5" s="20" t="s">
        <v>7</v>
      </c>
      <c r="I5" s="20" t="s">
        <v>59</v>
      </c>
      <c r="J5" s="20" t="s">
        <v>60</v>
      </c>
      <c r="K5" s="20" t="s">
        <v>10</v>
      </c>
      <c r="L5" s="20" t="s">
        <v>61</v>
      </c>
      <c r="M5" s="3" t="s">
        <v>57</v>
      </c>
      <c r="N5" s="3" t="s">
        <v>58</v>
      </c>
      <c r="O5" s="3" t="s">
        <v>7</v>
      </c>
      <c r="P5" s="3" t="s">
        <v>59</v>
      </c>
      <c r="Q5" s="3" t="s">
        <v>60</v>
      </c>
      <c r="R5" s="3" t="s">
        <v>10</v>
      </c>
      <c r="S5" s="3" t="s">
        <v>61</v>
      </c>
      <c r="T5" s="21" t="s">
        <v>57</v>
      </c>
      <c r="U5" s="21" t="s">
        <v>58</v>
      </c>
      <c r="V5" s="21" t="s">
        <v>7</v>
      </c>
      <c r="W5" s="21" t="s">
        <v>59</v>
      </c>
      <c r="X5" s="21" t="s">
        <v>60</v>
      </c>
      <c r="Y5" s="21" t="s">
        <v>10</v>
      </c>
      <c r="Z5" s="21" t="s">
        <v>61</v>
      </c>
      <c r="AA5" s="22" t="s">
        <v>57</v>
      </c>
      <c r="AB5" s="22" t="s">
        <v>58</v>
      </c>
      <c r="AC5" s="22" t="s">
        <v>7</v>
      </c>
      <c r="AD5" s="22" t="s">
        <v>59</v>
      </c>
      <c r="AE5" s="22" t="s">
        <v>60</v>
      </c>
      <c r="AF5" s="22" t="s">
        <v>10</v>
      </c>
      <c r="AG5" s="22" t="s">
        <v>61</v>
      </c>
      <c r="AH5" s="23" t="s">
        <v>57</v>
      </c>
      <c r="AI5" s="23" t="s">
        <v>58</v>
      </c>
      <c r="AJ5" s="23" t="s">
        <v>7</v>
      </c>
      <c r="AK5" s="23" t="s">
        <v>59</v>
      </c>
      <c r="AL5" s="23" t="s">
        <v>60</v>
      </c>
      <c r="AM5" s="23" t="s">
        <v>10</v>
      </c>
      <c r="AN5" s="23" t="s">
        <v>61</v>
      </c>
    </row>
    <row r="6" customFormat="false" ht="15" hidden="false" customHeight="false" outlineLevel="0" collapsed="false">
      <c r="A6" s="35"/>
      <c r="B6" s="35" t="s">
        <v>62</v>
      </c>
      <c r="C6" s="35"/>
      <c r="D6" s="35"/>
      <c r="E6" s="36" t="n">
        <f aca="false">COUNTIFS(E7:E73,"&gt;0",B7:B73,"&lt;&gt;Cash*")</f>
        <v>66</v>
      </c>
      <c r="F6" s="37" t="n">
        <f aca="false">COUNTIFS(F7:F73,"&gt;0",$B7:$B73,"&lt;&gt;Cash*")</f>
        <v>66</v>
      </c>
      <c r="G6" s="38"/>
      <c r="H6" s="39" t="n">
        <f aca="false">SUM(H7:H73)</f>
        <v>14789072</v>
      </c>
      <c r="I6" s="39" t="n">
        <f aca="false">SUM(I7:I73)</f>
        <v>14203102.97</v>
      </c>
      <c r="J6" s="39" t="n">
        <f aca="false">I6-H6</f>
        <v>-585969.029999999</v>
      </c>
      <c r="K6" s="40" t="n">
        <f aca="false">IF(H6&gt;0,J6/H6,"")</f>
        <v>-0.0396217578763562</v>
      </c>
      <c r="L6" s="40" t="n">
        <f aca="false">SUM(L7:L73)</f>
        <v>1</v>
      </c>
      <c r="M6" s="37" t="n">
        <f aca="false">COUNTIFS(M7:M73,"&gt;0",$B7:$B73,"&lt;&gt;Cash*")</f>
        <v>12</v>
      </c>
      <c r="N6" s="38"/>
      <c r="O6" s="39" t="n">
        <f aca="false">SUM(O7:O73)</f>
        <v>201361</v>
      </c>
      <c r="P6" s="39" t="n">
        <f aca="false">SUM(P7:P73)</f>
        <v>225002.24</v>
      </c>
      <c r="Q6" s="39" t="n">
        <f aca="false">P6-O6</f>
        <v>23641.24</v>
      </c>
      <c r="R6" s="40" t="n">
        <f aca="false">IF(O6&gt;0,Q6/O6,"")</f>
        <v>0.117407243706577</v>
      </c>
      <c r="S6" s="40" t="n">
        <f aca="false">SUM(S7:S73)</f>
        <v>1</v>
      </c>
      <c r="T6" s="37" t="n">
        <f aca="false">COUNTIFS(T7:T73,"&gt;0",$B7:$B73,"&lt;&gt;Cash*")</f>
        <v>20</v>
      </c>
      <c r="U6" s="38"/>
      <c r="V6" s="39" t="n">
        <f aca="false">SUM(V7:V73)</f>
        <v>5222229</v>
      </c>
      <c r="W6" s="39" t="n">
        <f aca="false">SUM(W7:W73)</f>
        <v>5427486.97</v>
      </c>
      <c r="X6" s="39" t="n">
        <f aca="false">W6-V6</f>
        <v>205257.97</v>
      </c>
      <c r="Y6" s="40" t="n">
        <f aca="false">IF(V6&gt;0,X6/V6,"")</f>
        <v>0.0393046666471347</v>
      </c>
      <c r="Z6" s="40" t="n">
        <f aca="false">SUM(Z7:Z73)</f>
        <v>1</v>
      </c>
      <c r="AA6" s="37" t="n">
        <f aca="false">COUNTIFS(AA7:AA73,"&gt;0",$B7:$B73,"&lt;&gt;Cash*")</f>
        <v>32</v>
      </c>
      <c r="AB6" s="38"/>
      <c r="AC6" s="39" t="n">
        <f aca="false">SUM(AC7:AC73)</f>
        <v>5000486</v>
      </c>
      <c r="AD6" s="39" t="n">
        <f aca="false">SUM(AD7:AD73)</f>
        <v>4672678.12</v>
      </c>
      <c r="AE6" s="39" t="n">
        <f aca="false">AD6-AC6</f>
        <v>-327807.88</v>
      </c>
      <c r="AF6" s="40" t="n">
        <f aca="false">IF(AC6&gt;0,AE6/AC6,"")</f>
        <v>-0.0655552040341679</v>
      </c>
      <c r="AG6" s="40" t="n">
        <f aca="false">SUM(AG7:AG73)</f>
        <v>1</v>
      </c>
      <c r="AH6" s="37" t="n">
        <f aca="false">COUNTIFS(AH7:AH73,"&gt;0",$B7:$B73,"&lt;&gt;Cash*")</f>
        <v>53</v>
      </c>
      <c r="AI6" s="38"/>
      <c r="AJ6" s="39" t="n">
        <f aca="false">SUM(AJ7:AJ73)</f>
        <v>4364996</v>
      </c>
      <c r="AK6" s="39" t="n">
        <f aca="false">SUM(AK7:AK73)</f>
        <v>3877935.64</v>
      </c>
      <c r="AL6" s="39" t="n">
        <f aca="false">AK6-AJ6</f>
        <v>-487060.36</v>
      </c>
      <c r="AM6" s="40" t="n">
        <f aca="false">IF(AJ6&gt;0,AL6/AJ6,"")</f>
        <v>-0.111583231691392</v>
      </c>
      <c r="AN6" s="40" t="n">
        <f aca="false">SUM(AN7:AN73)</f>
        <v>1</v>
      </c>
    </row>
    <row r="7" customFormat="false" ht="15" hidden="false" customHeight="false" outlineLevel="0" collapsed="false">
      <c r="A7" s="5" t="n">
        <v>1</v>
      </c>
      <c r="B7" s="41" t="s">
        <v>63</v>
      </c>
      <c r="C7" s="42" t="n">
        <f aca="false">IFERROR(INDEX(Prices!$C$6:$C$300,MATCH($B7,Prices!$A$6:$A$300,0)),"")</f>
        <v>955.95</v>
      </c>
      <c r="D7" s="43" t="str">
        <f aca="false">IFERROR(INDEX(Prices!$D$6:$D$300,MATCH($B7,Prices!$A$6:$A$300,0)),"")</f>
        <v>Close 08.10.2026 (Screener.in)</v>
      </c>
      <c r="E7" s="6" t="n">
        <f aca="false">(M7&gt;0)+(T7&gt;0)+(AA7&gt;0)+(AH7&gt;0)</f>
        <v>4</v>
      </c>
      <c r="F7" s="44" t="n">
        <f aca="false">M7+T7+AA7+AH7</f>
        <v>5112</v>
      </c>
      <c r="G7" s="45" t="n">
        <f aca="false">IF(AND(F7&gt;0,H7&gt;0),H7/F7,"")</f>
        <v>915.22965571205</v>
      </c>
      <c r="H7" s="46" t="n">
        <f aca="false">O7+V7+AC7+AJ7</f>
        <v>4678654</v>
      </c>
      <c r="I7" s="47" t="n">
        <f aca="false">P7+W7+AD7+AK7</f>
        <v>4886816.4</v>
      </c>
      <c r="J7" s="46" t="n">
        <f aca="false">I7-H7</f>
        <v>208162.4</v>
      </c>
      <c r="K7" s="48" t="n">
        <f aca="false">IF(H7&gt;0,J7/H7,"")</f>
        <v>0.0444919414857351</v>
      </c>
      <c r="L7" s="49" t="n">
        <f aca="false">IF(I$6=0,"",I7/I$6)</f>
        <v>0.344066814858838</v>
      </c>
      <c r="M7" s="50" t="n">
        <f aca="false">SUMIFS('Vidushi Malhotra'!$D$7:$D$300,'Vidushi Malhotra'!$B$7:$B$300,$B7)</f>
        <v>121</v>
      </c>
      <c r="N7" s="51" t="n">
        <f aca="false">IF(AND(M7&gt;0,O7&gt;0),O7/M7,"")</f>
        <v>768</v>
      </c>
      <c r="O7" s="8" t="n">
        <f aca="false">SUMIFS('Vidushi Malhotra'!$E$7:$E$300,'Vidushi Malhotra'!$B$7:$B$300,$B7)</f>
        <v>92928</v>
      </c>
      <c r="P7" s="8" t="n">
        <f aca="false">SUMIFS('Vidushi Malhotra'!$H$7:$H$300,'Vidushi Malhotra'!$B$7:$B$300,$B7)</f>
        <v>115669.95</v>
      </c>
      <c r="Q7" s="8" t="n">
        <f aca="false">P7-O7</f>
        <v>22741.95</v>
      </c>
      <c r="R7" s="9" t="n">
        <f aca="false">IF(O7&gt;0,Q7/O7,"")</f>
        <v>0.2447265625</v>
      </c>
      <c r="S7" s="9" t="n">
        <f aca="false">IF(P$6=0,"",P7/P$6)</f>
        <v>0.514083548679338</v>
      </c>
      <c r="T7" s="50" t="n">
        <f aca="false">SUMIFS('Dr Umesh Choudhry'!$D$7:$D$300,'Dr Umesh Choudhry'!$B$7:$B$300,$B7)</f>
        <v>2412</v>
      </c>
      <c r="U7" s="51" t="n">
        <f aca="false">IF(AND(T7&gt;0,V7&gt;0),V7/T7,"")</f>
        <v>800.284411276949</v>
      </c>
      <c r="V7" s="8" t="n">
        <f aca="false">SUMIFS('Dr Umesh Choudhry'!$E$7:$E$300,'Dr Umesh Choudhry'!$B$7:$B$300,$B7)</f>
        <v>1930286</v>
      </c>
      <c r="W7" s="8" t="n">
        <f aca="false">SUMIFS('Dr Umesh Choudhry'!$H$7:$H$300,'Dr Umesh Choudhry'!$B$7:$B$300,$B7)</f>
        <v>2305751.4</v>
      </c>
      <c r="X7" s="8" t="n">
        <f aca="false">W7-V7</f>
        <v>375465.4</v>
      </c>
      <c r="Y7" s="9" t="n">
        <f aca="false">IF(V7&gt;0,X7/V7,"")</f>
        <v>0.194512833849492</v>
      </c>
      <c r="Z7" s="9" t="n">
        <f aca="false">IF(W$6=0,"",W7/W$6)</f>
        <v>0.424828546387095</v>
      </c>
      <c r="AA7" s="50" t="n">
        <f aca="false">SUMIFS(Gautam!$D$7:$D$300,Gautam!$B$7:$B$300,$B7)</f>
        <v>1664</v>
      </c>
      <c r="AB7" s="51" t="n">
        <f aca="false">IF(AND(AA7&gt;0,AC7&gt;0),AC7/AA7,"")</f>
        <v>1016.42007211538</v>
      </c>
      <c r="AC7" s="8" t="n">
        <f aca="false">SUMIFS(Gautam!$E$7:$E$300,Gautam!$B$7:$B$300,$B7)</f>
        <v>1691323</v>
      </c>
      <c r="AD7" s="8" t="n">
        <f aca="false">SUMIFS(Gautam!$H$7:$H$300,Gautam!$B$7:$B$300,$B7)</f>
        <v>1590700.8</v>
      </c>
      <c r="AE7" s="8" t="n">
        <f aca="false">AD7-AC7</f>
        <v>-100622.2</v>
      </c>
      <c r="AF7" s="9" t="n">
        <f aca="false">IF(AC7&gt;0,AE7/AC7,"")</f>
        <v>-0.0594931896509419</v>
      </c>
      <c r="AG7" s="9" t="n">
        <f aca="false">IF(AD$6=0,"",AD7/AD$6)</f>
        <v>0.340425931157441</v>
      </c>
      <c r="AH7" s="50" t="n">
        <f aca="false">SUMIFS(DA!$D$7:$D$300,DA!$B$7:$B$300,$B7)</f>
        <v>915</v>
      </c>
      <c r="AI7" s="51" t="n">
        <f aca="false">IF(AND(AH7&gt;0,AJ7&gt;0),AJ7/AH7,"")</f>
        <v>1053.67978142077</v>
      </c>
      <c r="AJ7" s="8" t="n">
        <f aca="false">SUMIFS(DA!$E$7:$E$300,DA!$B$7:$B$300,$B7)</f>
        <v>964117</v>
      </c>
      <c r="AK7" s="8" t="n">
        <f aca="false">SUMIFS(DA!$H$7:$H$300,DA!$B$7:$B$300,$B7)</f>
        <v>874694.25</v>
      </c>
      <c r="AL7" s="8" t="n">
        <f aca="false">AK7-AJ7</f>
        <v>-89422.75</v>
      </c>
      <c r="AM7" s="9" t="n">
        <f aca="false">IF(AJ7&gt;0,AL7/AJ7,"")</f>
        <v>-0.0927509316815283</v>
      </c>
      <c r="AN7" s="9" t="n">
        <f aca="false">IF(AK$6=0,"",AK7/AK$6)</f>
        <v>0.225556670146284</v>
      </c>
    </row>
    <row r="8" customFormat="false" ht="15" hidden="false" customHeight="false" outlineLevel="0" collapsed="false">
      <c r="A8" s="5" t="n">
        <v>2</v>
      </c>
      <c r="B8" s="41" t="s">
        <v>64</v>
      </c>
      <c r="C8" s="42" t="n">
        <f aca="false">IFERROR(INDEX(Prices!$C$6:$C$300,MATCH($B8,Prices!$A$6:$A$300,0)),"")</f>
        <v>4359.5</v>
      </c>
      <c r="D8" s="43" t="str">
        <f aca="false">IFERROR(INDEX(Prices!$D$6:$D$300,MATCH($B8,Prices!$A$6:$A$300,0)),"")</f>
        <v>Close 08.10.2026 (Screener.in)</v>
      </c>
      <c r="E8" s="6" t="n">
        <f aca="false">(M8&gt;0)+(T8&gt;0)+(AA8&gt;0)+(AH8&gt;0)</f>
        <v>4</v>
      </c>
      <c r="F8" s="44" t="n">
        <f aca="false">M8+T8+AA8+AH8</f>
        <v>281</v>
      </c>
      <c r="G8" s="45" t="n">
        <f aca="false">IF(AND(F8&gt;0,H8&gt;0),H8/F8,"")</f>
        <v>3928.20284697509</v>
      </c>
      <c r="H8" s="46" t="n">
        <f aca="false">O8+V8+AC8+AJ8</f>
        <v>1103825</v>
      </c>
      <c r="I8" s="47" t="n">
        <f aca="false">P8+W8+AD8+AK8</f>
        <v>1225019.5</v>
      </c>
      <c r="J8" s="46" t="n">
        <f aca="false">I8-H8</f>
        <v>121194.5</v>
      </c>
      <c r="K8" s="48" t="n">
        <f aca="false">IF(H8&gt;0,J8/H8,"")</f>
        <v>0.109795030915227</v>
      </c>
      <c r="L8" s="49" t="n">
        <f aca="false">IF(I$6=0,"",I8/I$6)</f>
        <v>0.086250131579522</v>
      </c>
      <c r="M8" s="50" t="n">
        <f aca="false">SUMIFS('Vidushi Malhotra'!$D$7:$D$300,'Vidushi Malhotra'!$B$7:$B$300,$B8)</f>
        <v>9</v>
      </c>
      <c r="N8" s="51" t="n">
        <f aca="false">IF(AND(M8&gt;0,O8&gt;0),O8/M8,"")</f>
        <v>3160.11111111111</v>
      </c>
      <c r="O8" s="8" t="n">
        <f aca="false">SUMIFS('Vidushi Malhotra'!$E$7:$E$300,'Vidushi Malhotra'!$B$7:$B$300,$B8)</f>
        <v>28441</v>
      </c>
      <c r="P8" s="8" t="n">
        <f aca="false">SUMIFS('Vidushi Malhotra'!$H$7:$H$300,'Vidushi Malhotra'!$B$7:$B$300,$B8)</f>
        <v>39235.5</v>
      </c>
      <c r="Q8" s="8" t="n">
        <f aca="false">P8-O8</f>
        <v>10794.5</v>
      </c>
      <c r="R8" s="9" t="n">
        <f aca="false">IF(O8&gt;0,Q8/O8,"")</f>
        <v>0.379540100559052</v>
      </c>
      <c r="S8" s="9" t="n">
        <f aca="false">IF(P$6=0,"",P8/P$6)</f>
        <v>0.174378263967505</v>
      </c>
      <c r="T8" s="50" t="n">
        <f aca="false">SUMIFS('Dr Umesh Choudhry'!$D$7:$D$300,'Dr Umesh Choudhry'!$B$7:$B$300,$B8)</f>
        <v>172</v>
      </c>
      <c r="U8" s="51" t="n">
        <f aca="false">IF(AND(T8&gt;0,V8&gt;0),V8/T8,"")</f>
        <v>3589.92441860465</v>
      </c>
      <c r="V8" s="8" t="n">
        <f aca="false">SUMIFS('Dr Umesh Choudhry'!$E$7:$E$300,'Dr Umesh Choudhry'!$B$7:$B$300,$B8)</f>
        <v>617467</v>
      </c>
      <c r="W8" s="8" t="n">
        <f aca="false">SUMIFS('Dr Umesh Choudhry'!$H$7:$H$300,'Dr Umesh Choudhry'!$B$7:$B$300,$B8)</f>
        <v>749834</v>
      </c>
      <c r="X8" s="8" t="n">
        <f aca="false">W8-V8</f>
        <v>132367</v>
      </c>
      <c r="Y8" s="9" t="n">
        <f aca="false">IF(V8&gt;0,X8/V8,"")</f>
        <v>0.214370970432428</v>
      </c>
      <c r="Z8" s="9" t="n">
        <f aca="false">IF(W$6=0,"",W8/W$6)</f>
        <v>0.138154914815024</v>
      </c>
      <c r="AA8" s="50" t="n">
        <f aca="false">SUMIFS(Gautam!$D$7:$D$300,Gautam!$B$7:$B$300,$B8)</f>
        <v>41</v>
      </c>
      <c r="AB8" s="51" t="n">
        <f aca="false">IF(AND(AA8&gt;0,AC8&gt;0),AC8/AA8,"")</f>
        <v>4824.48780487805</v>
      </c>
      <c r="AC8" s="8" t="n">
        <f aca="false">SUMIFS(Gautam!$E$7:$E$300,Gautam!$B$7:$B$300,$B8)</f>
        <v>197804</v>
      </c>
      <c r="AD8" s="8" t="n">
        <f aca="false">SUMIFS(Gautam!$H$7:$H$300,Gautam!$B$7:$B$300,$B8)</f>
        <v>178739.5</v>
      </c>
      <c r="AE8" s="8" t="n">
        <f aca="false">AD8-AC8</f>
        <v>-19064.5</v>
      </c>
      <c r="AF8" s="9" t="n">
        <f aca="false">IF(AC8&gt;0,AE8/AC8,"")</f>
        <v>-0.0963807607530687</v>
      </c>
      <c r="AG8" s="9" t="n">
        <f aca="false">IF(AD$6=0,"",AD8/AD$6)</f>
        <v>0.0382520463446774</v>
      </c>
      <c r="AH8" s="50" t="n">
        <f aca="false">SUMIFS(DA!$D$7:$D$300,DA!$B$7:$B$300,$B8)</f>
        <v>59</v>
      </c>
      <c r="AI8" s="51" t="n">
        <f aca="false">IF(AND(AH8&gt;0,AJ8&gt;0),AJ8/AH8,"")</f>
        <v>4408.69491525424</v>
      </c>
      <c r="AJ8" s="8" t="n">
        <f aca="false">SUMIFS(DA!$E$7:$E$300,DA!$B$7:$B$300,$B8)</f>
        <v>260113</v>
      </c>
      <c r="AK8" s="8" t="n">
        <f aca="false">SUMIFS(DA!$H$7:$H$300,DA!$B$7:$B$300,$B8)</f>
        <v>257210.5</v>
      </c>
      <c r="AL8" s="8" t="n">
        <f aca="false">AK8-AJ8</f>
        <v>-2902.5</v>
      </c>
      <c r="AM8" s="9" t="n">
        <f aca="false">IF(AJ8&gt;0,AL8/AJ8,"")</f>
        <v>-0.0111586118340875</v>
      </c>
      <c r="AN8" s="9" t="n">
        <f aca="false">IF(AK$6=0,"",AK8/AK$6)</f>
        <v>0.0663266551788363</v>
      </c>
    </row>
    <row r="9" customFormat="false" ht="15" hidden="false" customHeight="false" outlineLevel="0" collapsed="false">
      <c r="A9" s="5" t="n">
        <v>3</v>
      </c>
      <c r="B9" s="41" t="s">
        <v>65</v>
      </c>
      <c r="C9" s="42" t="n">
        <f aca="false">IFERROR(INDEX(Prices!$C$6:$C$300,MATCH($B9,Prices!$A$6:$A$300,0)),"")</f>
        <v>437.9</v>
      </c>
      <c r="D9" s="43" t="str">
        <f aca="false">IFERROR(INDEX(Prices!$D$6:$D$300,MATCH($B9,Prices!$A$6:$A$300,0)),"")</f>
        <v>Close 08.10.2026 (Screener.in)</v>
      </c>
      <c r="E9" s="6" t="n">
        <f aca="false">(M9&gt;0)+(T9&gt;0)+(AA9&gt;0)+(AH9&gt;0)</f>
        <v>4</v>
      </c>
      <c r="F9" s="44" t="n">
        <f aca="false">M9+T9+AA9+AH9</f>
        <v>2600</v>
      </c>
      <c r="G9" s="45" t="n">
        <f aca="false">IF(AND(F9&gt;0,H9&gt;0),H9/F9,"")</f>
        <v>465.840384615385</v>
      </c>
      <c r="H9" s="46" t="n">
        <f aca="false">O9+V9+AC9+AJ9</f>
        <v>1211185</v>
      </c>
      <c r="I9" s="47" t="n">
        <f aca="false">P9+W9+AD9+AK9</f>
        <v>1138540</v>
      </c>
      <c r="J9" s="46" t="n">
        <f aca="false">I9-H9</f>
        <v>-72645</v>
      </c>
      <c r="K9" s="48" t="n">
        <f aca="false">IF(H9&gt;0,J9/H9,"")</f>
        <v>-0.0599784508559799</v>
      </c>
      <c r="L9" s="49" t="n">
        <f aca="false">IF(I$6=0,"",I9/I$6)</f>
        <v>0.0801613564588556</v>
      </c>
      <c r="M9" s="50" t="n">
        <f aca="false">SUMIFS('Vidushi Malhotra'!$D$7:$D$300,'Vidushi Malhotra'!$B$7:$B$300,$B9)</f>
        <v>38</v>
      </c>
      <c r="N9" s="51" t="n">
        <f aca="false">IF(AND(M9&gt;0,O9&gt;0),O9/M9,"")</f>
        <v>452.421052631579</v>
      </c>
      <c r="O9" s="8" t="n">
        <f aca="false">SUMIFS('Vidushi Malhotra'!$E$7:$E$300,'Vidushi Malhotra'!$B$7:$B$300,$B9)</f>
        <v>17192</v>
      </c>
      <c r="P9" s="8" t="n">
        <f aca="false">SUMIFS('Vidushi Malhotra'!$H$7:$H$300,'Vidushi Malhotra'!$B$7:$B$300,$B9)</f>
        <v>16640.2</v>
      </c>
      <c r="Q9" s="8" t="n">
        <f aca="false">P9-O9</f>
        <v>-551.799999999999</v>
      </c>
      <c r="R9" s="9" t="n">
        <f aca="false">IF(O9&gt;0,Q9/O9,"")</f>
        <v>-0.0320963238715681</v>
      </c>
      <c r="S9" s="9" t="n">
        <f aca="false">IF(P$6=0,"",P9/P$6)</f>
        <v>0.0739557081742831</v>
      </c>
      <c r="T9" s="50" t="n">
        <f aca="false">SUMIFS('Dr Umesh Choudhry'!$D$7:$D$300,'Dr Umesh Choudhry'!$B$7:$B$300,$B9)</f>
        <v>769</v>
      </c>
      <c r="U9" s="51" t="n">
        <f aca="false">IF(AND(T9&gt;0,V9&gt;0),V9/T9,"")</f>
        <v>451.222366710013</v>
      </c>
      <c r="V9" s="8" t="n">
        <f aca="false">SUMIFS('Dr Umesh Choudhry'!$E$7:$E$300,'Dr Umesh Choudhry'!$B$7:$B$300,$B9)</f>
        <v>346990</v>
      </c>
      <c r="W9" s="8" t="n">
        <f aca="false">SUMIFS('Dr Umesh Choudhry'!$H$7:$H$300,'Dr Umesh Choudhry'!$B$7:$B$300,$B9)</f>
        <v>336745.1</v>
      </c>
      <c r="X9" s="8" t="n">
        <f aca="false">W9-V9</f>
        <v>-10244.9</v>
      </c>
      <c r="Y9" s="9" t="n">
        <f aca="false">IF(V9&gt;0,X9/V9,"")</f>
        <v>-0.0295250583590306</v>
      </c>
      <c r="Z9" s="9" t="n">
        <f aca="false">IF(W$6=0,"",W9/W$6)</f>
        <v>0.062044386630743</v>
      </c>
      <c r="AA9" s="50" t="n">
        <f aca="false">SUMIFS(Gautam!$D$7:$D$300,Gautam!$B$7:$B$300,$B9)</f>
        <v>1001</v>
      </c>
      <c r="AB9" s="51" t="n">
        <f aca="false">IF(AND(AA9&gt;0,AC9&gt;0),AC9/AA9,"")</f>
        <v>470</v>
      </c>
      <c r="AC9" s="8" t="n">
        <f aca="false">SUMIFS(Gautam!$E$7:$E$300,Gautam!$B$7:$B$300,$B9)</f>
        <v>470470</v>
      </c>
      <c r="AD9" s="8" t="n">
        <f aca="false">SUMIFS(Gautam!$H$7:$H$300,Gautam!$B$7:$B$300,$B9)</f>
        <v>438337.9</v>
      </c>
      <c r="AE9" s="8" t="n">
        <f aca="false">AD9-AC9</f>
        <v>-32132.1</v>
      </c>
      <c r="AF9" s="9" t="n">
        <f aca="false">IF(AC9&gt;0,AE9/AC9,"")</f>
        <v>-0.0682978723404256</v>
      </c>
      <c r="AG9" s="9" t="n">
        <f aca="false">IF(AD$6=0,"",AD9/AD$6)</f>
        <v>0.093808708569894</v>
      </c>
      <c r="AH9" s="50" t="n">
        <f aca="false">SUMIFS(DA!$D$7:$D$300,DA!$B$7:$B$300,$B9)</f>
        <v>792</v>
      </c>
      <c r="AI9" s="51" t="n">
        <f aca="false">IF(AND(AH9&gt;0,AJ9&gt;0),AJ9/AH9,"")</f>
        <v>475.420454545455</v>
      </c>
      <c r="AJ9" s="8" t="n">
        <f aca="false">SUMIFS(DA!$E$7:$E$300,DA!$B$7:$B$300,$B9)</f>
        <v>376533</v>
      </c>
      <c r="AK9" s="8" t="n">
        <f aca="false">SUMIFS(DA!$H$7:$H$300,DA!$B$7:$B$300,$B9)</f>
        <v>346816.8</v>
      </c>
      <c r="AL9" s="8" t="n">
        <f aca="false">AK9-AJ9</f>
        <v>-29716.2</v>
      </c>
      <c r="AM9" s="9" t="n">
        <f aca="false">IF(AJ9&gt;0,AL9/AJ9,"")</f>
        <v>-0.0789205726988073</v>
      </c>
      <c r="AN9" s="9" t="n">
        <f aca="false">IF(AK$6=0,"",AK9/AK$6)</f>
        <v>0.0894333563514221</v>
      </c>
    </row>
    <row r="10" customFormat="false" ht="15" hidden="false" customHeight="false" outlineLevel="0" collapsed="false">
      <c r="A10" s="5" t="n">
        <v>4</v>
      </c>
      <c r="B10" s="41" t="s">
        <v>66</v>
      </c>
      <c r="C10" s="42" t="n">
        <f aca="false">IFERROR(INDEX(Prices!$C$6:$C$300,MATCH($B10,Prices!$A$6:$A$300,0)),"")</f>
        <v>692.25</v>
      </c>
      <c r="D10" s="43" t="str">
        <f aca="false">IFERROR(INDEX(Prices!$D$6:$D$300,MATCH($B10,Prices!$A$6:$A$300,0)),"")</f>
        <v>Close 08.10.2026 (Screener.in)</v>
      </c>
      <c r="E10" s="6" t="n">
        <f aca="false">(M10&gt;0)+(T10&gt;0)+(AA10&gt;0)+(AH10&gt;0)</f>
        <v>4</v>
      </c>
      <c r="F10" s="44" t="n">
        <f aca="false">M10+T10+AA10+AH10</f>
        <v>1421</v>
      </c>
      <c r="G10" s="45" t="n">
        <f aca="false">IF(AND(F10&gt;0,H10&gt;0),H10/F10,"")</f>
        <v>807.557353976073</v>
      </c>
      <c r="H10" s="46" t="n">
        <f aca="false">O10+V10+AC10+AJ10</f>
        <v>1147539</v>
      </c>
      <c r="I10" s="47" t="n">
        <f aca="false">P10+W10+AD10+AK10</f>
        <v>983687.25</v>
      </c>
      <c r="J10" s="46" t="n">
        <f aca="false">I10-H10</f>
        <v>-163851.75</v>
      </c>
      <c r="K10" s="48" t="n">
        <f aca="false">IF(H10&gt;0,J10/H10,"")</f>
        <v>-0.142785343243236</v>
      </c>
      <c r="L10" s="49" t="n">
        <f aca="false">IF(I$6=0,"",I10/I$6)</f>
        <v>0.0692586156755857</v>
      </c>
      <c r="M10" s="50" t="n">
        <f aca="false">SUMIFS('Vidushi Malhotra'!$D$7:$D$300,'Vidushi Malhotra'!$B$7:$B$300,$B10)</f>
        <v>21</v>
      </c>
      <c r="N10" s="51" t="n">
        <f aca="false">IF(AND(M10&gt;0,O10&gt;0),O10/M10,"")</f>
        <v>790.380952380952</v>
      </c>
      <c r="O10" s="8" t="n">
        <f aca="false">SUMIFS('Vidushi Malhotra'!$E$7:$E$300,'Vidushi Malhotra'!$B$7:$B$300,$B10)</f>
        <v>16598</v>
      </c>
      <c r="P10" s="8" t="n">
        <f aca="false">SUMIFS('Vidushi Malhotra'!$H$7:$H$300,'Vidushi Malhotra'!$B$7:$B$300,$B10)</f>
        <v>14537.25</v>
      </c>
      <c r="Q10" s="8" t="n">
        <f aca="false">P10-O10</f>
        <v>-2060.75</v>
      </c>
      <c r="R10" s="9" t="n">
        <f aca="false">IF(O10&gt;0,Q10/O10,"")</f>
        <v>-0.124156524882516</v>
      </c>
      <c r="S10" s="9" t="n">
        <f aca="false">IF(P$6=0,"",P10/P$6)</f>
        <v>0.0646093567779592</v>
      </c>
      <c r="T10" s="50" t="n">
        <f aca="false">SUMIFS('Dr Umesh Choudhry'!$D$7:$D$300,'Dr Umesh Choudhry'!$B$7:$B$300,$B10)</f>
        <v>673</v>
      </c>
      <c r="U10" s="51" t="n">
        <f aca="false">IF(AND(T10&gt;0,V10&gt;0),V10/T10,"")</f>
        <v>890.659732540862</v>
      </c>
      <c r="V10" s="8" t="n">
        <f aca="false">SUMIFS('Dr Umesh Choudhry'!$E$7:$E$300,'Dr Umesh Choudhry'!$B$7:$B$300,$B10)</f>
        <v>599414</v>
      </c>
      <c r="W10" s="8" t="n">
        <f aca="false">SUMIFS('Dr Umesh Choudhry'!$H$7:$H$300,'Dr Umesh Choudhry'!$B$7:$B$300,$B10)</f>
        <v>465884.25</v>
      </c>
      <c r="X10" s="8" t="n">
        <f aca="false">W10-V10</f>
        <v>-133529.75</v>
      </c>
      <c r="Y10" s="9" t="n">
        <f aca="false">IF(V10&gt;0,X10/V10,"")</f>
        <v>-0.222767152585692</v>
      </c>
      <c r="Z10" s="9" t="n">
        <f aca="false">IF(W$6=0,"",W10/W$6)</f>
        <v>0.0858379306251932</v>
      </c>
      <c r="AA10" s="50" t="n">
        <f aca="false">SUMIFS(Gautam!$D$7:$D$300,Gautam!$B$7:$B$300,$B10)</f>
        <v>390</v>
      </c>
      <c r="AB10" s="51" t="n">
        <f aca="false">IF(AND(AA10&gt;0,AC10&gt;0),AC10/AA10,"")</f>
        <v>719.4</v>
      </c>
      <c r="AC10" s="8" t="n">
        <f aca="false">SUMIFS(Gautam!$E$7:$E$300,Gautam!$B$7:$B$300,$B10)</f>
        <v>280566</v>
      </c>
      <c r="AD10" s="8" t="n">
        <f aca="false">SUMIFS(Gautam!$H$7:$H$300,Gautam!$B$7:$B$300,$B10)</f>
        <v>269977.5</v>
      </c>
      <c r="AE10" s="8" t="n">
        <f aca="false">AD10-AC10</f>
        <v>-10588.5</v>
      </c>
      <c r="AF10" s="9" t="n">
        <f aca="false">IF(AC10&gt;0,AE10/AC10,"")</f>
        <v>-0.0377397831526272</v>
      </c>
      <c r="AG10" s="9" t="n">
        <f aca="false">IF(AD$6=0,"",AD10/AD$6)</f>
        <v>0.0577778937617043</v>
      </c>
      <c r="AH10" s="50" t="n">
        <f aca="false">SUMIFS(DA!$D$7:$D$300,DA!$B$7:$B$300,$B10)</f>
        <v>337</v>
      </c>
      <c r="AI10" s="51" t="n">
        <f aca="false">IF(AND(AH10&gt;0,AJ10&gt;0),AJ10/AH10,"")</f>
        <v>744.691394658754</v>
      </c>
      <c r="AJ10" s="8" t="n">
        <f aca="false">SUMIFS(DA!$E$7:$E$300,DA!$B$7:$B$300,$B10)</f>
        <v>250961</v>
      </c>
      <c r="AK10" s="8" t="n">
        <f aca="false">SUMIFS(DA!$H$7:$H$300,DA!$B$7:$B$300,$B10)</f>
        <v>233288.25</v>
      </c>
      <c r="AL10" s="8" t="n">
        <f aca="false">AK10-AJ10</f>
        <v>-17672.75</v>
      </c>
      <c r="AM10" s="9" t="n">
        <f aca="false">IF(AJ10&gt;0,AL10/AJ10,"")</f>
        <v>-0.0704203043500783</v>
      </c>
      <c r="AN10" s="9" t="n">
        <f aca="false">IF(AK$6=0,"",AK10/AK$6)</f>
        <v>0.0601578447031679</v>
      </c>
    </row>
    <row r="11" customFormat="false" ht="15" hidden="false" customHeight="false" outlineLevel="0" collapsed="false">
      <c r="A11" s="5" t="n">
        <v>5</v>
      </c>
      <c r="B11" s="41" t="s">
        <v>67</v>
      </c>
      <c r="C11" s="42" t="n">
        <f aca="false">IFERROR(INDEX(Prices!$C$6:$C$300,MATCH($B11,Prices!$A$6:$A$300,0)),"")</f>
        <v>1432.05</v>
      </c>
      <c r="D11" s="43" t="str">
        <f aca="false">IFERROR(INDEX(Prices!$D$6:$D$300,MATCH($B11,Prices!$A$6:$A$300,0)),"")</f>
        <v>Close 08.10.2026 (Screener.in)</v>
      </c>
      <c r="E11" s="6" t="n">
        <f aca="false">(M11&gt;0)+(T11&gt;0)+(AA11&gt;0)+(AH11&gt;0)</f>
        <v>3</v>
      </c>
      <c r="F11" s="44" t="n">
        <f aca="false">M11+T11+AA11+AH11</f>
        <v>480</v>
      </c>
      <c r="G11" s="45" t="n">
        <f aca="false">IF(AND(F11&gt;0,H11&gt;0),H11/F11,"")</f>
        <v>1192.03958333333</v>
      </c>
      <c r="H11" s="46" t="n">
        <f aca="false">O11+V11+AC11+AJ11</f>
        <v>572179</v>
      </c>
      <c r="I11" s="47" t="n">
        <f aca="false">P11+W11+AD11+AK11</f>
        <v>687384</v>
      </c>
      <c r="J11" s="46" t="n">
        <f aca="false">I11-H11</f>
        <v>115205</v>
      </c>
      <c r="K11" s="48" t="n">
        <f aca="false">IF(H11&gt;0,J11/H11,"")</f>
        <v>0.201344334552649</v>
      </c>
      <c r="L11" s="49" t="n">
        <f aca="false">IF(I$6=0,"",I11/I$6)</f>
        <v>0.0483967483339311</v>
      </c>
      <c r="M11" s="50" t="n">
        <f aca="false">SUMIFS('Vidushi Malhotra'!$D$7:$D$300,'Vidushi Malhotra'!$B$7:$B$300,$B11)</f>
        <v>0</v>
      </c>
      <c r="N11" s="51" t="str">
        <f aca="false">IF(AND(M11&gt;0,O11&gt;0),O11/M11,"")</f>
        <v/>
      </c>
      <c r="O11" s="8" t="n">
        <f aca="false">SUMIFS('Vidushi Malhotra'!$E$7:$E$300,'Vidushi Malhotra'!$B$7:$B$300,$B11)</f>
        <v>0</v>
      </c>
      <c r="P11" s="8" t="n">
        <f aca="false">SUMIFS('Vidushi Malhotra'!$H$7:$H$300,'Vidushi Malhotra'!$B$7:$B$300,$B11)</f>
        <v>0</v>
      </c>
      <c r="Q11" s="8" t="n">
        <f aca="false">P11-O11</f>
        <v>0</v>
      </c>
      <c r="R11" s="9" t="str">
        <f aca="false">IF(O11&gt;0,Q11/O11,"")</f>
        <v/>
      </c>
      <c r="S11" s="9" t="n">
        <f aca="false">IF(P$6=0,"",P11/P$6)</f>
        <v>0</v>
      </c>
      <c r="T11" s="50" t="n">
        <f aca="false">SUMIFS('Dr Umesh Choudhry'!$D$7:$D$300,'Dr Umesh Choudhry'!$B$7:$B$300,$B11)</f>
        <v>240</v>
      </c>
      <c r="U11" s="51" t="n">
        <f aca="false">IF(AND(T11&gt;0,V11&gt;0),V11/T11,"")</f>
        <v>846.579166666667</v>
      </c>
      <c r="V11" s="8" t="n">
        <f aca="false">SUMIFS('Dr Umesh Choudhry'!$E$7:$E$300,'Dr Umesh Choudhry'!$B$7:$B$300,$B11)</f>
        <v>203179</v>
      </c>
      <c r="W11" s="8" t="n">
        <f aca="false">SUMIFS('Dr Umesh Choudhry'!$H$7:$H$300,'Dr Umesh Choudhry'!$B$7:$B$300,$B11)</f>
        <v>343692</v>
      </c>
      <c r="X11" s="8" t="n">
        <f aca="false">W11-V11</f>
        <v>140513</v>
      </c>
      <c r="Y11" s="9" t="n">
        <f aca="false">IF(V11&gt;0,X11/V11,"")</f>
        <v>0.691572455814823</v>
      </c>
      <c r="Z11" s="9" t="n">
        <f aca="false">IF(W$6=0,"",W11/W$6)</f>
        <v>0.0633243344294938</v>
      </c>
      <c r="AA11" s="50" t="n">
        <f aca="false">SUMIFS(Gautam!$D$7:$D$300,Gautam!$B$7:$B$300,$B11)</f>
        <v>120</v>
      </c>
      <c r="AB11" s="51" t="n">
        <f aca="false">IF(AND(AA11&gt;0,AC11&gt;0),AC11/AA11,"")</f>
        <v>1666</v>
      </c>
      <c r="AC11" s="8" t="n">
        <f aca="false">SUMIFS(Gautam!$E$7:$E$300,Gautam!$B$7:$B$300,$B11)</f>
        <v>199920</v>
      </c>
      <c r="AD11" s="8" t="n">
        <f aca="false">SUMIFS(Gautam!$H$7:$H$300,Gautam!$B$7:$B$300,$B11)</f>
        <v>171846</v>
      </c>
      <c r="AE11" s="8" t="n">
        <f aca="false">AD11-AC11</f>
        <v>-28074</v>
      </c>
      <c r="AF11" s="9" t="n">
        <f aca="false">IF(AC11&gt;0,AE11/AC11,"")</f>
        <v>-0.140426170468187</v>
      </c>
      <c r="AG11" s="9" t="n">
        <f aca="false">IF(AD$6=0,"",AD11/AD$6)</f>
        <v>0.0367767681802144</v>
      </c>
      <c r="AH11" s="50" t="n">
        <f aca="false">SUMIFS(DA!$D$7:$D$300,DA!$B$7:$B$300,$B11)</f>
        <v>120</v>
      </c>
      <c r="AI11" s="51" t="n">
        <f aca="false">IF(AND(AH11&gt;0,AJ11&gt;0),AJ11/AH11,"")</f>
        <v>1409</v>
      </c>
      <c r="AJ11" s="8" t="n">
        <f aca="false">SUMIFS(DA!$E$7:$E$300,DA!$B$7:$B$300,$B11)</f>
        <v>169080</v>
      </c>
      <c r="AK11" s="8" t="n">
        <f aca="false">SUMIFS(DA!$H$7:$H$300,DA!$B$7:$B$300,$B11)</f>
        <v>171846</v>
      </c>
      <c r="AL11" s="8" t="n">
        <f aca="false">AK11-AJ11</f>
        <v>2766</v>
      </c>
      <c r="AM11" s="9" t="n">
        <f aca="false">IF(AJ11&gt;0,AL11/AJ11,"")</f>
        <v>0.0163591199432221</v>
      </c>
      <c r="AN11" s="9" t="n">
        <f aca="false">IF(AK$6=0,"",AK11/AK$6)</f>
        <v>0.0443137834025528</v>
      </c>
    </row>
    <row r="12" customFormat="false" ht="15" hidden="false" customHeight="false" outlineLevel="0" collapsed="false">
      <c r="A12" s="5" t="n">
        <v>6</v>
      </c>
      <c r="B12" s="41" t="s">
        <v>68</v>
      </c>
      <c r="C12" s="42" t="n">
        <f aca="false">IFERROR(INDEX(Prices!$C$6:$C$300,MATCH($B12,Prices!$A$6:$A$300,0)),"")</f>
        <v>245</v>
      </c>
      <c r="D12" s="43" t="str">
        <f aca="false">IFERROR(INDEX(Prices!$D$6:$D$300,MATCH($B12,Prices!$A$6:$A$300,0)),"")</f>
        <v>Close 08.10.2026 (Screener.in)</v>
      </c>
      <c r="E12" s="6" t="n">
        <f aca="false">(M12&gt;0)+(T12&gt;0)+(AA12&gt;0)+(AH12&gt;0)</f>
        <v>3</v>
      </c>
      <c r="F12" s="44" t="n">
        <f aca="false">M12+T12+AA12+AH12</f>
        <v>2400</v>
      </c>
      <c r="G12" s="45" t="n">
        <f aca="false">IF(AND(F12&gt;0,H12&gt;0),H12/F12,"")</f>
        <v>239.663333333333</v>
      </c>
      <c r="H12" s="46" t="n">
        <f aca="false">O12+V12+AC12+AJ12</f>
        <v>575192</v>
      </c>
      <c r="I12" s="47" t="n">
        <f aca="false">P12+W12+AD12+AK12</f>
        <v>588000</v>
      </c>
      <c r="J12" s="46" t="n">
        <f aca="false">I12-H12</f>
        <v>12808</v>
      </c>
      <c r="K12" s="48" t="n">
        <f aca="false">IF(H12&gt;0,J12/H12,"")</f>
        <v>0.0222673472510049</v>
      </c>
      <c r="L12" s="49" t="n">
        <f aca="false">IF(I$6=0,"",I12/I$6)</f>
        <v>0.0413994041472474</v>
      </c>
      <c r="M12" s="50" t="n">
        <f aca="false">SUMIFS('Vidushi Malhotra'!$D$7:$D$300,'Vidushi Malhotra'!$B$7:$B$300,$B12)</f>
        <v>0</v>
      </c>
      <c r="N12" s="51" t="str">
        <f aca="false">IF(AND(M12&gt;0,O12&gt;0),O12/M12,"")</f>
        <v/>
      </c>
      <c r="O12" s="8" t="n">
        <f aca="false">SUMIFS('Vidushi Malhotra'!$E$7:$E$300,'Vidushi Malhotra'!$B$7:$B$300,$B12)</f>
        <v>0</v>
      </c>
      <c r="P12" s="8" t="n">
        <f aca="false">SUMIFS('Vidushi Malhotra'!$H$7:$H$300,'Vidushi Malhotra'!$B$7:$B$300,$B12)</f>
        <v>0</v>
      </c>
      <c r="Q12" s="8" t="n">
        <f aca="false">P12-O12</f>
        <v>0</v>
      </c>
      <c r="R12" s="9" t="str">
        <f aca="false">IF(O12&gt;0,Q12/O12,"")</f>
        <v/>
      </c>
      <c r="S12" s="9" t="n">
        <f aca="false">IF(P$6=0,"",P12/P$6)</f>
        <v>0</v>
      </c>
      <c r="T12" s="50" t="n">
        <f aca="false">SUMIFS('Dr Umesh Choudhry'!$D$7:$D$300,'Dr Umesh Choudhry'!$B$7:$B$300,$B12)</f>
        <v>800</v>
      </c>
      <c r="U12" s="51" t="n">
        <f aca="false">IF(AND(T12&gt;0,V12&gt;0),V12/T12,"")</f>
        <v>229.99</v>
      </c>
      <c r="V12" s="8" t="n">
        <f aca="false">SUMIFS('Dr Umesh Choudhry'!$E$7:$E$300,'Dr Umesh Choudhry'!$B$7:$B$300,$B12)</f>
        <v>183992</v>
      </c>
      <c r="W12" s="8" t="n">
        <f aca="false">SUMIFS('Dr Umesh Choudhry'!$H$7:$H$300,'Dr Umesh Choudhry'!$B$7:$B$300,$B12)</f>
        <v>196000</v>
      </c>
      <c r="X12" s="8" t="n">
        <f aca="false">W12-V12</f>
        <v>12008</v>
      </c>
      <c r="Y12" s="9" t="n">
        <f aca="false">IF(V12&gt;0,X12/V12,"")</f>
        <v>0.0652637071177008</v>
      </c>
      <c r="Z12" s="9" t="n">
        <f aca="false">IF(W$6=0,"",W12/W$6)</f>
        <v>0.0361124772999685</v>
      </c>
      <c r="AA12" s="50" t="n">
        <f aca="false">SUMIFS(Gautam!$D$7:$D$300,Gautam!$B$7:$B$300,$B12)</f>
        <v>800</v>
      </c>
      <c r="AB12" s="51" t="n">
        <f aca="false">IF(AND(AA12&gt;0,AC12&gt;0),AC12/AA12,"")</f>
        <v>264</v>
      </c>
      <c r="AC12" s="8" t="n">
        <f aca="false">SUMIFS(Gautam!$E$7:$E$300,Gautam!$B$7:$B$300,$B12)</f>
        <v>211200</v>
      </c>
      <c r="AD12" s="8" t="n">
        <f aca="false">SUMIFS(Gautam!$H$7:$H$300,Gautam!$B$7:$B$300,$B12)</f>
        <v>196000</v>
      </c>
      <c r="AE12" s="8" t="n">
        <f aca="false">AD12-AC12</f>
        <v>-15200</v>
      </c>
      <c r="AF12" s="9" t="n">
        <f aca="false">IF(AC12&gt;0,AE12/AC12,"")</f>
        <v>-0.071969696969697</v>
      </c>
      <c r="AG12" s="9" t="n">
        <f aca="false">IF(AD$6=0,"",AD12/AD$6)</f>
        <v>0.0419459665242253</v>
      </c>
      <c r="AH12" s="50" t="n">
        <f aca="false">SUMIFS(DA!$D$7:$D$300,DA!$B$7:$B$300,$B12)</f>
        <v>800</v>
      </c>
      <c r="AI12" s="51" t="n">
        <f aca="false">IF(AND(AH12&gt;0,AJ12&gt;0),AJ12/AH12,"")</f>
        <v>225</v>
      </c>
      <c r="AJ12" s="8" t="n">
        <f aca="false">SUMIFS(DA!$E$7:$E$300,DA!$B$7:$B$300,$B12)</f>
        <v>180000</v>
      </c>
      <c r="AK12" s="8" t="n">
        <f aca="false">SUMIFS(DA!$H$7:$H$300,DA!$B$7:$B$300,$B12)</f>
        <v>196000</v>
      </c>
      <c r="AL12" s="8" t="n">
        <f aca="false">AK12-AJ12</f>
        <v>16000</v>
      </c>
      <c r="AM12" s="9" t="n">
        <f aca="false">IF(AJ12&gt;0,AL12/AJ12,"")</f>
        <v>0.0888888888888889</v>
      </c>
      <c r="AN12" s="9" t="n">
        <f aca="false">IF(AK$6=0,"",AK12/AK$6)</f>
        <v>0.0505423550556914</v>
      </c>
    </row>
    <row r="13" customFormat="false" ht="15" hidden="false" customHeight="false" outlineLevel="0" collapsed="false">
      <c r="A13" s="5" t="n">
        <v>7</v>
      </c>
      <c r="B13" s="41" t="s">
        <v>69</v>
      </c>
      <c r="C13" s="42" t="n">
        <f aca="false">IFERROR(INDEX(Prices!$C$6:$C$300,MATCH($B13,Prices!$A$6:$A$300,0)),"")</f>
        <v>82.14</v>
      </c>
      <c r="D13" s="43" t="str">
        <f aca="false">IFERROR(INDEX(Prices!$D$6:$D$300,MATCH($B13,Prices!$A$6:$A$300,0)),"")</f>
        <v>Close 08.10.2026 (Screener.in)</v>
      </c>
      <c r="E13" s="6" t="n">
        <f aca="false">(M13&gt;0)+(T13&gt;0)+(AA13&gt;0)+(AH13&gt;0)</f>
        <v>4</v>
      </c>
      <c r="F13" s="44" t="n">
        <f aca="false">M13+T13+AA13+AH13</f>
        <v>5377</v>
      </c>
      <c r="G13" s="45" t="n">
        <f aca="false">IF(AND(F13&gt;0,H13&gt;0),H13/F13,"")</f>
        <v>102.884136135391</v>
      </c>
      <c r="H13" s="46" t="n">
        <f aca="false">O13+V13+AC13+AJ13</f>
        <v>553208</v>
      </c>
      <c r="I13" s="47" t="n">
        <f aca="false">P13+W13+AD13+AK13</f>
        <v>441666.78</v>
      </c>
      <c r="J13" s="46" t="n">
        <f aca="false">I13-H13</f>
        <v>-111541.22</v>
      </c>
      <c r="K13" s="48" t="n">
        <f aca="false">IF(H13&gt;0,J13/H13,"")</f>
        <v>-0.2016261876184</v>
      </c>
      <c r="L13" s="49" t="n">
        <f aca="false">IF(I$6=0,"",I13/I$6)</f>
        <v>0.0310964991898527</v>
      </c>
      <c r="M13" s="50" t="n">
        <f aca="false">SUMIFS('Vidushi Malhotra'!$D$7:$D$300,'Vidushi Malhotra'!$B$7:$B$300,$B13)</f>
        <v>121</v>
      </c>
      <c r="N13" s="51" t="n">
        <f aca="false">IF(AND(M13&gt;0,O13&gt;0),O13/M13,"")</f>
        <v>115.438016528926</v>
      </c>
      <c r="O13" s="8" t="n">
        <f aca="false">SUMIFS('Vidushi Malhotra'!$E$7:$E$300,'Vidushi Malhotra'!$B$7:$B$300,$B13)</f>
        <v>13968</v>
      </c>
      <c r="P13" s="8" t="n">
        <f aca="false">SUMIFS('Vidushi Malhotra'!$H$7:$H$300,'Vidushi Malhotra'!$B$7:$B$300,$B13)</f>
        <v>9938.94</v>
      </c>
      <c r="Q13" s="8" t="n">
        <f aca="false">P13-O13</f>
        <v>-4029.06</v>
      </c>
      <c r="R13" s="9" t="n">
        <f aca="false">IF(O13&gt;0,Q13/O13,"")</f>
        <v>-0.288449312714777</v>
      </c>
      <c r="S13" s="9" t="n">
        <f aca="false">IF(P$6=0,"",P13/P$6)</f>
        <v>0.0441726269036255</v>
      </c>
      <c r="T13" s="50" t="n">
        <f aca="false">SUMIFS('Dr Umesh Choudhry'!$D$7:$D$300,'Dr Umesh Choudhry'!$B$7:$B$300,$B13)</f>
        <v>2198</v>
      </c>
      <c r="U13" s="51" t="n">
        <f aca="false">IF(AND(T13&gt;0,V13&gt;0),V13/T13,"")</f>
        <v>116.378525932666</v>
      </c>
      <c r="V13" s="8" t="n">
        <f aca="false">SUMIFS('Dr Umesh Choudhry'!$E$7:$E$300,'Dr Umesh Choudhry'!$B$7:$B$300,$B13)</f>
        <v>255800</v>
      </c>
      <c r="W13" s="8" t="n">
        <f aca="false">SUMIFS('Dr Umesh Choudhry'!$H$7:$H$300,'Dr Umesh Choudhry'!$B$7:$B$300,$B13)</f>
        <v>180543.72</v>
      </c>
      <c r="X13" s="8" t="n">
        <f aca="false">W13-V13</f>
        <v>-75256.28</v>
      </c>
      <c r="Y13" s="9" t="n">
        <f aca="false">IF(V13&gt;0,X13/V13,"")</f>
        <v>-0.294199687255669</v>
      </c>
      <c r="Z13" s="9" t="n">
        <f aca="false">IF(W$6=0,"",W13/W$6)</f>
        <v>0.0332646989293463</v>
      </c>
      <c r="AA13" s="50" t="n">
        <f aca="false">SUMIFS(Gautam!$D$7:$D$300,Gautam!$B$7:$B$300,$B13)</f>
        <v>1326</v>
      </c>
      <c r="AB13" s="51" t="n">
        <f aca="false">IF(AND(AA13&gt;0,AC13&gt;0),AC13/AA13,"")</f>
        <v>83.4901960784314</v>
      </c>
      <c r="AC13" s="8" t="n">
        <f aca="false">SUMIFS(Gautam!$E$7:$E$300,Gautam!$B$7:$B$300,$B13)</f>
        <v>110708</v>
      </c>
      <c r="AD13" s="8" t="n">
        <f aca="false">SUMIFS(Gautam!$H$7:$H$300,Gautam!$B$7:$B$300,$B13)</f>
        <v>108917.64</v>
      </c>
      <c r="AE13" s="8" t="n">
        <f aca="false">AD13-AC13</f>
        <v>-1790.36</v>
      </c>
      <c r="AF13" s="9" t="n">
        <f aca="false">IF(AC13&gt;0,AE13/AC13,"")</f>
        <v>-0.0161719116956318</v>
      </c>
      <c r="AG13" s="9" t="n">
        <f aca="false">IF(AD$6=0,"",AD13/AD$6)</f>
        <v>0.0233094677619266</v>
      </c>
      <c r="AH13" s="50" t="n">
        <f aca="false">SUMIFS(DA!$D$7:$D$300,DA!$B$7:$B$300,$B13)</f>
        <v>1732</v>
      </c>
      <c r="AI13" s="51" t="n">
        <f aca="false">IF(AND(AH13&gt;0,AJ13&gt;0),AJ13/AH13,"")</f>
        <v>99.729792147806</v>
      </c>
      <c r="AJ13" s="8" t="n">
        <f aca="false">SUMIFS(DA!$E$7:$E$300,DA!$B$7:$B$300,$B13)</f>
        <v>172732</v>
      </c>
      <c r="AK13" s="8" t="n">
        <f aca="false">SUMIFS(DA!$H$7:$H$300,DA!$B$7:$B$300,$B13)</f>
        <v>142266.48</v>
      </c>
      <c r="AL13" s="8" t="n">
        <f aca="false">AK13-AJ13</f>
        <v>-30465.52</v>
      </c>
      <c r="AM13" s="9" t="n">
        <f aca="false">IF(AJ13&gt;0,AL13/AJ13,"")</f>
        <v>-0.176374499224232</v>
      </c>
      <c r="AN13" s="9" t="n">
        <f aca="false">IF(AK$6=0,"",AK13/AK$6)</f>
        <v>0.0366861374728746</v>
      </c>
    </row>
    <row r="14" customFormat="false" ht="15" hidden="false" customHeight="false" outlineLevel="0" collapsed="false">
      <c r="A14" s="5" t="n">
        <v>8</v>
      </c>
      <c r="B14" s="41" t="s">
        <v>70</v>
      </c>
      <c r="C14" s="42" t="n">
        <f aca="false">IFERROR(INDEX(Prices!$C$6:$C$300,MATCH($B14,Prices!$A$6:$A$300,0)),"")</f>
        <v>3915</v>
      </c>
      <c r="D14" s="43" t="str">
        <f aca="false">IFERROR(INDEX(Prices!$D$6:$D$300,MATCH($B14,Prices!$A$6:$A$300,0)),"")</f>
        <v>Close 08.10.2026 (Screener.in)</v>
      </c>
      <c r="E14" s="6" t="n">
        <f aca="false">(M14&gt;0)+(T14&gt;0)+(AA14&gt;0)+(AH14&gt;0)</f>
        <v>4</v>
      </c>
      <c r="F14" s="44" t="n">
        <f aca="false">M14+T14+AA14+AH14</f>
        <v>104</v>
      </c>
      <c r="G14" s="45" t="n">
        <f aca="false">IF(AND(F14&gt;0,H14&gt;0),H14/F14,"")</f>
        <v>5041.34615384615</v>
      </c>
      <c r="H14" s="46" t="n">
        <f aca="false">O14+V14+AC14+AJ14</f>
        <v>524300</v>
      </c>
      <c r="I14" s="47" t="n">
        <f aca="false">P14+W14+AD14+AK14</f>
        <v>407160</v>
      </c>
      <c r="J14" s="46" t="n">
        <f aca="false">I14-H14</f>
        <v>-117140</v>
      </c>
      <c r="K14" s="48" t="n">
        <f aca="false">IF(H14&gt;0,J14/H14,"")</f>
        <v>-0.22342170513065</v>
      </c>
      <c r="L14" s="49" t="n">
        <f aca="false">IF(I$6=0,"",I14/I$6)</f>
        <v>0.0286669751574715</v>
      </c>
      <c r="M14" s="50" t="n">
        <f aca="false">SUMIFS('Vidushi Malhotra'!$D$7:$D$300,'Vidushi Malhotra'!$B$7:$B$300,$B14)</f>
        <v>2</v>
      </c>
      <c r="N14" s="51" t="n">
        <f aca="false">IF(AND(M14&gt;0,O14&gt;0),O14/M14,"")</f>
        <v>5099</v>
      </c>
      <c r="O14" s="8" t="n">
        <f aca="false">SUMIFS('Vidushi Malhotra'!$E$7:$E$300,'Vidushi Malhotra'!$B$7:$B$300,$B14)</f>
        <v>10198</v>
      </c>
      <c r="P14" s="8" t="n">
        <f aca="false">SUMIFS('Vidushi Malhotra'!$H$7:$H$300,'Vidushi Malhotra'!$B$7:$B$300,$B14)</f>
        <v>7830</v>
      </c>
      <c r="Q14" s="8" t="n">
        <f aca="false">P14-O14</f>
        <v>-2368</v>
      </c>
      <c r="R14" s="9" t="n">
        <f aca="false">IF(O14&gt;0,Q14/O14,"")</f>
        <v>-0.232202392626005</v>
      </c>
      <c r="S14" s="9" t="n">
        <f aca="false">IF(P$6=0,"",P14/P$6)</f>
        <v>0.0347996535501158</v>
      </c>
      <c r="T14" s="50" t="n">
        <f aca="false">SUMIFS('Dr Umesh Choudhry'!$D$7:$D$300,'Dr Umesh Choudhry'!$B$7:$B$300,$B14)</f>
        <v>37</v>
      </c>
      <c r="U14" s="51" t="n">
        <f aca="false">IF(AND(T14&gt;0,V14&gt;0),V14/T14,"")</f>
        <v>5854.10810810811</v>
      </c>
      <c r="V14" s="8" t="n">
        <f aca="false">SUMIFS('Dr Umesh Choudhry'!$E$7:$E$300,'Dr Umesh Choudhry'!$B$7:$B$300,$B14)</f>
        <v>216602</v>
      </c>
      <c r="W14" s="8" t="n">
        <f aca="false">SUMIFS('Dr Umesh Choudhry'!$H$7:$H$300,'Dr Umesh Choudhry'!$B$7:$B$300,$B14)</f>
        <v>144855</v>
      </c>
      <c r="X14" s="8" t="n">
        <f aca="false">W14-V14</f>
        <v>-71747</v>
      </c>
      <c r="Y14" s="9" t="n">
        <f aca="false">IF(V14&gt;0,X14/V14,"")</f>
        <v>-0.331238862060369</v>
      </c>
      <c r="Z14" s="9" t="n">
        <f aca="false">IF(W$6=0,"",W14/W$6)</f>
        <v>0.0266891474453415</v>
      </c>
      <c r="AA14" s="50" t="n">
        <f aca="false">SUMIFS(Gautam!$D$7:$D$300,Gautam!$B$7:$B$300,$B14)</f>
        <v>60</v>
      </c>
      <c r="AB14" s="51" t="n">
        <f aca="false">IF(AND(AA14&gt;0,AC14&gt;0),AC14/AA14,"")</f>
        <v>4564</v>
      </c>
      <c r="AC14" s="8" t="n">
        <f aca="false">SUMIFS(Gautam!$E$7:$E$300,Gautam!$B$7:$B$300,$B14)</f>
        <v>273840</v>
      </c>
      <c r="AD14" s="8" t="n">
        <f aca="false">SUMIFS(Gautam!$H$7:$H$300,Gautam!$B$7:$B$300,$B14)</f>
        <v>234900</v>
      </c>
      <c r="AE14" s="8" t="n">
        <f aca="false">AD14-AC14</f>
        <v>-38940</v>
      </c>
      <c r="AF14" s="9" t="n">
        <f aca="false">IF(AC14&gt;0,AE14/AC14,"")</f>
        <v>-0.142199824715162</v>
      </c>
      <c r="AG14" s="9" t="n">
        <f aca="false">IF(AD$6=0,"",AD14/AD$6)</f>
        <v>0.0502709568190843</v>
      </c>
      <c r="AH14" s="50" t="n">
        <f aca="false">SUMIFS(DA!$D$7:$D$300,DA!$B$7:$B$300,$B14)</f>
        <v>5</v>
      </c>
      <c r="AI14" s="51" t="n">
        <f aca="false">IF(AND(AH14&gt;0,AJ14&gt;0),AJ14/AH14,"")</f>
        <v>4732</v>
      </c>
      <c r="AJ14" s="8" t="n">
        <f aca="false">SUMIFS(DA!$E$7:$E$300,DA!$B$7:$B$300,$B14)</f>
        <v>23660</v>
      </c>
      <c r="AK14" s="8" t="n">
        <f aca="false">SUMIFS(DA!$H$7:$H$300,DA!$B$7:$B$300,$B14)</f>
        <v>19575</v>
      </c>
      <c r="AL14" s="8" t="n">
        <f aca="false">AK14-AJ14</f>
        <v>-4085</v>
      </c>
      <c r="AM14" s="9" t="n">
        <f aca="false">IF(AJ14&gt;0,AL14/AJ14,"")</f>
        <v>-0.172654268808115</v>
      </c>
      <c r="AN14" s="9" t="n">
        <f aca="false">IF(AK$6=0,"",AK14/AK$6)</f>
        <v>0.00504778877660796</v>
      </c>
    </row>
    <row r="15" customFormat="false" ht="15" hidden="false" customHeight="false" outlineLevel="0" collapsed="false">
      <c r="A15" s="5" t="n">
        <v>9</v>
      </c>
      <c r="B15" s="41" t="s">
        <v>71</v>
      </c>
      <c r="C15" s="42" t="n">
        <f aca="false">IFERROR(INDEX(Prices!$C$6:$C$300,MATCH($B15,Prices!$A$6:$A$300,0)),"")</f>
        <v>1000</v>
      </c>
      <c r="D15" s="43" t="str">
        <f aca="false">IFERROR(INDEX(Prices!$D$6:$D$300,MATCH($B15,Prices!$A$6:$A$300,0)),"")</f>
        <v>Gautam stmt – 05.10</v>
      </c>
      <c r="E15" s="6" t="n">
        <f aca="false">(M15&gt;0)+(T15&gt;0)+(AA15&gt;0)+(AH15&gt;0)</f>
        <v>1</v>
      </c>
      <c r="F15" s="44" t="n">
        <f aca="false">M15+T15+AA15+AH15</f>
        <v>300</v>
      </c>
      <c r="G15" s="45" t="n">
        <f aca="false">IF(AND(F15&gt;0,H15&gt;0),H15/F15,"")</f>
        <v>1000</v>
      </c>
      <c r="H15" s="46" t="n">
        <f aca="false">O15+V15+AC15+AJ15</f>
        <v>300000</v>
      </c>
      <c r="I15" s="47" t="n">
        <f aca="false">P15+W15+AD15+AK15</f>
        <v>300000</v>
      </c>
      <c r="J15" s="46" t="n">
        <f aca="false">I15-H15</f>
        <v>0</v>
      </c>
      <c r="K15" s="48" t="n">
        <f aca="false">IF(H15&gt;0,J15/H15,"")</f>
        <v>0</v>
      </c>
      <c r="L15" s="49" t="n">
        <f aca="false">IF(I$6=0,"",I15/I$6)</f>
        <v>0.0211221449730854</v>
      </c>
      <c r="M15" s="50" t="n">
        <f aca="false">SUMIFS('Vidushi Malhotra'!$D$7:$D$300,'Vidushi Malhotra'!$B$7:$B$300,$B15)</f>
        <v>0</v>
      </c>
      <c r="N15" s="51" t="str">
        <f aca="false">IF(AND(M15&gt;0,O15&gt;0),O15/M15,"")</f>
        <v/>
      </c>
      <c r="O15" s="8" t="n">
        <f aca="false">SUMIFS('Vidushi Malhotra'!$E$7:$E$300,'Vidushi Malhotra'!$B$7:$B$300,$B15)</f>
        <v>0</v>
      </c>
      <c r="P15" s="8" t="n">
        <f aca="false">SUMIFS('Vidushi Malhotra'!$H$7:$H$300,'Vidushi Malhotra'!$B$7:$B$300,$B15)</f>
        <v>0</v>
      </c>
      <c r="Q15" s="8" t="n">
        <f aca="false">P15-O15</f>
        <v>0</v>
      </c>
      <c r="R15" s="9" t="str">
        <f aca="false">IF(O15&gt;0,Q15/O15,"")</f>
        <v/>
      </c>
      <c r="S15" s="9" t="n">
        <f aca="false">IF(P$6=0,"",P15/P$6)</f>
        <v>0</v>
      </c>
      <c r="T15" s="50" t="n">
        <f aca="false">SUMIFS('Dr Umesh Choudhry'!$D$7:$D$300,'Dr Umesh Choudhry'!$B$7:$B$300,$B15)</f>
        <v>0</v>
      </c>
      <c r="U15" s="51" t="str">
        <f aca="false">IF(AND(T15&gt;0,V15&gt;0),V15/T15,"")</f>
        <v/>
      </c>
      <c r="V15" s="8" t="n">
        <f aca="false">SUMIFS('Dr Umesh Choudhry'!$E$7:$E$300,'Dr Umesh Choudhry'!$B$7:$B$300,$B15)</f>
        <v>0</v>
      </c>
      <c r="W15" s="8" t="n">
        <f aca="false">SUMIFS('Dr Umesh Choudhry'!$H$7:$H$300,'Dr Umesh Choudhry'!$B$7:$B$300,$B15)</f>
        <v>0</v>
      </c>
      <c r="X15" s="8" t="n">
        <f aca="false">W15-V15</f>
        <v>0</v>
      </c>
      <c r="Y15" s="9" t="str">
        <f aca="false">IF(V15&gt;0,X15/V15,"")</f>
        <v/>
      </c>
      <c r="Z15" s="9" t="n">
        <f aca="false">IF(W$6=0,"",W15/W$6)</f>
        <v>0</v>
      </c>
      <c r="AA15" s="50" t="n">
        <f aca="false">SUMIFS(Gautam!$D$7:$D$300,Gautam!$B$7:$B$300,$B15)</f>
        <v>300</v>
      </c>
      <c r="AB15" s="51" t="n">
        <f aca="false">IF(AND(AA15&gt;0,AC15&gt;0),AC15/AA15,"")</f>
        <v>1000</v>
      </c>
      <c r="AC15" s="8" t="n">
        <f aca="false">SUMIFS(Gautam!$E$7:$E$300,Gautam!$B$7:$B$300,$B15)</f>
        <v>300000</v>
      </c>
      <c r="AD15" s="8" t="n">
        <f aca="false">SUMIFS(Gautam!$H$7:$H$300,Gautam!$B$7:$B$300,$B15)</f>
        <v>300000</v>
      </c>
      <c r="AE15" s="8" t="n">
        <f aca="false">AD15-AC15</f>
        <v>0</v>
      </c>
      <c r="AF15" s="9" t="n">
        <f aca="false">IF(AC15&gt;0,AE15/AC15,"")</f>
        <v>0</v>
      </c>
      <c r="AG15" s="9" t="n">
        <f aca="false">IF(AD$6=0,"",AD15/AD$6)</f>
        <v>0.0642030099860591</v>
      </c>
      <c r="AH15" s="50" t="n">
        <f aca="false">SUMIFS(DA!$D$7:$D$300,DA!$B$7:$B$300,$B15)</f>
        <v>0</v>
      </c>
      <c r="AI15" s="51" t="str">
        <f aca="false">IF(AND(AH15&gt;0,AJ15&gt;0),AJ15/AH15,"")</f>
        <v/>
      </c>
      <c r="AJ15" s="8" t="n">
        <f aca="false">SUMIFS(DA!$E$7:$E$300,DA!$B$7:$B$300,$B15)</f>
        <v>0</v>
      </c>
      <c r="AK15" s="8" t="n">
        <f aca="false">SUMIFS(DA!$H$7:$H$300,DA!$B$7:$B$300,$B15)</f>
        <v>0</v>
      </c>
      <c r="AL15" s="8" t="n">
        <f aca="false">AK15-AJ15</f>
        <v>0</v>
      </c>
      <c r="AM15" s="9" t="str">
        <f aca="false">IF(AJ15&gt;0,AL15/AJ15,"")</f>
        <v/>
      </c>
      <c r="AN15" s="9" t="n">
        <f aca="false">IF(AK$6=0,"",AK15/AK$6)</f>
        <v>0</v>
      </c>
    </row>
    <row r="16" customFormat="false" ht="15" hidden="false" customHeight="false" outlineLevel="0" collapsed="false">
      <c r="A16" s="5" t="n">
        <v>10</v>
      </c>
      <c r="B16" s="41" t="s">
        <v>72</v>
      </c>
      <c r="C16" s="42" t="n">
        <f aca="false">IFERROR(INDEX(Prices!$C$6:$C$300,MATCH($B16,Prices!$A$6:$A$300,0)),"")</f>
        <v>55.99</v>
      </c>
      <c r="D16" s="43" t="str">
        <f aca="false">IFERROR(INDEX(Prices!$D$6:$D$300,MATCH($B16,Prices!$A$6:$A$300,0)),"")</f>
        <v>Close 08.10.2026 (Screener.in)</v>
      </c>
      <c r="E16" s="6" t="n">
        <f aca="false">(M16&gt;0)+(T16&gt;0)+(AA16&gt;0)+(AH16&gt;0)</f>
        <v>4</v>
      </c>
      <c r="F16" s="44" t="n">
        <f aca="false">M16+T16+AA16+AH16</f>
        <v>5142</v>
      </c>
      <c r="G16" s="45" t="n">
        <f aca="false">IF(AND(F16&gt;0,H16&gt;0),H16/F16,"")</f>
        <v>39.8249708284714</v>
      </c>
      <c r="H16" s="46" t="n">
        <f aca="false">O16+V16+AC16+AJ16</f>
        <v>204780</v>
      </c>
      <c r="I16" s="47" t="n">
        <f aca="false">P16+W16+AD16+AK16</f>
        <v>287900.58</v>
      </c>
      <c r="J16" s="46" t="n">
        <f aca="false">I16-H16</f>
        <v>83120.58</v>
      </c>
      <c r="K16" s="48" t="n">
        <f aca="false">IF(H16&gt;0,J16/H16,"")</f>
        <v>0.405901845883387</v>
      </c>
      <c r="L16" s="49" t="n">
        <f aca="false">IF(I$6=0,"",I16/I$6)</f>
        <v>0.0202702592953179</v>
      </c>
      <c r="M16" s="50" t="n">
        <f aca="false">SUMIFS('Vidushi Malhotra'!$D$7:$D$300,'Vidushi Malhotra'!$B$7:$B$300,$B16)</f>
        <v>50</v>
      </c>
      <c r="N16" s="51" t="n">
        <f aca="false">IF(AND(M16&gt;0,O16&gt;0),O16/M16,"")</f>
        <v>37.54</v>
      </c>
      <c r="O16" s="8" t="n">
        <f aca="false">SUMIFS('Vidushi Malhotra'!$E$7:$E$300,'Vidushi Malhotra'!$B$7:$B$300,$B16)</f>
        <v>1877</v>
      </c>
      <c r="P16" s="8" t="n">
        <f aca="false">SUMIFS('Vidushi Malhotra'!$H$7:$H$300,'Vidushi Malhotra'!$B$7:$B$300,$B16)</f>
        <v>2799.5</v>
      </c>
      <c r="Q16" s="8" t="n">
        <f aca="false">P16-O16</f>
        <v>922.5</v>
      </c>
      <c r="R16" s="9" t="n">
        <f aca="false">IF(O16&gt;0,Q16/O16,"")</f>
        <v>0.491475759190197</v>
      </c>
      <c r="S16" s="9" t="n">
        <f aca="false">IF(P$6=0,"",P16/P$6)</f>
        <v>0.0124420983542208</v>
      </c>
      <c r="T16" s="50" t="n">
        <f aca="false">SUMIFS('Dr Umesh Choudhry'!$D$7:$D$300,'Dr Umesh Choudhry'!$B$7:$B$300,$B16)</f>
        <v>2370</v>
      </c>
      <c r="U16" s="51" t="n">
        <f aca="false">IF(AND(T16&gt;0,V16&gt;0),V16/T16,"")</f>
        <v>39.8299578059072</v>
      </c>
      <c r="V16" s="8" t="n">
        <f aca="false">SUMIFS('Dr Umesh Choudhry'!$E$7:$E$300,'Dr Umesh Choudhry'!$B$7:$B$300,$B16)</f>
        <v>94397</v>
      </c>
      <c r="W16" s="8" t="n">
        <f aca="false">SUMIFS('Dr Umesh Choudhry'!$H$7:$H$300,'Dr Umesh Choudhry'!$B$7:$B$300,$B16)</f>
        <v>132696.3</v>
      </c>
      <c r="X16" s="8" t="n">
        <f aca="false">W16-V16</f>
        <v>38299.3</v>
      </c>
      <c r="Y16" s="9" t="n">
        <f aca="false">IF(V16&gt;0,X16/V16,"")</f>
        <v>0.405725817557762</v>
      </c>
      <c r="Z16" s="9" t="n">
        <f aca="false">IF(W$6=0,"",W16/W$6)</f>
        <v>0.0244489393956113</v>
      </c>
      <c r="AA16" s="50" t="n">
        <f aca="false">SUMIFS(Gautam!$D$7:$D$300,Gautam!$B$7:$B$300,$B16)</f>
        <v>692</v>
      </c>
      <c r="AB16" s="51" t="n">
        <f aca="false">IF(AND(AA16&gt;0,AC16&gt;0),AC16/AA16,"")</f>
        <v>57.0606936416185</v>
      </c>
      <c r="AC16" s="8" t="n">
        <f aca="false">SUMIFS(Gautam!$E$7:$E$300,Gautam!$B$7:$B$300,$B16)</f>
        <v>39486</v>
      </c>
      <c r="AD16" s="8" t="n">
        <f aca="false">SUMIFS(Gautam!$H$7:$H$300,Gautam!$B$7:$B$300,$B16)</f>
        <v>38745.08</v>
      </c>
      <c r="AE16" s="8" t="n">
        <f aca="false">AD16-AC16</f>
        <v>-740.919999999998</v>
      </c>
      <c r="AF16" s="9" t="n">
        <f aca="false">IF(AC16&gt;0,AE16/AC16,"")</f>
        <v>-0.0187641189282277</v>
      </c>
      <c r="AG16" s="9" t="n">
        <f aca="false">IF(AD$6=0,"",AD16/AD$6)</f>
        <v>0.0082918358605022</v>
      </c>
      <c r="AH16" s="50" t="n">
        <f aca="false">SUMIFS(DA!$D$7:$D$300,DA!$B$7:$B$300,$B16)</f>
        <v>2030</v>
      </c>
      <c r="AI16" s="51" t="n">
        <f aca="false">IF(AND(AH16&gt;0,AJ16&gt;0),AJ16/AH16,"")</f>
        <v>34</v>
      </c>
      <c r="AJ16" s="8" t="n">
        <f aca="false">SUMIFS(DA!$E$7:$E$300,DA!$B$7:$B$300,$B16)</f>
        <v>69020</v>
      </c>
      <c r="AK16" s="8" t="n">
        <f aca="false">SUMIFS(DA!$H$7:$H$300,DA!$B$7:$B$300,$B16)</f>
        <v>113659.7</v>
      </c>
      <c r="AL16" s="8" t="n">
        <f aca="false">AK16-AJ16</f>
        <v>44639.7</v>
      </c>
      <c r="AM16" s="9" t="n">
        <f aca="false">IF(AJ16&gt;0,AL16/AJ16,"")</f>
        <v>0.646764705882353</v>
      </c>
      <c r="AN16" s="9" t="n">
        <f aca="false">IF(AK$6=0,"",AK16/AK$6)</f>
        <v>0.0293093311883846</v>
      </c>
    </row>
    <row r="17" customFormat="false" ht="15" hidden="false" customHeight="false" outlineLevel="0" collapsed="false">
      <c r="A17" s="5" t="n">
        <v>11</v>
      </c>
      <c r="B17" s="41" t="s">
        <v>73</v>
      </c>
      <c r="C17" s="42" t="n">
        <f aca="false">IFERROR(INDEX(Prices!$C$6:$C$300,MATCH($B17,Prices!$A$6:$A$300,0)),"")</f>
        <v>5468</v>
      </c>
      <c r="D17" s="43" t="str">
        <f aca="false">IFERROR(INDEX(Prices!$D$6:$D$300,MATCH($B17,Prices!$A$6:$A$300,0)),"")</f>
        <v>Close 08.10.2026 (Screener.in)</v>
      </c>
      <c r="E17" s="6" t="n">
        <f aca="false">(M17&gt;0)+(T17&gt;0)+(AA17&gt;0)+(AH17&gt;0)</f>
        <v>3</v>
      </c>
      <c r="F17" s="44" t="n">
        <f aca="false">M17+T17+AA17+AH17</f>
        <v>51</v>
      </c>
      <c r="G17" s="45" t="n">
        <f aca="false">IF(AND(F17&gt;0,H17&gt;0),H17/F17,"")</f>
        <v>5227.92156862745</v>
      </c>
      <c r="H17" s="46" t="n">
        <f aca="false">O17+V17+AC17+AJ17</f>
        <v>266624</v>
      </c>
      <c r="I17" s="47" t="n">
        <f aca="false">P17+W17+AD17+AK17</f>
        <v>278868</v>
      </c>
      <c r="J17" s="46" t="n">
        <f aca="false">I17-H17</f>
        <v>12244</v>
      </c>
      <c r="K17" s="48" t="n">
        <f aca="false">IF(H17&gt;0,J17/H17,"")</f>
        <v>0.0459223475756121</v>
      </c>
      <c r="L17" s="49" t="n">
        <f aca="false">IF(I$6=0,"",I17/I$6)</f>
        <v>0.0196343010811813</v>
      </c>
      <c r="M17" s="50" t="n">
        <f aca="false">SUMIFS('Vidushi Malhotra'!$D$7:$D$300,'Vidushi Malhotra'!$B$7:$B$300,$B17)</f>
        <v>0</v>
      </c>
      <c r="N17" s="51" t="str">
        <f aca="false">IF(AND(M17&gt;0,O17&gt;0),O17/M17,"")</f>
        <v/>
      </c>
      <c r="O17" s="8" t="n">
        <f aca="false">SUMIFS('Vidushi Malhotra'!$E$7:$E$300,'Vidushi Malhotra'!$B$7:$B$300,$B17)</f>
        <v>0</v>
      </c>
      <c r="P17" s="8" t="n">
        <f aca="false">SUMIFS('Vidushi Malhotra'!$H$7:$H$300,'Vidushi Malhotra'!$B$7:$B$300,$B17)</f>
        <v>0</v>
      </c>
      <c r="Q17" s="8" t="n">
        <f aca="false">P17-O17</f>
        <v>0</v>
      </c>
      <c r="R17" s="9" t="str">
        <f aca="false">IF(O17&gt;0,Q17/O17,"")</f>
        <v/>
      </c>
      <c r="S17" s="9" t="n">
        <f aca="false">IF(P$6=0,"",P17/P$6)</f>
        <v>0</v>
      </c>
      <c r="T17" s="50" t="n">
        <f aca="false">SUMIFS('Dr Umesh Choudhry'!$D$7:$D$300,'Dr Umesh Choudhry'!$B$7:$B$300,$B17)</f>
        <v>17</v>
      </c>
      <c r="U17" s="51" t="n">
        <f aca="false">IF(AND(T17&gt;0,V17&gt;0),V17/T17,"")</f>
        <v>5101.94117647059</v>
      </c>
      <c r="V17" s="8" t="n">
        <f aca="false">SUMIFS('Dr Umesh Choudhry'!$E$7:$E$300,'Dr Umesh Choudhry'!$B$7:$B$300,$B17)</f>
        <v>86733</v>
      </c>
      <c r="W17" s="8" t="n">
        <f aca="false">SUMIFS('Dr Umesh Choudhry'!$H$7:$H$300,'Dr Umesh Choudhry'!$B$7:$B$300,$B17)</f>
        <v>92956</v>
      </c>
      <c r="X17" s="8" t="n">
        <f aca="false">W17-V17</f>
        <v>6223</v>
      </c>
      <c r="Y17" s="9" t="n">
        <f aca="false">IF(V17&gt;0,X17/V17,"")</f>
        <v>0.0717489306261746</v>
      </c>
      <c r="Z17" s="9" t="n">
        <f aca="false">IF(W$6=0,"",W17/W$6)</f>
        <v>0.0171268951015096</v>
      </c>
      <c r="AA17" s="50" t="n">
        <f aca="false">SUMIFS(Gautam!$D$7:$D$300,Gautam!$B$7:$B$300,$B17)</f>
        <v>16</v>
      </c>
      <c r="AB17" s="51" t="n">
        <f aca="false">IF(AND(AA17&gt;0,AC17&gt;0),AC17/AA17,"")</f>
        <v>5501.125</v>
      </c>
      <c r="AC17" s="8" t="n">
        <f aca="false">SUMIFS(Gautam!$E$7:$E$300,Gautam!$B$7:$B$300,$B17)</f>
        <v>88018</v>
      </c>
      <c r="AD17" s="8" t="n">
        <f aca="false">SUMIFS(Gautam!$H$7:$H$300,Gautam!$B$7:$B$300,$B17)</f>
        <v>87488</v>
      </c>
      <c r="AE17" s="8" t="n">
        <f aca="false">AD17-AC17</f>
        <v>-530</v>
      </c>
      <c r="AF17" s="9" t="n">
        <f aca="false">IF(AC17&gt;0,AE17/AC17,"")</f>
        <v>-0.00602149560317208</v>
      </c>
      <c r="AG17" s="9" t="n">
        <f aca="false">IF(AD$6=0,"",AD17/AD$6)</f>
        <v>0.0187233097922011</v>
      </c>
      <c r="AH17" s="50" t="n">
        <f aca="false">SUMIFS(DA!$D$7:$D$300,DA!$B$7:$B$300,$B17)</f>
        <v>18</v>
      </c>
      <c r="AI17" s="51" t="n">
        <f aca="false">IF(AND(AH17&gt;0,AJ17&gt;0),AJ17/AH17,"")</f>
        <v>5104.05555555556</v>
      </c>
      <c r="AJ17" s="8" t="n">
        <f aca="false">SUMIFS(DA!$E$7:$E$300,DA!$B$7:$B$300,$B17)</f>
        <v>91873</v>
      </c>
      <c r="AK17" s="8" t="n">
        <f aca="false">SUMIFS(DA!$H$7:$H$300,DA!$B$7:$B$300,$B17)</f>
        <v>98424</v>
      </c>
      <c r="AL17" s="8" t="n">
        <f aca="false">AK17-AJ17</f>
        <v>6551</v>
      </c>
      <c r="AM17" s="9" t="n">
        <f aca="false">IF(AJ17&gt;0,AL17/AJ17,"")</f>
        <v>0.0713049535772207</v>
      </c>
      <c r="AN17" s="9" t="n">
        <f aca="false">IF(AK$6=0,"",AK17/AK$6)</f>
        <v>0.0253805140510274</v>
      </c>
    </row>
    <row r="18" customFormat="false" ht="15" hidden="false" customHeight="false" outlineLevel="0" collapsed="false">
      <c r="A18" s="5" t="n">
        <v>12</v>
      </c>
      <c r="B18" s="41" t="s">
        <v>74</v>
      </c>
      <c r="C18" s="42" t="n">
        <f aca="false">IFERROR(INDEX(Prices!$C$6:$C$300,MATCH($B18,Prices!$A$6:$A$300,0)),"")</f>
        <v>2076</v>
      </c>
      <c r="D18" s="43" t="str">
        <f aca="false">IFERROR(INDEX(Prices!$D$6:$D$300,MATCH($B18,Prices!$A$6:$A$300,0)),"")</f>
        <v>Close 08.10.2026 (Screener.in)</v>
      </c>
      <c r="E18" s="6" t="n">
        <f aca="false">(M18&gt;0)+(T18&gt;0)+(AA18&gt;0)+(AH18&gt;0)</f>
        <v>3</v>
      </c>
      <c r="F18" s="44" t="n">
        <f aca="false">M18+T18+AA18+AH18</f>
        <v>134</v>
      </c>
      <c r="G18" s="45" t="n">
        <f aca="false">IF(AND(F18&gt;0,H18&gt;0),H18/F18,"")</f>
        <v>2718.94776119403</v>
      </c>
      <c r="H18" s="46" t="n">
        <f aca="false">O18+V18+AC18+AJ18</f>
        <v>364339</v>
      </c>
      <c r="I18" s="47" t="n">
        <f aca="false">P18+W18+AD18+AK18</f>
        <v>278184</v>
      </c>
      <c r="J18" s="46" t="n">
        <f aca="false">I18-H18</f>
        <v>-86155</v>
      </c>
      <c r="K18" s="48" t="n">
        <f aca="false">IF(H18&gt;0,J18/H18,"")</f>
        <v>-0.236469332132986</v>
      </c>
      <c r="L18" s="49" t="n">
        <f aca="false">IF(I$6=0,"",I18/I$6)</f>
        <v>0.0195861425906426</v>
      </c>
      <c r="M18" s="50" t="n">
        <f aca="false">SUMIFS('Vidushi Malhotra'!$D$7:$D$300,'Vidushi Malhotra'!$B$7:$B$300,$B18)</f>
        <v>0</v>
      </c>
      <c r="N18" s="51" t="str">
        <f aca="false">IF(AND(M18&gt;0,O18&gt;0),O18/M18,"")</f>
        <v/>
      </c>
      <c r="O18" s="8" t="n">
        <f aca="false">SUMIFS('Vidushi Malhotra'!$E$7:$E$300,'Vidushi Malhotra'!$B$7:$B$300,$B18)</f>
        <v>0</v>
      </c>
      <c r="P18" s="8" t="n">
        <f aca="false">SUMIFS('Vidushi Malhotra'!$H$7:$H$300,'Vidushi Malhotra'!$B$7:$B$300,$B18)</f>
        <v>0</v>
      </c>
      <c r="Q18" s="8" t="n">
        <f aca="false">P18-O18</f>
        <v>0</v>
      </c>
      <c r="R18" s="9" t="str">
        <f aca="false">IF(O18&gt;0,Q18/O18,"")</f>
        <v/>
      </c>
      <c r="S18" s="9" t="n">
        <f aca="false">IF(P$6=0,"",P18/P$6)</f>
        <v>0</v>
      </c>
      <c r="T18" s="50" t="n">
        <f aca="false">SUMIFS('Dr Umesh Choudhry'!$D$7:$D$300,'Dr Umesh Choudhry'!$B$7:$B$300,$B18)</f>
        <v>29</v>
      </c>
      <c r="U18" s="51" t="n">
        <f aca="false">IF(AND(T18&gt;0,V18&gt;0),V18/T18,"")</f>
        <v>4227.68965517241</v>
      </c>
      <c r="V18" s="8" t="n">
        <f aca="false">SUMIFS('Dr Umesh Choudhry'!$E$7:$E$300,'Dr Umesh Choudhry'!$B$7:$B$300,$B18)</f>
        <v>122603</v>
      </c>
      <c r="W18" s="8" t="n">
        <f aca="false">SUMIFS('Dr Umesh Choudhry'!$H$7:$H$300,'Dr Umesh Choudhry'!$B$7:$B$300,$B18)</f>
        <v>60204</v>
      </c>
      <c r="X18" s="8" t="n">
        <f aca="false">W18-V18</f>
        <v>-62399</v>
      </c>
      <c r="Y18" s="9" t="n">
        <f aca="false">IF(V18&gt;0,X18/V18,"")</f>
        <v>-0.508951656974136</v>
      </c>
      <c r="Z18" s="9" t="n">
        <f aca="false">IF(W$6=0,"",W18/W$6)</f>
        <v>0.0110924264457516</v>
      </c>
      <c r="AA18" s="50" t="n">
        <f aca="false">SUMIFS(Gautam!$D$7:$D$300,Gautam!$B$7:$B$300,$B18)</f>
        <v>92</v>
      </c>
      <c r="AB18" s="51" t="n">
        <f aca="false">IF(AND(AA18&gt;0,AC18&gt;0),AC18/AA18,"")</f>
        <v>2289</v>
      </c>
      <c r="AC18" s="8" t="n">
        <f aca="false">SUMIFS(Gautam!$E$7:$E$300,Gautam!$B$7:$B$300,$B18)</f>
        <v>210588</v>
      </c>
      <c r="AD18" s="8" t="n">
        <f aca="false">SUMIFS(Gautam!$H$7:$H$300,Gautam!$B$7:$B$300,$B18)</f>
        <v>190992</v>
      </c>
      <c r="AE18" s="8" t="n">
        <f aca="false">AD18-AC18</f>
        <v>-19596</v>
      </c>
      <c r="AF18" s="9" t="n">
        <f aca="false">IF(AC18&gt;0,AE18/AC18,"")</f>
        <v>-0.0930537352555701</v>
      </c>
      <c r="AG18" s="9" t="n">
        <f aca="false">IF(AD$6=0,"",AD18/AD$6)</f>
        <v>0.0408742042775247</v>
      </c>
      <c r="AH18" s="50" t="n">
        <f aca="false">SUMIFS(DA!$D$7:$D$300,DA!$B$7:$B$300,$B18)</f>
        <v>13</v>
      </c>
      <c r="AI18" s="51" t="n">
        <f aca="false">IF(AND(AH18&gt;0,AJ18&gt;0),AJ18/AH18,"")</f>
        <v>2396</v>
      </c>
      <c r="AJ18" s="8" t="n">
        <f aca="false">SUMIFS(DA!$E$7:$E$300,DA!$B$7:$B$300,$B18)</f>
        <v>31148</v>
      </c>
      <c r="AK18" s="8" t="n">
        <f aca="false">SUMIFS(DA!$H$7:$H$300,DA!$B$7:$B$300,$B18)</f>
        <v>26988</v>
      </c>
      <c r="AL18" s="8" t="n">
        <f aca="false">AK18-AJ18</f>
        <v>-4160</v>
      </c>
      <c r="AM18" s="9" t="n">
        <f aca="false">IF(AJ18&gt;0,AL18/AJ18,"")</f>
        <v>-0.13355592654424</v>
      </c>
      <c r="AN18" s="9" t="n">
        <f aca="false">IF(AK$6=0,"",AK18/AK$6)</f>
        <v>0.00695937284817857</v>
      </c>
    </row>
    <row r="19" customFormat="false" ht="15" hidden="false" customHeight="false" outlineLevel="0" collapsed="false">
      <c r="A19" s="5" t="n">
        <v>13</v>
      </c>
      <c r="B19" s="41" t="s">
        <v>75</v>
      </c>
      <c r="C19" s="42" t="n">
        <f aca="false">IFERROR(INDEX(Prices!$C$6:$C$300,MATCH($B19,Prices!$A$6:$A$300,0)),"")</f>
        <v>3176.6</v>
      </c>
      <c r="D19" s="43" t="str">
        <f aca="false">IFERROR(INDEX(Prices!$D$6:$D$300,MATCH($B19,Prices!$A$6:$A$300,0)),"")</f>
        <v>Close 08.10.2026 (Screener.in)</v>
      </c>
      <c r="E19" s="6" t="n">
        <f aca="false">(M19&gt;0)+(T19&gt;0)+(AA19&gt;0)+(AH19&gt;0)</f>
        <v>4</v>
      </c>
      <c r="F19" s="44" t="n">
        <f aca="false">M19+T19+AA19+AH19</f>
        <v>82</v>
      </c>
      <c r="G19" s="45" t="n">
        <f aca="false">IF(AND(F19&gt;0,H19&gt;0),H19/F19,"")</f>
        <v>3978.42682926829</v>
      </c>
      <c r="H19" s="46" t="n">
        <f aca="false">O19+V19+AC19+AJ19</f>
        <v>326231</v>
      </c>
      <c r="I19" s="47" t="n">
        <f aca="false">P19+W19+AD19+AK19</f>
        <v>260481.2</v>
      </c>
      <c r="J19" s="46" t="n">
        <f aca="false">I19-H19</f>
        <v>-65749.8</v>
      </c>
      <c r="K19" s="48" t="n">
        <f aca="false">IF(H19&gt;0,J19/H19,"")</f>
        <v>-0.201543691433371</v>
      </c>
      <c r="L19" s="49" t="n">
        <f aca="false">IF(I$6=0,"",I19/I$6)</f>
        <v>0.0183397388972109</v>
      </c>
      <c r="M19" s="50" t="n">
        <f aca="false">SUMIFS('Vidushi Malhotra'!$D$7:$D$300,'Vidushi Malhotra'!$B$7:$B$300,$B19)</f>
        <v>1</v>
      </c>
      <c r="N19" s="51" t="n">
        <f aca="false">IF(AND(M19&gt;0,O19&gt;0),O19/M19,"")</f>
        <v>4607</v>
      </c>
      <c r="O19" s="8" t="n">
        <f aca="false">SUMIFS('Vidushi Malhotra'!$E$7:$E$300,'Vidushi Malhotra'!$B$7:$B$300,$B19)</f>
        <v>4607</v>
      </c>
      <c r="P19" s="8" t="n">
        <f aca="false">SUMIFS('Vidushi Malhotra'!$H$7:$H$300,'Vidushi Malhotra'!$B$7:$B$300,$B19)</f>
        <v>3176.6</v>
      </c>
      <c r="Q19" s="8" t="n">
        <f aca="false">P19-O19</f>
        <v>-1430.4</v>
      </c>
      <c r="R19" s="9" t="n">
        <f aca="false">IF(O19&gt;0,Q19/O19,"")</f>
        <v>-0.310484046016931</v>
      </c>
      <c r="S19" s="9" t="n">
        <f aca="false">IF(P$6=0,"",P19/P$6)</f>
        <v>0.0141180816688758</v>
      </c>
      <c r="T19" s="50" t="n">
        <f aca="false">SUMIFS('Dr Umesh Choudhry'!$D$7:$D$300,'Dr Umesh Choudhry'!$B$7:$B$300,$B19)</f>
        <v>32</v>
      </c>
      <c r="U19" s="51" t="n">
        <f aca="false">IF(AND(T19&gt;0,V19&gt;0),V19/T19,"")</f>
        <v>4719.96875</v>
      </c>
      <c r="V19" s="8" t="n">
        <f aca="false">SUMIFS('Dr Umesh Choudhry'!$E$7:$E$300,'Dr Umesh Choudhry'!$B$7:$B$300,$B19)</f>
        <v>151039</v>
      </c>
      <c r="W19" s="8" t="n">
        <f aca="false">SUMIFS('Dr Umesh Choudhry'!$H$7:$H$300,'Dr Umesh Choudhry'!$B$7:$B$300,$B19)</f>
        <v>101651.2</v>
      </c>
      <c r="X19" s="8" t="n">
        <f aca="false">W19-V19</f>
        <v>-49387.8</v>
      </c>
      <c r="Y19" s="9" t="n">
        <f aca="false">IF(V19&gt;0,X19/V19,"")</f>
        <v>-0.326987069564814</v>
      </c>
      <c r="Z19" s="9" t="n">
        <f aca="false">IF(W$6=0,"",W19/W$6)</f>
        <v>0.0187289625128294</v>
      </c>
      <c r="AA19" s="50" t="n">
        <f aca="false">SUMIFS(Gautam!$D$7:$D$300,Gautam!$B$7:$B$300,$B19)</f>
        <v>25</v>
      </c>
      <c r="AB19" s="51" t="n">
        <f aca="false">IF(AND(AA19&gt;0,AC19&gt;0),AC19/AA19,"")</f>
        <v>3390.44</v>
      </c>
      <c r="AC19" s="8" t="n">
        <f aca="false">SUMIFS(Gautam!$E$7:$E$300,Gautam!$B$7:$B$300,$B19)</f>
        <v>84761</v>
      </c>
      <c r="AD19" s="8" t="n">
        <f aca="false">SUMIFS(Gautam!$H$7:$H$300,Gautam!$B$7:$B$300,$B19)</f>
        <v>79415</v>
      </c>
      <c r="AE19" s="8" t="n">
        <f aca="false">AD19-AC19</f>
        <v>-5346</v>
      </c>
      <c r="AF19" s="9" t="n">
        <f aca="false">IF(AC19&gt;0,AE19/AC19,"")</f>
        <v>-0.0630714597515367</v>
      </c>
      <c r="AG19" s="9" t="n">
        <f aca="false">IF(AD$6=0,"",AD19/AD$6)</f>
        <v>0.0169956067934763</v>
      </c>
      <c r="AH19" s="50" t="n">
        <f aca="false">SUMIFS(DA!$D$7:$D$300,DA!$B$7:$B$300,$B19)</f>
        <v>24</v>
      </c>
      <c r="AI19" s="51" t="n">
        <f aca="false">IF(AND(AH19&gt;0,AJ19&gt;0),AJ19/AH19,"")</f>
        <v>3576</v>
      </c>
      <c r="AJ19" s="8" t="n">
        <f aca="false">SUMIFS(DA!$E$7:$E$300,DA!$B$7:$B$300,$B19)</f>
        <v>85824</v>
      </c>
      <c r="AK19" s="8" t="n">
        <f aca="false">SUMIFS(DA!$H$7:$H$300,DA!$B$7:$B$300,$B19)</f>
        <v>76238.4</v>
      </c>
      <c r="AL19" s="8" t="n">
        <f aca="false">AK19-AJ19</f>
        <v>-9585.60000000001</v>
      </c>
      <c r="AM19" s="9" t="n">
        <f aca="false">IF(AJ19&gt;0,AL19/AJ19,"")</f>
        <v>-0.11168903803132</v>
      </c>
      <c r="AN19" s="9" t="n">
        <f aca="false">IF(AK$6=0,"",AK19/AK$6)</f>
        <v>0.0196595320493767</v>
      </c>
    </row>
    <row r="20" customFormat="false" ht="15" hidden="false" customHeight="false" outlineLevel="0" collapsed="false">
      <c r="A20" s="5" t="n">
        <v>14</v>
      </c>
      <c r="B20" s="41" t="s">
        <v>76</v>
      </c>
      <c r="C20" s="42" t="n">
        <f aca="false">IFERROR(INDEX(Prices!$C$6:$C$300,MATCH($B20,Prices!$A$6:$A$300,0)),"")</f>
        <v>2996</v>
      </c>
      <c r="D20" s="43" t="str">
        <f aca="false">IFERROR(INDEX(Prices!$D$6:$D$300,MATCH($B20,Prices!$A$6:$A$300,0)),"")</f>
        <v>Close 08.10.2026 (Screener.in)</v>
      </c>
      <c r="E20" s="6" t="n">
        <f aca="false">(M20&gt;0)+(T20&gt;0)+(AA20&gt;0)+(AH20&gt;0)</f>
        <v>3</v>
      </c>
      <c r="F20" s="44" t="n">
        <f aca="false">M20+T20+AA20+AH20</f>
        <v>76</v>
      </c>
      <c r="G20" s="45" t="n">
        <f aca="false">IF(AND(F20&gt;0,H20&gt;0),H20/F20,"")</f>
        <v>3611.89473684211</v>
      </c>
      <c r="H20" s="46" t="n">
        <f aca="false">O20+V20+AC20+AJ20</f>
        <v>274504</v>
      </c>
      <c r="I20" s="47" t="n">
        <f aca="false">P20+W20+AD20+AK20</f>
        <v>227696</v>
      </c>
      <c r="J20" s="46" t="n">
        <f aca="false">I20-H20</f>
        <v>-46808</v>
      </c>
      <c r="K20" s="48" t="n">
        <f aca="false">IF(H20&gt;0,J20/H20,"")</f>
        <v>-0.170518462390348</v>
      </c>
      <c r="L20" s="49" t="n">
        <f aca="false">IF(I$6=0,"",I20/I$6)</f>
        <v>0.0160314264059722</v>
      </c>
      <c r="M20" s="50" t="n">
        <f aca="false">SUMIFS('Vidushi Malhotra'!$D$7:$D$300,'Vidushi Malhotra'!$B$7:$B$300,$B20)</f>
        <v>0</v>
      </c>
      <c r="N20" s="51" t="str">
        <f aca="false">IF(AND(M20&gt;0,O20&gt;0),O20/M20,"")</f>
        <v/>
      </c>
      <c r="O20" s="8" t="n">
        <f aca="false">SUMIFS('Vidushi Malhotra'!$E$7:$E$300,'Vidushi Malhotra'!$B$7:$B$300,$B20)</f>
        <v>0</v>
      </c>
      <c r="P20" s="8" t="n">
        <f aca="false">SUMIFS('Vidushi Malhotra'!$H$7:$H$300,'Vidushi Malhotra'!$B$7:$B$300,$B20)</f>
        <v>0</v>
      </c>
      <c r="Q20" s="8" t="n">
        <f aca="false">P20-O20</f>
        <v>0</v>
      </c>
      <c r="R20" s="9" t="str">
        <f aca="false">IF(O20&gt;0,Q20/O20,"")</f>
        <v/>
      </c>
      <c r="S20" s="9" t="n">
        <f aca="false">IF(P$6=0,"",P20/P$6)</f>
        <v>0</v>
      </c>
      <c r="T20" s="50" t="n">
        <f aca="false">SUMIFS('Dr Umesh Choudhry'!$D$7:$D$300,'Dr Umesh Choudhry'!$B$7:$B$300,$B20)</f>
        <v>22</v>
      </c>
      <c r="U20" s="51" t="n">
        <f aca="false">IF(AND(T20&gt;0,V20&gt;0),V20/T20,"")</f>
        <v>3921.72727272727</v>
      </c>
      <c r="V20" s="8" t="n">
        <f aca="false">SUMIFS('Dr Umesh Choudhry'!$E$7:$E$300,'Dr Umesh Choudhry'!$B$7:$B$300,$B20)</f>
        <v>86278</v>
      </c>
      <c r="W20" s="8" t="n">
        <f aca="false">SUMIFS('Dr Umesh Choudhry'!$H$7:$H$300,'Dr Umesh Choudhry'!$B$7:$B$300,$B20)</f>
        <v>65912</v>
      </c>
      <c r="X20" s="8" t="n">
        <f aca="false">W20-V20</f>
        <v>-20366</v>
      </c>
      <c r="Y20" s="9" t="n">
        <f aca="false">IF(V20&gt;0,X20/V20,"")</f>
        <v>-0.23605090521338</v>
      </c>
      <c r="Z20" s="9" t="n">
        <f aca="false">IF(W$6=0,"",W20/W$6)</f>
        <v>0.0121441102234466</v>
      </c>
      <c r="AA20" s="50" t="n">
        <f aca="false">SUMIFS(Gautam!$D$7:$D$300,Gautam!$B$7:$B$300,$B20)</f>
        <v>34</v>
      </c>
      <c r="AB20" s="51" t="n">
        <f aca="false">IF(AND(AA20&gt;0,AC20&gt;0),AC20/AA20,"")</f>
        <v>3338.41176470588</v>
      </c>
      <c r="AC20" s="8" t="n">
        <f aca="false">SUMIFS(Gautam!$E$7:$E$300,Gautam!$B$7:$B$300,$B20)</f>
        <v>113506</v>
      </c>
      <c r="AD20" s="8" t="n">
        <f aca="false">SUMIFS(Gautam!$H$7:$H$300,Gautam!$B$7:$B$300,$B20)</f>
        <v>101864</v>
      </c>
      <c r="AE20" s="8" t="n">
        <f aca="false">AD20-AC20</f>
        <v>-11642</v>
      </c>
      <c r="AF20" s="9" t="n">
        <f aca="false">IF(AC20&gt;0,AE20/AC20,"")</f>
        <v>-0.102567265166599</v>
      </c>
      <c r="AG20" s="9" t="n">
        <f aca="false">IF(AD$6=0,"",AD20/AD$6)</f>
        <v>0.0217999180307331</v>
      </c>
      <c r="AH20" s="50" t="n">
        <f aca="false">SUMIFS(DA!$D$7:$D$300,DA!$B$7:$B$300,$B20)</f>
        <v>20</v>
      </c>
      <c r="AI20" s="51" t="n">
        <f aca="false">IF(AND(AH20&gt;0,AJ20&gt;0),AJ20/AH20,"")</f>
        <v>3736</v>
      </c>
      <c r="AJ20" s="8" t="n">
        <f aca="false">SUMIFS(DA!$E$7:$E$300,DA!$B$7:$B$300,$B20)</f>
        <v>74720</v>
      </c>
      <c r="AK20" s="8" t="n">
        <f aca="false">SUMIFS(DA!$H$7:$H$300,DA!$B$7:$B$300,$B20)</f>
        <v>59920</v>
      </c>
      <c r="AL20" s="8" t="n">
        <f aca="false">AK20-AJ20</f>
        <v>-14800</v>
      </c>
      <c r="AM20" s="9" t="n">
        <f aca="false">IF(AJ20&gt;0,AL20/AJ20,"")</f>
        <v>-0.198072805139186</v>
      </c>
      <c r="AN20" s="9" t="n">
        <f aca="false">IF(AK$6=0,"",AK20/AK$6)</f>
        <v>0.0154515199741685</v>
      </c>
    </row>
    <row r="21" customFormat="false" ht="15" hidden="false" customHeight="false" outlineLevel="0" collapsed="false">
      <c r="A21" s="5" t="n">
        <v>15</v>
      </c>
      <c r="B21" s="41" t="s">
        <v>77</v>
      </c>
      <c r="C21" s="42" t="n">
        <f aca="false">IFERROR(INDEX(Prices!$C$6:$C$300,MATCH($B21,Prices!$A$6:$A$300,0)),"")</f>
        <v>1401.4</v>
      </c>
      <c r="D21" s="43" t="str">
        <f aca="false">IFERROR(INDEX(Prices!$D$6:$D$300,MATCH($B21,Prices!$A$6:$A$300,0)),"")</f>
        <v>Close 08.10.2026 (Screener.in)</v>
      </c>
      <c r="E21" s="6" t="n">
        <f aca="false">(M21&gt;0)+(T21&gt;0)+(AA21&gt;0)+(AH21&gt;0)</f>
        <v>4</v>
      </c>
      <c r="F21" s="44" t="n">
        <f aca="false">M21+T21+AA21+AH21</f>
        <v>153</v>
      </c>
      <c r="G21" s="45" t="n">
        <f aca="false">IF(AND(F21&gt;0,H21&gt;0),H21/F21,"")</f>
        <v>1617.7385620915</v>
      </c>
      <c r="H21" s="46" t="n">
        <f aca="false">O21+V21+AC21+AJ21</f>
        <v>247514</v>
      </c>
      <c r="I21" s="47" t="n">
        <f aca="false">P21+W21+AD21+AK21</f>
        <v>214414.2</v>
      </c>
      <c r="J21" s="46" t="n">
        <f aca="false">I21-H21</f>
        <v>-33099.8</v>
      </c>
      <c r="K21" s="48" t="n">
        <f aca="false">IF(H21&gt;0,J21/H21,"")</f>
        <v>-0.133729001187812</v>
      </c>
      <c r="L21" s="49" t="n">
        <f aca="false">IF(I$6=0,"",I21/I$6)</f>
        <v>0.0150962927222938</v>
      </c>
      <c r="M21" s="50" t="n">
        <f aca="false">SUMIFS('Vidushi Malhotra'!$D$7:$D$300,'Vidushi Malhotra'!$B$7:$B$300,$B21)</f>
        <v>3</v>
      </c>
      <c r="N21" s="51" t="n">
        <f aca="false">IF(AND(M21&gt;0,O21&gt;0),O21/M21,"")</f>
        <v>1651.33333333333</v>
      </c>
      <c r="O21" s="8" t="n">
        <f aca="false">SUMIFS('Vidushi Malhotra'!$E$7:$E$300,'Vidushi Malhotra'!$B$7:$B$300,$B21)</f>
        <v>4954</v>
      </c>
      <c r="P21" s="8" t="n">
        <f aca="false">SUMIFS('Vidushi Malhotra'!$H$7:$H$300,'Vidushi Malhotra'!$B$7:$B$300,$B21)</f>
        <v>4204.2</v>
      </c>
      <c r="Q21" s="8" t="n">
        <f aca="false">P21-O21</f>
        <v>-749.799999999999</v>
      </c>
      <c r="R21" s="9" t="n">
        <f aca="false">IF(O21&gt;0,Q21/O21,"")</f>
        <v>-0.151352442470731</v>
      </c>
      <c r="S21" s="9" t="n">
        <f aca="false">IF(P$6=0,"",P21/P$6)</f>
        <v>0.0186851473123112</v>
      </c>
      <c r="T21" s="50" t="n">
        <f aca="false">SUMIFS('Dr Umesh Choudhry'!$D$7:$D$300,'Dr Umesh Choudhry'!$B$7:$B$300,$B21)</f>
        <v>47</v>
      </c>
      <c r="U21" s="51" t="n">
        <f aca="false">IF(AND(T21&gt;0,V21&gt;0),V21/T21,"")</f>
        <v>1541.44680851064</v>
      </c>
      <c r="V21" s="8" t="n">
        <f aca="false">SUMIFS('Dr Umesh Choudhry'!$E$7:$E$300,'Dr Umesh Choudhry'!$B$7:$B$300,$B21)</f>
        <v>72448</v>
      </c>
      <c r="W21" s="8" t="n">
        <f aca="false">SUMIFS('Dr Umesh Choudhry'!$H$7:$H$300,'Dr Umesh Choudhry'!$B$7:$B$300,$B21)</f>
        <v>65865.8</v>
      </c>
      <c r="X21" s="8" t="n">
        <f aca="false">W21-V21</f>
        <v>-6582.2</v>
      </c>
      <c r="Y21" s="9" t="n">
        <f aca="false">IF(V21&gt;0,X21/V21,"")</f>
        <v>-0.0908541298586572</v>
      </c>
      <c r="Z21" s="9" t="n">
        <f aca="false">IF(W$6=0,"",W21/W$6)</f>
        <v>0.0121355979966544</v>
      </c>
      <c r="AA21" s="50" t="n">
        <f aca="false">SUMIFS(Gautam!$D$7:$D$300,Gautam!$B$7:$B$300,$B21)</f>
        <v>58</v>
      </c>
      <c r="AB21" s="51" t="n">
        <f aca="false">IF(AND(AA21&gt;0,AC21&gt;0),AC21/AA21,"")</f>
        <v>1641.34482758621</v>
      </c>
      <c r="AC21" s="8" t="n">
        <f aca="false">SUMIFS(Gautam!$E$7:$E$300,Gautam!$B$7:$B$300,$B21)</f>
        <v>95198</v>
      </c>
      <c r="AD21" s="8" t="n">
        <f aca="false">SUMIFS(Gautam!$H$7:$H$300,Gautam!$B$7:$B$300,$B21)</f>
        <v>81281.2</v>
      </c>
      <c r="AE21" s="8" t="n">
        <f aca="false">AD21-AC21</f>
        <v>-13916.8</v>
      </c>
      <c r="AF21" s="9" t="n">
        <f aca="false">IF(AC21&gt;0,AE21/AC21,"")</f>
        <v>-0.146187945124897</v>
      </c>
      <c r="AG21" s="9" t="n">
        <f aca="false">IF(AD$6=0,"",AD21/AD$6)</f>
        <v>0.0173949923175962</v>
      </c>
      <c r="AH21" s="50" t="n">
        <f aca="false">SUMIFS(DA!$D$7:$D$300,DA!$B$7:$B$300,$B21)</f>
        <v>45</v>
      </c>
      <c r="AI21" s="51" t="n">
        <f aca="false">IF(AND(AH21&gt;0,AJ21&gt;0),AJ21/AH21,"")</f>
        <v>1664.75555555556</v>
      </c>
      <c r="AJ21" s="8" t="n">
        <f aca="false">SUMIFS(DA!$E$7:$E$300,DA!$B$7:$B$300,$B21)</f>
        <v>74914</v>
      </c>
      <c r="AK21" s="8" t="n">
        <f aca="false">SUMIFS(DA!$H$7:$H$300,DA!$B$7:$B$300,$B21)</f>
        <v>63063</v>
      </c>
      <c r="AL21" s="8" t="n">
        <f aca="false">AK21-AJ21</f>
        <v>-11851</v>
      </c>
      <c r="AM21" s="9" t="n">
        <f aca="false">IF(AJ21&gt;0,AL21/AJ21,"")</f>
        <v>-0.158194729957017</v>
      </c>
      <c r="AN21" s="9" t="n">
        <f aca="false">IF(AK$6=0,"",AK21/AK$6)</f>
        <v>0.0162620027391687</v>
      </c>
    </row>
    <row r="22" customFormat="false" ht="15" hidden="false" customHeight="false" outlineLevel="0" collapsed="false">
      <c r="A22" s="5" t="n">
        <v>16</v>
      </c>
      <c r="B22" s="41" t="s">
        <v>78</v>
      </c>
      <c r="C22" s="42" t="n">
        <f aca="false">IFERROR(INDEX(Prices!$C$6:$C$300,MATCH($B22,Prices!$A$6:$A$300,0)),"")</f>
        <v>6767.5</v>
      </c>
      <c r="D22" s="43" t="str">
        <f aca="false">IFERROR(INDEX(Prices!$D$6:$D$300,MATCH($B22,Prices!$A$6:$A$300,0)),"")</f>
        <v>Close 08.10.2026 (Screener.in)</v>
      </c>
      <c r="E22" s="6" t="n">
        <f aca="false">(M22&gt;0)+(T22&gt;0)+(AA22&gt;0)+(AH22&gt;0)</f>
        <v>3</v>
      </c>
      <c r="F22" s="44" t="n">
        <f aca="false">M22+T22+AA22+AH22</f>
        <v>28</v>
      </c>
      <c r="G22" s="45" t="n">
        <f aca="false">IF(AND(F22&gt;0,H22&gt;0),H22/F22,"")</f>
        <v>7546.89285714286</v>
      </c>
      <c r="H22" s="46" t="n">
        <f aca="false">O22+V22+AC22+AJ22</f>
        <v>211313</v>
      </c>
      <c r="I22" s="47" t="n">
        <f aca="false">P22+W22+AD22+AK22</f>
        <v>189490</v>
      </c>
      <c r="J22" s="46" t="n">
        <f aca="false">I22-H22</f>
        <v>-21823</v>
      </c>
      <c r="K22" s="48" t="n">
        <f aca="false">IF(H22&gt;0,J22/H22,"")</f>
        <v>-0.103273343334296</v>
      </c>
      <c r="L22" s="49" t="n">
        <f aca="false">IF(I$6=0,"",I22/I$6)</f>
        <v>0.0133414508364999</v>
      </c>
      <c r="M22" s="50" t="n">
        <f aca="false">SUMIFS('Vidushi Malhotra'!$D$7:$D$300,'Vidushi Malhotra'!$B$7:$B$300,$B22)</f>
        <v>0</v>
      </c>
      <c r="N22" s="51" t="str">
        <f aca="false">IF(AND(M22&gt;0,O22&gt;0),O22/M22,"")</f>
        <v/>
      </c>
      <c r="O22" s="8" t="n">
        <f aca="false">SUMIFS('Vidushi Malhotra'!$E$7:$E$300,'Vidushi Malhotra'!$B$7:$B$300,$B22)</f>
        <v>0</v>
      </c>
      <c r="P22" s="8" t="n">
        <f aca="false">SUMIFS('Vidushi Malhotra'!$H$7:$H$300,'Vidushi Malhotra'!$B$7:$B$300,$B22)</f>
        <v>0</v>
      </c>
      <c r="Q22" s="8" t="n">
        <f aca="false">P22-O22</f>
        <v>0</v>
      </c>
      <c r="R22" s="9" t="str">
        <f aca="false">IF(O22&gt;0,Q22/O22,"")</f>
        <v/>
      </c>
      <c r="S22" s="9" t="n">
        <f aca="false">IF(P$6=0,"",P22/P$6)</f>
        <v>0</v>
      </c>
      <c r="T22" s="50" t="n">
        <f aca="false">SUMIFS('Dr Umesh Choudhry'!$D$7:$D$300,'Dr Umesh Choudhry'!$B$7:$B$300,$B22)</f>
        <v>3</v>
      </c>
      <c r="U22" s="51" t="n">
        <f aca="false">IF(AND(T22&gt;0,V22&gt;0),V22/T22,"")</f>
        <v>6905.66666666667</v>
      </c>
      <c r="V22" s="8" t="n">
        <f aca="false">SUMIFS('Dr Umesh Choudhry'!$E$7:$E$300,'Dr Umesh Choudhry'!$B$7:$B$300,$B22)</f>
        <v>20717</v>
      </c>
      <c r="W22" s="8" t="n">
        <f aca="false">SUMIFS('Dr Umesh Choudhry'!$H$7:$H$300,'Dr Umesh Choudhry'!$B$7:$B$300,$B22)</f>
        <v>20302.5</v>
      </c>
      <c r="X22" s="8" t="n">
        <f aca="false">W22-V22</f>
        <v>-414.5</v>
      </c>
      <c r="Y22" s="9" t="n">
        <f aca="false">IF(V22&gt;0,X22/V22,"")</f>
        <v>-0.0200077231259352</v>
      </c>
      <c r="Z22" s="9" t="n">
        <f aca="false">IF(W$6=0,"",W22/W$6)</f>
        <v>0.00374068148154393</v>
      </c>
      <c r="AA22" s="50" t="n">
        <f aca="false">SUMIFS(Gautam!$D$7:$D$300,Gautam!$B$7:$B$300,$B22)</f>
        <v>17</v>
      </c>
      <c r="AB22" s="51" t="n">
        <f aca="false">IF(AND(AA22&gt;0,AC22&gt;0),AC22/AA22,"")</f>
        <v>7426.41176470588</v>
      </c>
      <c r="AC22" s="8" t="n">
        <f aca="false">SUMIFS(Gautam!$E$7:$E$300,Gautam!$B$7:$B$300,$B22)</f>
        <v>126249</v>
      </c>
      <c r="AD22" s="8" t="n">
        <f aca="false">SUMIFS(Gautam!$H$7:$H$300,Gautam!$B$7:$B$300,$B22)</f>
        <v>115047.5</v>
      </c>
      <c r="AE22" s="8" t="n">
        <f aca="false">AD22-AC22</f>
        <v>-11201.5</v>
      </c>
      <c r="AF22" s="9" t="n">
        <f aca="false">IF(AC22&gt;0,AE22/AC22,"")</f>
        <v>-0.0887254552511307</v>
      </c>
      <c r="AG22" s="9" t="n">
        <f aca="false">IF(AD$6=0,"",AD22/AD$6)</f>
        <v>0.0246213193045705</v>
      </c>
      <c r="AH22" s="50" t="n">
        <f aca="false">SUMIFS(DA!$D$7:$D$300,DA!$B$7:$B$300,$B22)</f>
        <v>8</v>
      </c>
      <c r="AI22" s="51" t="n">
        <f aca="false">IF(AND(AH22&gt;0,AJ22&gt;0),AJ22/AH22,"")</f>
        <v>8043.375</v>
      </c>
      <c r="AJ22" s="8" t="n">
        <f aca="false">SUMIFS(DA!$E$7:$E$300,DA!$B$7:$B$300,$B22)</f>
        <v>64347</v>
      </c>
      <c r="AK22" s="8" t="n">
        <f aca="false">SUMIFS(DA!$H$7:$H$300,DA!$B$7:$B$300,$B22)</f>
        <v>54140</v>
      </c>
      <c r="AL22" s="8" t="n">
        <f aca="false">AK22-AJ22</f>
        <v>-10207</v>
      </c>
      <c r="AM22" s="9" t="n">
        <f aca="false">IF(AJ22&gt;0,AL22/AJ22,"")</f>
        <v>-0.15862433369077</v>
      </c>
      <c r="AN22" s="9" t="n">
        <f aca="false">IF(AK$6=0,"",AK22/AK$6)</f>
        <v>0.0139610362383425</v>
      </c>
    </row>
    <row r="23" customFormat="false" ht="15" hidden="false" customHeight="false" outlineLevel="0" collapsed="false">
      <c r="A23" s="5" t="n">
        <v>17</v>
      </c>
      <c r="B23" s="41" t="s">
        <v>79</v>
      </c>
      <c r="C23" s="42" t="n">
        <f aca="false">IFERROR(INDEX(Prices!$C$6:$C$300,MATCH($B23,Prices!$A$6:$A$300,0)),"")</f>
        <v>1178</v>
      </c>
      <c r="D23" s="43" t="str">
        <f aca="false">IFERROR(INDEX(Prices!$D$6:$D$300,MATCH($B23,Prices!$A$6:$A$300,0)),"")</f>
        <v>Close 08.10.2026 (Screener.in)</v>
      </c>
      <c r="E23" s="6" t="n">
        <f aca="false">(M23&gt;0)+(T23&gt;0)+(AA23&gt;0)+(AH23&gt;0)</f>
        <v>1</v>
      </c>
      <c r="F23" s="44" t="n">
        <f aca="false">M23+T23+AA23+AH23</f>
        <v>146</v>
      </c>
      <c r="G23" s="45" t="n">
        <f aca="false">IF(AND(F23&gt;0,H23&gt;0),H23/F23,"")</f>
        <v>1363</v>
      </c>
      <c r="H23" s="46" t="n">
        <f aca="false">O23+V23+AC23+AJ23</f>
        <v>198998</v>
      </c>
      <c r="I23" s="47" t="n">
        <f aca="false">P23+W23+AD23+AK23</f>
        <v>171988</v>
      </c>
      <c r="J23" s="46" t="n">
        <f aca="false">I23-H23</f>
        <v>-27010</v>
      </c>
      <c r="K23" s="48" t="n">
        <f aca="false">IF(H23&gt;0,J23/H23,"")</f>
        <v>-0.135730007336757</v>
      </c>
      <c r="L23" s="49" t="n">
        <f aca="false">IF(I$6=0,"",I23/I$6)</f>
        <v>0.01210918489877</v>
      </c>
      <c r="M23" s="50" t="n">
        <f aca="false">SUMIFS('Vidushi Malhotra'!$D$7:$D$300,'Vidushi Malhotra'!$B$7:$B$300,$B23)</f>
        <v>0</v>
      </c>
      <c r="N23" s="51" t="str">
        <f aca="false">IF(AND(M23&gt;0,O23&gt;0),O23/M23,"")</f>
        <v/>
      </c>
      <c r="O23" s="8" t="n">
        <f aca="false">SUMIFS('Vidushi Malhotra'!$E$7:$E$300,'Vidushi Malhotra'!$B$7:$B$300,$B23)</f>
        <v>0</v>
      </c>
      <c r="P23" s="8" t="n">
        <f aca="false">SUMIFS('Vidushi Malhotra'!$H$7:$H$300,'Vidushi Malhotra'!$B$7:$B$300,$B23)</f>
        <v>0</v>
      </c>
      <c r="Q23" s="8" t="n">
        <f aca="false">P23-O23</f>
        <v>0</v>
      </c>
      <c r="R23" s="9" t="str">
        <f aca="false">IF(O23&gt;0,Q23/O23,"")</f>
        <v/>
      </c>
      <c r="S23" s="9" t="n">
        <f aca="false">IF(P$6=0,"",P23/P$6)</f>
        <v>0</v>
      </c>
      <c r="T23" s="50" t="n">
        <f aca="false">SUMIFS('Dr Umesh Choudhry'!$D$7:$D$300,'Dr Umesh Choudhry'!$B$7:$B$300,$B23)</f>
        <v>0</v>
      </c>
      <c r="U23" s="51" t="str">
        <f aca="false">IF(AND(T23&gt;0,V23&gt;0),V23/T23,"")</f>
        <v/>
      </c>
      <c r="V23" s="8" t="n">
        <f aca="false">SUMIFS('Dr Umesh Choudhry'!$E$7:$E$300,'Dr Umesh Choudhry'!$B$7:$B$300,$B23)</f>
        <v>0</v>
      </c>
      <c r="W23" s="8" t="n">
        <f aca="false">SUMIFS('Dr Umesh Choudhry'!$H$7:$H$300,'Dr Umesh Choudhry'!$B$7:$B$300,$B23)</f>
        <v>0</v>
      </c>
      <c r="X23" s="8" t="n">
        <f aca="false">W23-V23</f>
        <v>0</v>
      </c>
      <c r="Y23" s="9" t="str">
        <f aca="false">IF(V23&gt;0,X23/V23,"")</f>
        <v/>
      </c>
      <c r="Z23" s="9" t="n">
        <f aca="false">IF(W$6=0,"",W23/W$6)</f>
        <v>0</v>
      </c>
      <c r="AA23" s="50" t="n">
        <f aca="false">SUMIFS(Gautam!$D$7:$D$300,Gautam!$B$7:$B$300,$B23)</f>
        <v>0</v>
      </c>
      <c r="AB23" s="51" t="str">
        <f aca="false">IF(AND(AA23&gt;0,AC23&gt;0),AC23/AA23,"")</f>
        <v/>
      </c>
      <c r="AC23" s="8" t="n">
        <f aca="false">SUMIFS(Gautam!$E$7:$E$300,Gautam!$B$7:$B$300,$B23)</f>
        <v>0</v>
      </c>
      <c r="AD23" s="8" t="n">
        <f aca="false">SUMIFS(Gautam!$H$7:$H$300,Gautam!$B$7:$B$300,$B23)</f>
        <v>0</v>
      </c>
      <c r="AE23" s="8" t="n">
        <f aca="false">AD23-AC23</f>
        <v>0</v>
      </c>
      <c r="AF23" s="9" t="str">
        <f aca="false">IF(AC23&gt;0,AE23/AC23,"")</f>
        <v/>
      </c>
      <c r="AG23" s="9" t="n">
        <f aca="false">IF(AD$6=0,"",AD23/AD$6)</f>
        <v>0</v>
      </c>
      <c r="AH23" s="50" t="n">
        <f aca="false">SUMIFS(DA!$D$7:$D$300,DA!$B$7:$B$300,$B23)</f>
        <v>146</v>
      </c>
      <c r="AI23" s="51" t="n">
        <f aca="false">IF(AND(AH23&gt;0,AJ23&gt;0),AJ23/AH23,"")</f>
        <v>1363</v>
      </c>
      <c r="AJ23" s="8" t="n">
        <f aca="false">SUMIFS(DA!$E$7:$E$300,DA!$B$7:$B$300,$B23)</f>
        <v>198998</v>
      </c>
      <c r="AK23" s="8" t="n">
        <f aca="false">SUMIFS(DA!$H$7:$H$300,DA!$B$7:$B$300,$B23)</f>
        <v>171988</v>
      </c>
      <c r="AL23" s="8" t="n">
        <f aca="false">AK23-AJ23</f>
        <v>-27010</v>
      </c>
      <c r="AM23" s="9" t="n">
        <f aca="false">IF(AJ23&gt;0,AL23/AJ23,"")</f>
        <v>-0.135730007336757</v>
      </c>
      <c r="AN23" s="9" t="n">
        <f aca="false">IF(AK$6=0,"",AK23/AK$6)</f>
        <v>0.0443504008230523</v>
      </c>
    </row>
    <row r="24" customFormat="false" ht="15" hidden="false" customHeight="false" outlineLevel="0" collapsed="false">
      <c r="A24" s="5" t="n">
        <v>18</v>
      </c>
      <c r="B24" s="41" t="s">
        <v>80</v>
      </c>
      <c r="C24" s="42" t="n">
        <f aca="false">IFERROR(INDEX(Prices!$C$6:$C$300,MATCH($B24,Prices!$A$6:$A$300,0)),"")</f>
        <v>2876.3</v>
      </c>
      <c r="D24" s="43" t="str">
        <f aca="false">IFERROR(INDEX(Prices!$D$6:$D$300,MATCH($B24,Prices!$A$6:$A$300,0)),"")</f>
        <v>Close 08.10.2026 (Screener.in)</v>
      </c>
      <c r="E24" s="6" t="n">
        <f aca="false">(M24&gt;0)+(T24&gt;0)+(AA24&gt;0)+(AH24&gt;0)</f>
        <v>3</v>
      </c>
      <c r="F24" s="44" t="n">
        <f aca="false">M24+T24+AA24+AH24</f>
        <v>51</v>
      </c>
      <c r="G24" s="45" t="n">
        <f aca="false">IF(AND(F24&gt;0,H24&gt;0),H24/F24,"")</f>
        <v>2865.17647058824</v>
      </c>
      <c r="H24" s="46" t="n">
        <f aca="false">O24+V24+AC24+AJ24</f>
        <v>146124</v>
      </c>
      <c r="I24" s="47" t="n">
        <f aca="false">P24+W24+AD24+AK24</f>
        <v>146691.3</v>
      </c>
      <c r="J24" s="46" t="n">
        <f aca="false">I24-H24</f>
        <v>567.300000000018</v>
      </c>
      <c r="K24" s="48" t="n">
        <f aca="false">IF(H24&gt;0,J24/H24,"")</f>
        <v>0.00388231912622168</v>
      </c>
      <c r="L24" s="49" t="n">
        <f aca="false">IF(I$6=0,"",I24/I$6)</f>
        <v>0.0103281163496345</v>
      </c>
      <c r="M24" s="50" t="n">
        <f aca="false">SUMIFS('Vidushi Malhotra'!$D$7:$D$300,'Vidushi Malhotra'!$B$7:$B$300,$B24)</f>
        <v>0</v>
      </c>
      <c r="N24" s="51" t="str">
        <f aca="false">IF(AND(M24&gt;0,O24&gt;0),O24/M24,"")</f>
        <v/>
      </c>
      <c r="O24" s="8" t="n">
        <f aca="false">SUMIFS('Vidushi Malhotra'!$E$7:$E$300,'Vidushi Malhotra'!$B$7:$B$300,$B24)</f>
        <v>0</v>
      </c>
      <c r="P24" s="8" t="n">
        <f aca="false">SUMIFS('Vidushi Malhotra'!$H$7:$H$300,'Vidushi Malhotra'!$B$7:$B$300,$B24)</f>
        <v>0</v>
      </c>
      <c r="Q24" s="8" t="n">
        <f aca="false">P24-O24</f>
        <v>0</v>
      </c>
      <c r="R24" s="9" t="str">
        <f aca="false">IF(O24&gt;0,Q24/O24,"")</f>
        <v/>
      </c>
      <c r="S24" s="9" t="n">
        <f aca="false">IF(P$6=0,"",P24/P$6)</f>
        <v>0</v>
      </c>
      <c r="T24" s="50" t="n">
        <f aca="false">SUMIFS('Dr Umesh Choudhry'!$D$7:$D$300,'Dr Umesh Choudhry'!$B$7:$B$300,$B24)</f>
        <v>5</v>
      </c>
      <c r="U24" s="51" t="n">
        <f aca="false">IF(AND(T24&gt;0,V24&gt;0),V24/T24,"")</f>
        <v>2909.8</v>
      </c>
      <c r="V24" s="8" t="n">
        <f aca="false">SUMIFS('Dr Umesh Choudhry'!$E$7:$E$300,'Dr Umesh Choudhry'!$B$7:$B$300,$B24)</f>
        <v>14549</v>
      </c>
      <c r="W24" s="8" t="n">
        <f aca="false">SUMIFS('Dr Umesh Choudhry'!$H$7:$H$300,'Dr Umesh Choudhry'!$B$7:$B$300,$B24)</f>
        <v>14381.5</v>
      </c>
      <c r="X24" s="8" t="n">
        <f aca="false">W24-V24</f>
        <v>-167.5</v>
      </c>
      <c r="Y24" s="9" t="n">
        <f aca="false">IF(V24&gt;0,X24/V24,"")</f>
        <v>-0.0115128187504296</v>
      </c>
      <c r="Z24" s="9" t="n">
        <f aca="false">IF(W$6=0,"",W24/W$6)</f>
        <v>0.00264975302188519</v>
      </c>
      <c r="AA24" s="50" t="n">
        <f aca="false">SUMIFS(Gautam!$D$7:$D$300,Gautam!$B$7:$B$300,$B24)</f>
        <v>28</v>
      </c>
      <c r="AB24" s="51" t="n">
        <f aca="false">IF(AND(AA24&gt;0,AC24&gt;0),AC24/AA24,"")</f>
        <v>2773</v>
      </c>
      <c r="AC24" s="8" t="n">
        <f aca="false">SUMIFS(Gautam!$E$7:$E$300,Gautam!$B$7:$B$300,$B24)</f>
        <v>77644</v>
      </c>
      <c r="AD24" s="8" t="n">
        <f aca="false">SUMIFS(Gautam!$H$7:$H$300,Gautam!$B$7:$B$300,$B24)</f>
        <v>80536.4</v>
      </c>
      <c r="AE24" s="8" t="n">
        <f aca="false">AD24-AC24</f>
        <v>2892.40000000001</v>
      </c>
      <c r="AF24" s="9" t="n">
        <f aca="false">IF(AC24&gt;0,AE24/AC24,"")</f>
        <v>0.0372520735665346</v>
      </c>
      <c r="AG24" s="9" t="n">
        <f aca="false">IF(AD$6=0,"",AD24/AD$6)</f>
        <v>0.0172355976448042</v>
      </c>
      <c r="AH24" s="50" t="n">
        <f aca="false">SUMIFS(DA!$D$7:$D$300,DA!$B$7:$B$300,$B24)</f>
        <v>18</v>
      </c>
      <c r="AI24" s="51" t="n">
        <f aca="false">IF(AND(AH24&gt;0,AJ24&gt;0),AJ24/AH24,"")</f>
        <v>2996.16666666667</v>
      </c>
      <c r="AJ24" s="8" t="n">
        <f aca="false">SUMIFS(DA!$E$7:$E$300,DA!$B$7:$B$300,$B24)</f>
        <v>53931</v>
      </c>
      <c r="AK24" s="8" t="n">
        <f aca="false">SUMIFS(DA!$H$7:$H$300,DA!$B$7:$B$300,$B24)</f>
        <v>51773.4</v>
      </c>
      <c r="AL24" s="8" t="n">
        <f aca="false">AK24-AJ24</f>
        <v>-2157.6</v>
      </c>
      <c r="AM24" s="9" t="n">
        <f aca="false">IF(AJ24&gt;0,AL24/AJ24,"")</f>
        <v>-0.0400066751960839</v>
      </c>
      <c r="AN24" s="9" t="n">
        <f aca="false">IF(AK$6=0,"",AK24/AK$6)</f>
        <v>0.0133507630879609</v>
      </c>
    </row>
    <row r="25" customFormat="false" ht="15" hidden="false" customHeight="false" outlineLevel="0" collapsed="false">
      <c r="A25" s="5" t="n">
        <v>19</v>
      </c>
      <c r="B25" s="41" t="s">
        <v>81</v>
      </c>
      <c r="C25" s="42" t="n">
        <f aca="false">IFERROR(INDEX(Prices!$C$6:$C$300,MATCH($B25,Prices!$A$6:$A$300,0)),"")</f>
        <v>3585</v>
      </c>
      <c r="D25" s="43" t="str">
        <f aca="false">IFERROR(INDEX(Prices!$D$6:$D$300,MATCH($B25,Prices!$A$6:$A$300,0)),"")</f>
        <v>Close 08.10.2026 (Screener.in)</v>
      </c>
      <c r="E25" s="6" t="n">
        <f aca="false">(M25&gt;0)+(T25&gt;0)+(AA25&gt;0)+(AH25&gt;0)</f>
        <v>3</v>
      </c>
      <c r="F25" s="44" t="n">
        <f aca="false">M25+T25+AA25+AH25</f>
        <v>38</v>
      </c>
      <c r="G25" s="45" t="n">
        <f aca="false">IF(AND(F25&gt;0,H25&gt;0),H25/F25,"")</f>
        <v>3867.65789473684</v>
      </c>
      <c r="H25" s="46" t="n">
        <f aca="false">O25+V25+AC25+AJ25</f>
        <v>146971</v>
      </c>
      <c r="I25" s="47" t="n">
        <f aca="false">P25+W25+AD25+AK25</f>
        <v>136230</v>
      </c>
      <c r="J25" s="46" t="n">
        <f aca="false">I25-H25</f>
        <v>-10741</v>
      </c>
      <c r="K25" s="48" t="n">
        <f aca="false">IF(H25&gt;0,J25/H25,"")</f>
        <v>-0.0730824448360561</v>
      </c>
      <c r="L25" s="49" t="n">
        <f aca="false">IF(I$6=0,"",I25/I$6)</f>
        <v>0.00959156603227809</v>
      </c>
      <c r="M25" s="50" t="n">
        <f aca="false">SUMIFS('Vidushi Malhotra'!$D$7:$D$300,'Vidushi Malhotra'!$B$7:$B$300,$B25)</f>
        <v>0</v>
      </c>
      <c r="N25" s="51" t="str">
        <f aca="false">IF(AND(M25&gt;0,O25&gt;0),O25/M25,"")</f>
        <v/>
      </c>
      <c r="O25" s="8" t="n">
        <f aca="false">SUMIFS('Vidushi Malhotra'!$E$7:$E$300,'Vidushi Malhotra'!$B$7:$B$300,$B25)</f>
        <v>0</v>
      </c>
      <c r="P25" s="8" t="n">
        <f aca="false">SUMIFS('Vidushi Malhotra'!$H$7:$H$300,'Vidushi Malhotra'!$B$7:$B$300,$B25)</f>
        <v>0</v>
      </c>
      <c r="Q25" s="8" t="n">
        <f aca="false">P25-O25</f>
        <v>0</v>
      </c>
      <c r="R25" s="9" t="str">
        <f aca="false">IF(O25&gt;0,Q25/O25,"")</f>
        <v/>
      </c>
      <c r="S25" s="9" t="n">
        <f aca="false">IF(P$6=0,"",P25/P$6)</f>
        <v>0</v>
      </c>
      <c r="T25" s="50" t="n">
        <f aca="false">SUMIFS('Dr Umesh Choudhry'!$D$7:$D$300,'Dr Umesh Choudhry'!$B$7:$B$300,$B25)</f>
        <v>4</v>
      </c>
      <c r="U25" s="51" t="n">
        <f aca="false">IF(AND(T25&gt;0,V25&gt;0),V25/T25,"")</f>
        <v>3685</v>
      </c>
      <c r="V25" s="8" t="n">
        <f aca="false">SUMIFS('Dr Umesh Choudhry'!$E$7:$E$300,'Dr Umesh Choudhry'!$B$7:$B$300,$B25)</f>
        <v>14740</v>
      </c>
      <c r="W25" s="8" t="n">
        <f aca="false">SUMIFS('Dr Umesh Choudhry'!$H$7:$H$300,'Dr Umesh Choudhry'!$B$7:$B$300,$B25)</f>
        <v>14340</v>
      </c>
      <c r="X25" s="8" t="n">
        <f aca="false">W25-V25</f>
        <v>-400</v>
      </c>
      <c r="Y25" s="9" t="n">
        <f aca="false">IF(V25&gt;0,X25/V25,"")</f>
        <v>-0.0271370420624152</v>
      </c>
      <c r="Z25" s="9" t="n">
        <f aca="false">IF(W$6=0,"",W25/W$6)</f>
        <v>0.00264210675755892</v>
      </c>
      <c r="AA25" s="50" t="n">
        <f aca="false">SUMIFS(Gautam!$D$7:$D$300,Gautam!$B$7:$B$300,$B25)</f>
        <v>21</v>
      </c>
      <c r="AB25" s="51" t="n">
        <f aca="false">IF(AND(AA25&gt;0,AC25&gt;0),AC25/AA25,"")</f>
        <v>3829</v>
      </c>
      <c r="AC25" s="8" t="n">
        <f aca="false">SUMIFS(Gautam!$E$7:$E$300,Gautam!$B$7:$B$300,$B25)</f>
        <v>80409</v>
      </c>
      <c r="AD25" s="8" t="n">
        <f aca="false">SUMIFS(Gautam!$H$7:$H$300,Gautam!$B$7:$B$300,$B25)</f>
        <v>75285</v>
      </c>
      <c r="AE25" s="8" t="n">
        <f aca="false">AD25-AC25</f>
        <v>-5124</v>
      </c>
      <c r="AF25" s="9" t="n">
        <f aca="false">IF(AC25&gt;0,AE25/AC25,"")</f>
        <v>-0.0637242099764952</v>
      </c>
      <c r="AG25" s="9" t="n">
        <f aca="false">IF(AD$6=0,"",AD25/AD$6)</f>
        <v>0.0161117453560015</v>
      </c>
      <c r="AH25" s="50" t="n">
        <f aca="false">SUMIFS(DA!$D$7:$D$300,DA!$B$7:$B$300,$B25)</f>
        <v>13</v>
      </c>
      <c r="AI25" s="51" t="n">
        <f aca="false">IF(AND(AH25&gt;0,AJ25&gt;0),AJ25/AH25,"")</f>
        <v>3986.30769230769</v>
      </c>
      <c r="AJ25" s="8" t="n">
        <f aca="false">SUMIFS(DA!$E$7:$E$300,DA!$B$7:$B$300,$B25)</f>
        <v>51822</v>
      </c>
      <c r="AK25" s="8" t="n">
        <f aca="false">SUMIFS(DA!$H$7:$H$300,DA!$B$7:$B$300,$B25)</f>
        <v>46605</v>
      </c>
      <c r="AL25" s="8" t="n">
        <f aca="false">AK25-AJ25</f>
        <v>-5217</v>
      </c>
      <c r="AM25" s="9" t="n">
        <f aca="false">IF(AJ25&gt;0,AL25/AJ25,"")</f>
        <v>-0.10067152946625</v>
      </c>
      <c r="AN25" s="9" t="n">
        <f aca="false">IF(AK$6=0,"",AK25/AK$6)</f>
        <v>0.0120179921294413</v>
      </c>
    </row>
    <row r="26" customFormat="false" ht="15" hidden="false" customHeight="false" outlineLevel="0" collapsed="false">
      <c r="A26" s="5" t="n">
        <v>20</v>
      </c>
      <c r="B26" s="41" t="s">
        <v>82</v>
      </c>
      <c r="C26" s="42" t="n">
        <f aca="false">IFERROR(INDEX(Prices!$C$6:$C$300,MATCH($B26,Prices!$A$6:$A$300,0)),"")</f>
        <v>1120.8</v>
      </c>
      <c r="D26" s="43" t="str">
        <f aca="false">IFERROR(INDEX(Prices!$D$6:$D$300,MATCH($B26,Prices!$A$6:$A$300,0)),"")</f>
        <v>Close 08.10.2026 (Screener.in)</v>
      </c>
      <c r="E26" s="6" t="n">
        <f aca="false">(M26&gt;0)+(T26&gt;0)+(AA26&gt;0)+(AH26&gt;0)</f>
        <v>2</v>
      </c>
      <c r="F26" s="44" t="n">
        <f aca="false">M26+T26+AA26+AH26</f>
        <v>92</v>
      </c>
      <c r="G26" s="45" t="n">
        <f aca="false">IF(AND(F26&gt;0,H26&gt;0),H26/F26,"")</f>
        <v>1876.97826086957</v>
      </c>
      <c r="H26" s="46" t="n">
        <f aca="false">O26+V26+AC26+AJ26</f>
        <v>172682</v>
      </c>
      <c r="I26" s="47" t="n">
        <f aca="false">P26+W26+AD26+AK26</f>
        <v>103113.6</v>
      </c>
      <c r="J26" s="46" t="n">
        <f aca="false">I26-H26</f>
        <v>-69568.4</v>
      </c>
      <c r="K26" s="48" t="n">
        <f aca="false">IF(H26&gt;0,J26/H26,"")</f>
        <v>-0.402870015404038</v>
      </c>
      <c r="L26" s="49" t="n">
        <f aca="false">IF(I$6=0,"",I26/I$6)</f>
        <v>0.00725993469298913</v>
      </c>
      <c r="M26" s="50" t="n">
        <f aca="false">SUMIFS('Vidushi Malhotra'!$D$7:$D$300,'Vidushi Malhotra'!$B$7:$B$300,$B26)</f>
        <v>0</v>
      </c>
      <c r="N26" s="51" t="str">
        <f aca="false">IF(AND(M26&gt;0,O26&gt;0),O26/M26,"")</f>
        <v/>
      </c>
      <c r="O26" s="8" t="n">
        <f aca="false">SUMIFS('Vidushi Malhotra'!$E$7:$E$300,'Vidushi Malhotra'!$B$7:$B$300,$B26)</f>
        <v>0</v>
      </c>
      <c r="P26" s="8" t="n">
        <f aca="false">SUMIFS('Vidushi Malhotra'!$H$7:$H$300,'Vidushi Malhotra'!$B$7:$B$300,$B26)</f>
        <v>0</v>
      </c>
      <c r="Q26" s="8" t="n">
        <f aca="false">P26-O26</f>
        <v>0</v>
      </c>
      <c r="R26" s="9" t="str">
        <f aca="false">IF(O26&gt;0,Q26/O26,"")</f>
        <v/>
      </c>
      <c r="S26" s="9" t="n">
        <f aca="false">IF(P$6=0,"",P26/P$6)</f>
        <v>0</v>
      </c>
      <c r="T26" s="50" t="n">
        <f aca="false">SUMIFS('Dr Umesh Choudhry'!$D$7:$D$300,'Dr Umesh Choudhry'!$B$7:$B$300,$B26)</f>
        <v>82</v>
      </c>
      <c r="U26" s="51" t="n">
        <f aca="false">IF(AND(T26&gt;0,V26&gt;0),V26/T26,"")</f>
        <v>1960.25609756098</v>
      </c>
      <c r="V26" s="8" t="n">
        <f aca="false">SUMIFS('Dr Umesh Choudhry'!$E$7:$E$300,'Dr Umesh Choudhry'!$B$7:$B$300,$B26)</f>
        <v>160741</v>
      </c>
      <c r="W26" s="8" t="n">
        <f aca="false">SUMIFS('Dr Umesh Choudhry'!$H$7:$H$300,'Dr Umesh Choudhry'!$B$7:$B$300,$B26)</f>
        <v>91905.6</v>
      </c>
      <c r="X26" s="8" t="n">
        <f aca="false">W26-V26</f>
        <v>-68835.4</v>
      </c>
      <c r="Y26" s="9" t="n">
        <f aca="false">IF(V26&gt;0,X26/V26,"")</f>
        <v>-0.428237972888062</v>
      </c>
      <c r="Z26" s="9" t="n">
        <f aca="false">IF(W$6=0,"",W26/W$6)</f>
        <v>0.016933361702755</v>
      </c>
      <c r="AA26" s="50" t="n">
        <f aca="false">SUMIFS(Gautam!$D$7:$D$300,Gautam!$B$7:$B$300,$B26)</f>
        <v>10</v>
      </c>
      <c r="AB26" s="51" t="n">
        <f aca="false">IF(AND(AA26&gt;0,AC26&gt;0),AC26/AA26,"")</f>
        <v>1194.1</v>
      </c>
      <c r="AC26" s="8" t="n">
        <f aca="false">SUMIFS(Gautam!$E$7:$E$300,Gautam!$B$7:$B$300,$B26)</f>
        <v>11941</v>
      </c>
      <c r="AD26" s="8" t="n">
        <f aca="false">SUMIFS(Gautam!$H$7:$H$300,Gautam!$B$7:$B$300,$B26)</f>
        <v>11208</v>
      </c>
      <c r="AE26" s="8" t="n">
        <f aca="false">AD26-AC26</f>
        <v>-733</v>
      </c>
      <c r="AF26" s="9" t="n">
        <f aca="false">IF(AC26&gt;0,AE26/AC26,"")</f>
        <v>-0.0613851436228122</v>
      </c>
      <c r="AG26" s="9" t="n">
        <f aca="false">IF(AD$6=0,"",AD26/AD$6)</f>
        <v>0.00239862445307917</v>
      </c>
      <c r="AH26" s="50" t="n">
        <f aca="false">SUMIFS(DA!$D$7:$D$300,DA!$B$7:$B$300,$B26)</f>
        <v>0</v>
      </c>
      <c r="AI26" s="51" t="str">
        <f aca="false">IF(AND(AH26&gt;0,AJ26&gt;0),AJ26/AH26,"")</f>
        <v/>
      </c>
      <c r="AJ26" s="8" t="n">
        <f aca="false">SUMIFS(DA!$E$7:$E$300,DA!$B$7:$B$300,$B26)</f>
        <v>0</v>
      </c>
      <c r="AK26" s="8" t="n">
        <f aca="false">SUMIFS(DA!$H$7:$H$300,DA!$B$7:$B$300,$B26)</f>
        <v>0</v>
      </c>
      <c r="AL26" s="8" t="n">
        <f aca="false">AK26-AJ26</f>
        <v>0</v>
      </c>
      <c r="AM26" s="9" t="str">
        <f aca="false">IF(AJ26&gt;0,AL26/AJ26,"")</f>
        <v/>
      </c>
      <c r="AN26" s="9" t="n">
        <f aca="false">IF(AK$6=0,"",AK26/AK$6)</f>
        <v>0</v>
      </c>
    </row>
    <row r="27" customFormat="false" ht="15" hidden="false" customHeight="false" outlineLevel="0" collapsed="false">
      <c r="A27" s="5" t="n">
        <v>21</v>
      </c>
      <c r="B27" s="41" t="s">
        <v>83</v>
      </c>
      <c r="C27" s="42" t="n">
        <f aca="false">IFERROR(INDEX(Prices!$C$6:$C$300,MATCH($B27,Prices!$A$6:$A$300,0)),"")</f>
        <v>1319</v>
      </c>
      <c r="D27" s="43" t="str">
        <f aca="false">IFERROR(INDEX(Prices!$D$6:$D$300,MATCH($B27,Prices!$A$6:$A$300,0)),"")</f>
        <v>Close 08.10.2026 (Screener.in)</v>
      </c>
      <c r="E27" s="6" t="n">
        <f aca="false">(M27&gt;0)+(T27&gt;0)+(AA27&gt;0)+(AH27&gt;0)</f>
        <v>3</v>
      </c>
      <c r="F27" s="44" t="n">
        <f aca="false">M27+T27+AA27+AH27</f>
        <v>75</v>
      </c>
      <c r="G27" s="45" t="n">
        <f aca="false">IF(AND(F27&gt;0,H27&gt;0),H27/F27,"")</f>
        <v>1266.09333333333</v>
      </c>
      <c r="H27" s="46" t="n">
        <f aca="false">O27+V27+AC27+AJ27</f>
        <v>94957</v>
      </c>
      <c r="I27" s="47" t="n">
        <f aca="false">P27+W27+AD27+AK27</f>
        <v>98925</v>
      </c>
      <c r="J27" s="46" t="n">
        <f aca="false">I27-H27</f>
        <v>3968</v>
      </c>
      <c r="K27" s="48" t="n">
        <f aca="false">IF(H27&gt;0,J27/H27,"")</f>
        <v>0.0417873353201976</v>
      </c>
      <c r="L27" s="49" t="n">
        <f aca="false">IF(I$6=0,"",I27/I$6)</f>
        <v>0.00696502730487492</v>
      </c>
      <c r="M27" s="50" t="n">
        <f aca="false">SUMIFS('Vidushi Malhotra'!$D$7:$D$300,'Vidushi Malhotra'!$B$7:$B$300,$B27)</f>
        <v>0</v>
      </c>
      <c r="N27" s="51" t="str">
        <f aca="false">IF(AND(M27&gt;0,O27&gt;0),O27/M27,"")</f>
        <v/>
      </c>
      <c r="O27" s="8" t="n">
        <f aca="false">SUMIFS('Vidushi Malhotra'!$E$7:$E$300,'Vidushi Malhotra'!$B$7:$B$300,$B27)</f>
        <v>0</v>
      </c>
      <c r="P27" s="8" t="n">
        <f aca="false">SUMIFS('Vidushi Malhotra'!$H$7:$H$300,'Vidushi Malhotra'!$B$7:$B$300,$B27)</f>
        <v>0</v>
      </c>
      <c r="Q27" s="8" t="n">
        <f aca="false">P27-O27</f>
        <v>0</v>
      </c>
      <c r="R27" s="9" t="str">
        <f aca="false">IF(O27&gt;0,Q27/O27,"")</f>
        <v/>
      </c>
      <c r="S27" s="9" t="n">
        <f aca="false">IF(P$6=0,"",P27/P$6)</f>
        <v>0</v>
      </c>
      <c r="T27" s="50" t="n">
        <f aca="false">SUMIFS('Dr Umesh Choudhry'!$D$7:$D$300,'Dr Umesh Choudhry'!$B$7:$B$300,$B27)</f>
        <v>1</v>
      </c>
      <c r="U27" s="51" t="n">
        <f aca="false">IF(AND(T27&gt;0,V27&gt;0),V27/T27,"")</f>
        <v>1494</v>
      </c>
      <c r="V27" s="8" t="n">
        <f aca="false">SUMIFS('Dr Umesh Choudhry'!$E$7:$E$300,'Dr Umesh Choudhry'!$B$7:$B$300,$B27)</f>
        <v>1494</v>
      </c>
      <c r="W27" s="8" t="n">
        <f aca="false">SUMIFS('Dr Umesh Choudhry'!$H$7:$H$300,'Dr Umesh Choudhry'!$B$7:$B$300,$B27)</f>
        <v>1319</v>
      </c>
      <c r="X27" s="8" t="n">
        <f aca="false">W27-V27</f>
        <v>-175</v>
      </c>
      <c r="Y27" s="9" t="n">
        <f aca="false">IF(V27&gt;0,X27/V27,"")</f>
        <v>-0.117135207496653</v>
      </c>
      <c r="Z27" s="9" t="n">
        <f aca="false">IF(W$6=0,"",W27/W$6)</f>
        <v>0.000243022232442135</v>
      </c>
      <c r="AA27" s="50" t="n">
        <f aca="false">SUMIFS(Gautam!$D$7:$D$300,Gautam!$B$7:$B$300,$B27)</f>
        <v>22</v>
      </c>
      <c r="AB27" s="51" t="n">
        <f aca="false">IF(AND(AA27&gt;0,AC27&gt;0),AC27/AA27,"")</f>
        <v>1258.31818181818</v>
      </c>
      <c r="AC27" s="8" t="n">
        <f aca="false">SUMIFS(Gautam!$E$7:$E$300,Gautam!$B$7:$B$300,$B27)</f>
        <v>27683</v>
      </c>
      <c r="AD27" s="8" t="n">
        <f aca="false">SUMIFS(Gautam!$H$7:$H$300,Gautam!$B$7:$B$300,$B27)</f>
        <v>29018</v>
      </c>
      <c r="AE27" s="8" t="n">
        <f aca="false">AD27-AC27</f>
        <v>1335</v>
      </c>
      <c r="AF27" s="9" t="n">
        <f aca="false">IF(AC27&gt;0,AE27/AC27,"")</f>
        <v>0.0482245421377741</v>
      </c>
      <c r="AG27" s="9" t="n">
        <f aca="false">IF(AD$6=0,"",AD27/AD$6)</f>
        <v>0.00621014314591821</v>
      </c>
      <c r="AH27" s="50" t="n">
        <f aca="false">SUMIFS(DA!$D$7:$D$300,DA!$B$7:$B$300,$B27)</f>
        <v>52</v>
      </c>
      <c r="AI27" s="51" t="n">
        <f aca="false">IF(AND(AH27&gt;0,AJ27&gt;0),AJ27/AH27,"")</f>
        <v>1265</v>
      </c>
      <c r="AJ27" s="8" t="n">
        <f aca="false">SUMIFS(DA!$E$7:$E$300,DA!$B$7:$B$300,$B27)</f>
        <v>65780</v>
      </c>
      <c r="AK27" s="8" t="n">
        <f aca="false">SUMIFS(DA!$H$7:$H$300,DA!$B$7:$B$300,$B27)</f>
        <v>68588</v>
      </c>
      <c r="AL27" s="8" t="n">
        <f aca="false">AK27-AJ27</f>
        <v>2808</v>
      </c>
      <c r="AM27" s="9" t="n">
        <f aca="false">IF(AJ27&gt;0,AL27/AJ27,"")</f>
        <v>0.0426877470355731</v>
      </c>
      <c r="AN27" s="9" t="n">
        <f aca="false">IF(AK$6=0,"",AK27/AK$6)</f>
        <v>0.0176867298395906</v>
      </c>
    </row>
    <row r="28" customFormat="false" ht="15" hidden="false" customHeight="false" outlineLevel="0" collapsed="false">
      <c r="A28" s="5" t="n">
        <v>22</v>
      </c>
      <c r="B28" s="41" t="s">
        <v>84</v>
      </c>
      <c r="C28" s="42" t="n">
        <f aca="false">IFERROR(INDEX(Prices!$C$6:$C$300,MATCH($B28,Prices!$A$6:$A$300,0)),"")</f>
        <v>4813.1</v>
      </c>
      <c r="D28" s="43" t="str">
        <f aca="false">IFERROR(INDEX(Prices!$D$6:$D$300,MATCH($B28,Prices!$A$6:$A$300,0)),"")</f>
        <v>Close 08.10.2026 (Screener.in)</v>
      </c>
      <c r="E28" s="6" t="n">
        <f aca="false">(M28&gt;0)+(T28&gt;0)+(AA28&gt;0)+(AH28&gt;0)</f>
        <v>1</v>
      </c>
      <c r="F28" s="44" t="n">
        <f aca="false">M28+T28+AA28+AH28</f>
        <v>20</v>
      </c>
      <c r="G28" s="45" t="n">
        <f aca="false">IF(AND(F28&gt;0,H28&gt;0),H28/F28,"")</f>
        <v>5193</v>
      </c>
      <c r="H28" s="46" t="n">
        <f aca="false">O28+V28+AC28+AJ28</f>
        <v>103860</v>
      </c>
      <c r="I28" s="47" t="n">
        <f aca="false">P28+W28+AD28+AK28</f>
        <v>96262</v>
      </c>
      <c r="J28" s="46" t="n">
        <f aca="false">I28-H28</f>
        <v>-7598</v>
      </c>
      <c r="K28" s="48" t="n">
        <f aca="false">IF(H28&gt;0,J28/H28,"")</f>
        <v>-0.07315617176969</v>
      </c>
      <c r="L28" s="49" t="n">
        <f aca="false">IF(I$6=0,"",I28/I$6)</f>
        <v>0.00677753306466383</v>
      </c>
      <c r="M28" s="50" t="n">
        <f aca="false">SUMIFS('Vidushi Malhotra'!$D$7:$D$300,'Vidushi Malhotra'!$B$7:$B$300,$B28)</f>
        <v>0</v>
      </c>
      <c r="N28" s="51" t="str">
        <f aca="false">IF(AND(M28&gt;0,O28&gt;0),O28/M28,"")</f>
        <v/>
      </c>
      <c r="O28" s="8" t="n">
        <f aca="false">SUMIFS('Vidushi Malhotra'!$E$7:$E$300,'Vidushi Malhotra'!$B$7:$B$300,$B28)</f>
        <v>0</v>
      </c>
      <c r="P28" s="8" t="n">
        <f aca="false">SUMIFS('Vidushi Malhotra'!$H$7:$H$300,'Vidushi Malhotra'!$B$7:$B$300,$B28)</f>
        <v>0</v>
      </c>
      <c r="Q28" s="8" t="n">
        <f aca="false">P28-O28</f>
        <v>0</v>
      </c>
      <c r="R28" s="9" t="str">
        <f aca="false">IF(O28&gt;0,Q28/O28,"")</f>
        <v/>
      </c>
      <c r="S28" s="9" t="n">
        <f aca="false">IF(P$6=0,"",P28/P$6)</f>
        <v>0</v>
      </c>
      <c r="T28" s="50" t="n">
        <f aca="false">SUMIFS('Dr Umesh Choudhry'!$D$7:$D$300,'Dr Umesh Choudhry'!$B$7:$B$300,$B28)</f>
        <v>0</v>
      </c>
      <c r="U28" s="51" t="str">
        <f aca="false">IF(AND(T28&gt;0,V28&gt;0),V28/T28,"")</f>
        <v/>
      </c>
      <c r="V28" s="8" t="n">
        <f aca="false">SUMIFS('Dr Umesh Choudhry'!$E$7:$E$300,'Dr Umesh Choudhry'!$B$7:$B$300,$B28)</f>
        <v>0</v>
      </c>
      <c r="W28" s="8" t="n">
        <f aca="false">SUMIFS('Dr Umesh Choudhry'!$H$7:$H$300,'Dr Umesh Choudhry'!$B$7:$B$300,$B28)</f>
        <v>0</v>
      </c>
      <c r="X28" s="8" t="n">
        <f aca="false">W28-V28</f>
        <v>0</v>
      </c>
      <c r="Y28" s="9" t="str">
        <f aca="false">IF(V28&gt;0,X28/V28,"")</f>
        <v/>
      </c>
      <c r="Z28" s="9" t="n">
        <f aca="false">IF(W$6=0,"",W28/W$6)</f>
        <v>0</v>
      </c>
      <c r="AA28" s="50" t="n">
        <f aca="false">SUMIFS(Gautam!$D$7:$D$300,Gautam!$B$7:$B$300,$B28)</f>
        <v>20</v>
      </c>
      <c r="AB28" s="51" t="n">
        <f aca="false">IF(AND(AA28&gt;0,AC28&gt;0),AC28/AA28,"")</f>
        <v>5193</v>
      </c>
      <c r="AC28" s="8" t="n">
        <f aca="false">SUMIFS(Gautam!$E$7:$E$300,Gautam!$B$7:$B$300,$B28)</f>
        <v>103860</v>
      </c>
      <c r="AD28" s="8" t="n">
        <f aca="false">SUMIFS(Gautam!$H$7:$H$300,Gautam!$B$7:$B$300,$B28)</f>
        <v>96262</v>
      </c>
      <c r="AE28" s="8" t="n">
        <f aca="false">AD28-AC28</f>
        <v>-7598</v>
      </c>
      <c r="AF28" s="9" t="n">
        <f aca="false">IF(AC28&gt;0,AE28/AC28,"")</f>
        <v>-0.07315617176969</v>
      </c>
      <c r="AG28" s="9" t="n">
        <f aca="false">IF(AD$6=0,"",AD28/AD$6)</f>
        <v>0.0206010338242601</v>
      </c>
      <c r="AH28" s="50" t="n">
        <f aca="false">SUMIFS(DA!$D$7:$D$300,DA!$B$7:$B$300,$B28)</f>
        <v>0</v>
      </c>
      <c r="AI28" s="51" t="str">
        <f aca="false">IF(AND(AH28&gt;0,AJ28&gt;0),AJ28/AH28,"")</f>
        <v/>
      </c>
      <c r="AJ28" s="8" t="n">
        <f aca="false">SUMIFS(DA!$E$7:$E$300,DA!$B$7:$B$300,$B28)</f>
        <v>0</v>
      </c>
      <c r="AK28" s="8" t="n">
        <f aca="false">SUMIFS(DA!$H$7:$H$300,DA!$B$7:$B$300,$B28)</f>
        <v>0</v>
      </c>
      <c r="AL28" s="8" t="n">
        <f aca="false">AK28-AJ28</f>
        <v>0</v>
      </c>
      <c r="AM28" s="9" t="str">
        <f aca="false">IF(AJ28&gt;0,AL28/AJ28,"")</f>
        <v/>
      </c>
      <c r="AN28" s="9" t="n">
        <f aca="false">IF(AK$6=0,"",AK28/AK$6)</f>
        <v>0</v>
      </c>
    </row>
    <row r="29" customFormat="false" ht="15" hidden="false" customHeight="false" outlineLevel="0" collapsed="false">
      <c r="A29" s="5" t="n">
        <v>23</v>
      </c>
      <c r="B29" s="41" t="s">
        <v>85</v>
      </c>
      <c r="C29" s="42" t="n">
        <f aca="false">IFERROR(INDEX(Prices!$C$6:$C$300,MATCH($B29,Prices!$A$6:$A$300,0)),"")</f>
        <v>211</v>
      </c>
      <c r="D29" s="43" t="str">
        <f aca="false">IFERROR(INDEX(Prices!$D$6:$D$300,MATCH($B29,Prices!$A$6:$A$300,0)),"")</f>
        <v>Close 08.10.2026 (Screener.in)</v>
      </c>
      <c r="E29" s="6" t="n">
        <f aca="false">(M29&gt;0)+(T29&gt;0)+(AA29&gt;0)+(AH29&gt;0)</f>
        <v>1</v>
      </c>
      <c r="F29" s="44" t="n">
        <f aca="false">M29+T29+AA29+AH29</f>
        <v>374</v>
      </c>
      <c r="G29" s="45" t="n">
        <f aca="false">IF(AND(F29&gt;0,H29&gt;0),H29/F29,"")</f>
        <v>254</v>
      </c>
      <c r="H29" s="46" t="n">
        <f aca="false">O29+V29+AC29+AJ29</f>
        <v>94996</v>
      </c>
      <c r="I29" s="47" t="n">
        <f aca="false">P29+W29+AD29+AK29</f>
        <v>78914</v>
      </c>
      <c r="J29" s="46" t="n">
        <f aca="false">I29-H29</f>
        <v>-16082</v>
      </c>
      <c r="K29" s="48" t="n">
        <f aca="false">IF(H29&gt;0,J29/H29,"")</f>
        <v>-0.169291338582677</v>
      </c>
      <c r="L29" s="49" t="n">
        <f aca="false">IF(I$6=0,"",I29/I$6)</f>
        <v>0.00555610982802021</v>
      </c>
      <c r="M29" s="50" t="n">
        <f aca="false">SUMIFS('Vidushi Malhotra'!$D$7:$D$300,'Vidushi Malhotra'!$B$7:$B$300,$B29)</f>
        <v>0</v>
      </c>
      <c r="N29" s="51" t="str">
        <f aca="false">IF(AND(M29&gt;0,O29&gt;0),O29/M29,"")</f>
        <v/>
      </c>
      <c r="O29" s="8" t="n">
        <f aca="false">SUMIFS('Vidushi Malhotra'!$E$7:$E$300,'Vidushi Malhotra'!$B$7:$B$300,$B29)</f>
        <v>0</v>
      </c>
      <c r="P29" s="8" t="n">
        <f aca="false">SUMIFS('Vidushi Malhotra'!$H$7:$H$300,'Vidushi Malhotra'!$B$7:$B$300,$B29)</f>
        <v>0</v>
      </c>
      <c r="Q29" s="8" t="n">
        <f aca="false">P29-O29</f>
        <v>0</v>
      </c>
      <c r="R29" s="9" t="str">
        <f aca="false">IF(O29&gt;0,Q29/O29,"")</f>
        <v/>
      </c>
      <c r="S29" s="9" t="n">
        <f aca="false">IF(P$6=0,"",P29/P$6)</f>
        <v>0</v>
      </c>
      <c r="T29" s="50" t="n">
        <f aca="false">SUMIFS('Dr Umesh Choudhry'!$D$7:$D$300,'Dr Umesh Choudhry'!$B$7:$B$300,$B29)</f>
        <v>0</v>
      </c>
      <c r="U29" s="51" t="str">
        <f aca="false">IF(AND(T29&gt;0,V29&gt;0),V29/T29,"")</f>
        <v/>
      </c>
      <c r="V29" s="8" t="n">
        <f aca="false">SUMIFS('Dr Umesh Choudhry'!$E$7:$E$300,'Dr Umesh Choudhry'!$B$7:$B$300,$B29)</f>
        <v>0</v>
      </c>
      <c r="W29" s="8" t="n">
        <f aca="false">SUMIFS('Dr Umesh Choudhry'!$H$7:$H$300,'Dr Umesh Choudhry'!$B$7:$B$300,$B29)</f>
        <v>0</v>
      </c>
      <c r="X29" s="8" t="n">
        <f aca="false">W29-V29</f>
        <v>0</v>
      </c>
      <c r="Y29" s="9" t="str">
        <f aca="false">IF(V29&gt;0,X29/V29,"")</f>
        <v/>
      </c>
      <c r="Z29" s="9" t="n">
        <f aca="false">IF(W$6=0,"",W29/W$6)</f>
        <v>0</v>
      </c>
      <c r="AA29" s="50" t="n">
        <f aca="false">SUMIFS(Gautam!$D$7:$D$300,Gautam!$B$7:$B$300,$B29)</f>
        <v>0</v>
      </c>
      <c r="AB29" s="51" t="str">
        <f aca="false">IF(AND(AA29&gt;0,AC29&gt;0),AC29/AA29,"")</f>
        <v/>
      </c>
      <c r="AC29" s="8" t="n">
        <f aca="false">SUMIFS(Gautam!$E$7:$E$300,Gautam!$B$7:$B$300,$B29)</f>
        <v>0</v>
      </c>
      <c r="AD29" s="8" t="n">
        <f aca="false">SUMIFS(Gautam!$H$7:$H$300,Gautam!$B$7:$B$300,$B29)</f>
        <v>0</v>
      </c>
      <c r="AE29" s="8" t="n">
        <f aca="false">AD29-AC29</f>
        <v>0</v>
      </c>
      <c r="AF29" s="9" t="str">
        <f aca="false">IF(AC29&gt;0,AE29/AC29,"")</f>
        <v/>
      </c>
      <c r="AG29" s="9" t="n">
        <f aca="false">IF(AD$6=0,"",AD29/AD$6)</f>
        <v>0</v>
      </c>
      <c r="AH29" s="50" t="n">
        <f aca="false">SUMIFS(DA!$D$7:$D$300,DA!$B$7:$B$300,$B29)</f>
        <v>374</v>
      </c>
      <c r="AI29" s="51" t="n">
        <f aca="false">IF(AND(AH29&gt;0,AJ29&gt;0),AJ29/AH29,"")</f>
        <v>254</v>
      </c>
      <c r="AJ29" s="8" t="n">
        <f aca="false">SUMIFS(DA!$E$7:$E$300,DA!$B$7:$B$300,$B29)</f>
        <v>94996</v>
      </c>
      <c r="AK29" s="8" t="n">
        <f aca="false">SUMIFS(DA!$H$7:$H$300,DA!$B$7:$B$300,$B29)</f>
        <v>78914</v>
      </c>
      <c r="AL29" s="8" t="n">
        <f aca="false">AK29-AJ29</f>
        <v>-16082</v>
      </c>
      <c r="AM29" s="9" t="n">
        <f aca="false">IF(AJ29&gt;0,AL29/AJ29,"")</f>
        <v>-0.169291338582677</v>
      </c>
      <c r="AN29" s="9" t="n">
        <f aca="false">IF(AK$6=0,"",AK29/AK$6)</f>
        <v>0.0203494867697185</v>
      </c>
    </row>
    <row r="30" customFormat="false" ht="15" hidden="false" customHeight="false" outlineLevel="0" collapsed="false">
      <c r="A30" s="5" t="n">
        <v>24</v>
      </c>
      <c r="B30" s="41" t="s">
        <v>86</v>
      </c>
      <c r="C30" s="42" t="n">
        <f aca="false">IFERROR(INDEX(Prices!$C$6:$C$300,MATCH($B30,Prices!$A$6:$A$300,0)),"")</f>
        <v>2317</v>
      </c>
      <c r="D30" s="43" t="str">
        <f aca="false">IFERROR(INDEX(Prices!$D$6:$D$300,MATCH($B30,Prices!$A$6:$A$300,0)),"")</f>
        <v>Close 08.10.2026 (Screener.in)</v>
      </c>
      <c r="E30" s="6" t="n">
        <f aca="false">(M30&gt;0)+(T30&gt;0)+(AA30&gt;0)+(AH30&gt;0)</f>
        <v>2</v>
      </c>
      <c r="F30" s="44" t="n">
        <f aca="false">M30+T30+AA30+AH30</f>
        <v>32</v>
      </c>
      <c r="G30" s="45" t="n">
        <f aca="false">IF(AND(F30&gt;0,H30&gt;0),H30/F30,"")</f>
        <v>2353.90625</v>
      </c>
      <c r="H30" s="46" t="n">
        <f aca="false">O30+V30+AC30+AJ30</f>
        <v>75325</v>
      </c>
      <c r="I30" s="47" t="n">
        <f aca="false">P30+W30+AD30+AK30</f>
        <v>74144</v>
      </c>
      <c r="J30" s="46" t="n">
        <f aca="false">I30-H30</f>
        <v>-1181</v>
      </c>
      <c r="K30" s="48" t="n">
        <f aca="false">IF(H30&gt;0,J30/H30,"")</f>
        <v>-0.0156787255227348</v>
      </c>
      <c r="L30" s="49" t="n">
        <f aca="false">IF(I$6=0,"",I30/I$6)</f>
        <v>0.00522026772294815</v>
      </c>
      <c r="M30" s="50" t="n">
        <f aca="false">SUMIFS('Vidushi Malhotra'!$D$7:$D$300,'Vidushi Malhotra'!$B$7:$B$300,$B30)</f>
        <v>0</v>
      </c>
      <c r="N30" s="51" t="str">
        <f aca="false">IF(AND(M30&gt;0,O30&gt;0),O30/M30,"")</f>
        <v/>
      </c>
      <c r="O30" s="8" t="n">
        <f aca="false">SUMIFS('Vidushi Malhotra'!$E$7:$E$300,'Vidushi Malhotra'!$B$7:$B$300,$B30)</f>
        <v>0</v>
      </c>
      <c r="P30" s="8" t="n">
        <f aca="false">SUMIFS('Vidushi Malhotra'!$H$7:$H$300,'Vidushi Malhotra'!$B$7:$B$300,$B30)</f>
        <v>0</v>
      </c>
      <c r="Q30" s="8" t="n">
        <f aca="false">P30-O30</f>
        <v>0</v>
      </c>
      <c r="R30" s="9" t="str">
        <f aca="false">IF(O30&gt;0,Q30/O30,"")</f>
        <v/>
      </c>
      <c r="S30" s="9" t="n">
        <f aca="false">IF(P$6=0,"",P30/P$6)</f>
        <v>0</v>
      </c>
      <c r="T30" s="50" t="n">
        <f aca="false">SUMIFS('Dr Umesh Choudhry'!$D$7:$D$300,'Dr Umesh Choudhry'!$B$7:$B$300,$B30)</f>
        <v>0</v>
      </c>
      <c r="U30" s="51" t="str">
        <f aca="false">IF(AND(T30&gt;0,V30&gt;0),V30/T30,"")</f>
        <v/>
      </c>
      <c r="V30" s="8" t="n">
        <f aca="false">SUMIFS('Dr Umesh Choudhry'!$E$7:$E$300,'Dr Umesh Choudhry'!$B$7:$B$300,$B30)</f>
        <v>0</v>
      </c>
      <c r="W30" s="8" t="n">
        <f aca="false">SUMIFS('Dr Umesh Choudhry'!$H$7:$H$300,'Dr Umesh Choudhry'!$B$7:$B$300,$B30)</f>
        <v>0</v>
      </c>
      <c r="X30" s="8" t="n">
        <f aca="false">W30-V30</f>
        <v>0</v>
      </c>
      <c r="Y30" s="9" t="str">
        <f aca="false">IF(V30&gt;0,X30/V30,"")</f>
        <v/>
      </c>
      <c r="Z30" s="9" t="n">
        <f aca="false">IF(W$6=0,"",W30/W$6)</f>
        <v>0</v>
      </c>
      <c r="AA30" s="50" t="n">
        <f aca="false">SUMIFS(Gautam!$D$7:$D$300,Gautam!$B$7:$B$300,$B30)</f>
        <v>24</v>
      </c>
      <c r="AB30" s="51" t="n">
        <f aca="false">IF(AND(AA30&gt;0,AC30&gt;0),AC30/AA30,"")</f>
        <v>2552.54166666667</v>
      </c>
      <c r="AC30" s="8" t="n">
        <f aca="false">SUMIFS(Gautam!$E$7:$E$300,Gautam!$B$7:$B$300,$B30)</f>
        <v>61261</v>
      </c>
      <c r="AD30" s="8" t="n">
        <f aca="false">SUMIFS(Gautam!$H$7:$H$300,Gautam!$B$7:$B$300,$B30)</f>
        <v>55608</v>
      </c>
      <c r="AE30" s="8" t="n">
        <f aca="false">AD30-AC30</f>
        <v>-5653</v>
      </c>
      <c r="AF30" s="9" t="n">
        <f aca="false">IF(AC30&gt;0,AE30/AC30,"")</f>
        <v>-0.0922773053002726</v>
      </c>
      <c r="AG30" s="9" t="n">
        <f aca="false">IF(AD$6=0,"",AD30/AD$6)</f>
        <v>0.0119006699310159</v>
      </c>
      <c r="AH30" s="50" t="n">
        <f aca="false">SUMIFS(DA!$D$7:$D$300,DA!$B$7:$B$300,$B30)</f>
        <v>8</v>
      </c>
      <c r="AI30" s="51" t="n">
        <f aca="false">IF(AND(AH30&gt;0,AJ30&gt;0),AJ30/AH30,"")</f>
        <v>1758</v>
      </c>
      <c r="AJ30" s="8" t="n">
        <f aca="false">SUMIFS(DA!$E$7:$E$300,DA!$B$7:$B$300,$B30)</f>
        <v>14064</v>
      </c>
      <c r="AK30" s="8" t="n">
        <f aca="false">SUMIFS(DA!$H$7:$H$300,DA!$B$7:$B$300,$B30)</f>
        <v>18536</v>
      </c>
      <c r="AL30" s="8" t="n">
        <f aca="false">AK30-AJ30</f>
        <v>4472</v>
      </c>
      <c r="AM30" s="9" t="n">
        <f aca="false">IF(AJ30&gt;0,AL30/AJ30,"")</f>
        <v>0.317974971558589</v>
      </c>
      <c r="AN30" s="9" t="n">
        <f aca="false">IF(AK$6=0,"",AK30/AK$6)</f>
        <v>0.0047798627209811</v>
      </c>
    </row>
    <row r="31" customFormat="false" ht="15" hidden="false" customHeight="false" outlineLevel="0" collapsed="false">
      <c r="A31" s="5" t="n">
        <v>25</v>
      </c>
      <c r="B31" s="41" t="s">
        <v>87</v>
      </c>
      <c r="C31" s="42" t="n">
        <f aca="false">IFERROR(INDEX(Prices!$C$6:$C$300,MATCH($B31,Prices!$A$6:$A$300,0)),"")</f>
        <v>830.95</v>
      </c>
      <c r="D31" s="43" t="str">
        <f aca="false">IFERROR(INDEX(Prices!$D$6:$D$300,MATCH($B31,Prices!$A$6:$A$300,0)),"")</f>
        <v>Close 08.10.2026 (Screener.in)</v>
      </c>
      <c r="E31" s="6" t="n">
        <f aca="false">(M31&gt;0)+(T31&gt;0)+(AA31&gt;0)+(AH31&gt;0)</f>
        <v>2</v>
      </c>
      <c r="F31" s="44" t="n">
        <f aca="false">M31+T31+AA31+AH31</f>
        <v>71</v>
      </c>
      <c r="G31" s="45" t="n">
        <f aca="false">IF(AND(F31&gt;0,H31&gt;0),H31/F31,"")</f>
        <v>835.112676056338</v>
      </c>
      <c r="H31" s="46" t="n">
        <f aca="false">O31+V31+AC31+AJ31</f>
        <v>59293</v>
      </c>
      <c r="I31" s="47" t="n">
        <f aca="false">P31+W31+AD31+AK31</f>
        <v>58997.45</v>
      </c>
      <c r="J31" s="46" t="n">
        <f aca="false">I31-H31</f>
        <v>-295.549999999996</v>
      </c>
      <c r="K31" s="48" t="n">
        <f aca="false">IF(H31&gt;0,J31/H31,"")</f>
        <v>-0.00498456816150297</v>
      </c>
      <c r="L31" s="49" t="n">
        <f aca="false">IF(I$6=0,"",I31/I$6)</f>
        <v>0.00415384230647453</v>
      </c>
      <c r="M31" s="50" t="n">
        <f aca="false">SUMIFS('Vidushi Malhotra'!$D$7:$D$300,'Vidushi Malhotra'!$B$7:$B$300,$B31)</f>
        <v>0</v>
      </c>
      <c r="N31" s="51" t="str">
        <f aca="false">IF(AND(M31&gt;0,O31&gt;0),O31/M31,"")</f>
        <v/>
      </c>
      <c r="O31" s="8" t="n">
        <f aca="false">SUMIFS('Vidushi Malhotra'!$E$7:$E$300,'Vidushi Malhotra'!$B$7:$B$300,$B31)</f>
        <v>0</v>
      </c>
      <c r="P31" s="8" t="n">
        <f aca="false">SUMIFS('Vidushi Malhotra'!$H$7:$H$300,'Vidushi Malhotra'!$B$7:$B$300,$B31)</f>
        <v>0</v>
      </c>
      <c r="Q31" s="8" t="n">
        <f aca="false">P31-O31</f>
        <v>0</v>
      </c>
      <c r="R31" s="9" t="str">
        <f aca="false">IF(O31&gt;0,Q31/O31,"")</f>
        <v/>
      </c>
      <c r="S31" s="9" t="n">
        <f aca="false">IF(P$6=0,"",P31/P$6)</f>
        <v>0</v>
      </c>
      <c r="T31" s="50" t="n">
        <f aca="false">SUMIFS('Dr Umesh Choudhry'!$D$7:$D$300,'Dr Umesh Choudhry'!$B$7:$B$300,$B31)</f>
        <v>8</v>
      </c>
      <c r="U31" s="51" t="n">
        <f aca="false">IF(AND(T31&gt;0,V31&gt;0),V31/T31,"")</f>
        <v>845</v>
      </c>
      <c r="V31" s="8" t="n">
        <f aca="false">SUMIFS('Dr Umesh Choudhry'!$E$7:$E$300,'Dr Umesh Choudhry'!$B$7:$B$300,$B31)</f>
        <v>6760</v>
      </c>
      <c r="W31" s="8" t="n">
        <f aca="false">SUMIFS('Dr Umesh Choudhry'!$H$7:$H$300,'Dr Umesh Choudhry'!$B$7:$B$300,$B31)</f>
        <v>6647.6</v>
      </c>
      <c r="X31" s="8" t="n">
        <f aca="false">W31-V31</f>
        <v>-112.4</v>
      </c>
      <c r="Y31" s="9" t="n">
        <f aca="false">IF(V31&gt;0,X31/V31,"")</f>
        <v>-0.0166272189349112</v>
      </c>
      <c r="Z31" s="9" t="n">
        <f aca="false">IF(W$6=0,"",W31/W$6)</f>
        <v>0.00122480257193506</v>
      </c>
      <c r="AA31" s="50" t="n">
        <f aca="false">SUMIFS(Gautam!$D$7:$D$300,Gautam!$B$7:$B$300,$B31)</f>
        <v>63</v>
      </c>
      <c r="AB31" s="51" t="n">
        <f aca="false">IF(AND(AA31&gt;0,AC31&gt;0),AC31/AA31,"")</f>
        <v>833.857142857143</v>
      </c>
      <c r="AC31" s="8" t="n">
        <f aca="false">SUMIFS(Gautam!$E$7:$E$300,Gautam!$B$7:$B$300,$B31)</f>
        <v>52533</v>
      </c>
      <c r="AD31" s="8" t="n">
        <f aca="false">SUMIFS(Gautam!$H$7:$H$300,Gautam!$B$7:$B$300,$B31)</f>
        <v>52349.85</v>
      </c>
      <c r="AE31" s="8" t="n">
        <f aca="false">AD31-AC31</f>
        <v>-183.149999999994</v>
      </c>
      <c r="AF31" s="9" t="n">
        <f aca="false">IF(AC31&gt;0,AE31/AC31,"")</f>
        <v>-0.00348637998972064</v>
      </c>
      <c r="AG31" s="9" t="n">
        <f aca="false">IF(AD$6=0,"",AD31/AD$6)</f>
        <v>0.0112033931410623</v>
      </c>
      <c r="AH31" s="50" t="n">
        <f aca="false">SUMIFS(DA!$D$7:$D$300,DA!$B$7:$B$300,$B31)</f>
        <v>0</v>
      </c>
      <c r="AI31" s="51" t="str">
        <f aca="false">IF(AND(AH31&gt;0,AJ31&gt;0),AJ31/AH31,"")</f>
        <v/>
      </c>
      <c r="AJ31" s="8" t="n">
        <f aca="false">SUMIFS(DA!$E$7:$E$300,DA!$B$7:$B$300,$B31)</f>
        <v>0</v>
      </c>
      <c r="AK31" s="8" t="n">
        <f aca="false">SUMIFS(DA!$H$7:$H$300,DA!$B$7:$B$300,$B31)</f>
        <v>0</v>
      </c>
      <c r="AL31" s="8" t="n">
        <f aca="false">AK31-AJ31</f>
        <v>0</v>
      </c>
      <c r="AM31" s="9" t="str">
        <f aca="false">IF(AJ31&gt;0,AL31/AJ31,"")</f>
        <v/>
      </c>
      <c r="AN31" s="9" t="n">
        <f aca="false">IF(AK$6=0,"",AK31/AK$6)</f>
        <v>0</v>
      </c>
    </row>
    <row r="32" customFormat="false" ht="15" hidden="false" customHeight="false" outlineLevel="0" collapsed="false">
      <c r="A32" s="5" t="n">
        <v>26</v>
      </c>
      <c r="B32" s="41" t="s">
        <v>88</v>
      </c>
      <c r="C32" s="42" t="n">
        <f aca="false">IFERROR(INDEX(Prices!$C$6:$C$300,MATCH($B32,Prices!$A$6:$A$300,0)),"")</f>
        <v>1176.9</v>
      </c>
      <c r="D32" s="43" t="str">
        <f aca="false">IFERROR(INDEX(Prices!$D$6:$D$300,MATCH($B32,Prices!$A$6:$A$300,0)),"")</f>
        <v>Close 08.10.2026 (Screener.in)</v>
      </c>
      <c r="E32" s="6" t="n">
        <f aca="false">(M32&gt;0)+(T32&gt;0)+(AA32&gt;0)+(AH32&gt;0)</f>
        <v>2</v>
      </c>
      <c r="F32" s="44" t="n">
        <f aca="false">M32+T32+AA32+AH32</f>
        <v>42</v>
      </c>
      <c r="G32" s="45" t="n">
        <f aca="false">IF(AND(F32&gt;0,H32&gt;0),H32/F32,"")</f>
        <v>1369.21428571429</v>
      </c>
      <c r="H32" s="46" t="n">
        <f aca="false">O32+V32+AC32+AJ32</f>
        <v>57507</v>
      </c>
      <c r="I32" s="47" t="n">
        <f aca="false">P32+W32+AD32+AK32</f>
        <v>49429.8</v>
      </c>
      <c r="J32" s="46" t="n">
        <f aca="false">I32-H32</f>
        <v>-8077.2</v>
      </c>
      <c r="K32" s="48" t="n">
        <f aca="false">IF(H32&gt;0,J32/H32,"")</f>
        <v>-0.140455944493714</v>
      </c>
      <c r="L32" s="49" t="n">
        <f aca="false">IF(I$6=0,"",I32/I$6)</f>
        <v>0.00348021133863539</v>
      </c>
      <c r="M32" s="50" t="n">
        <f aca="false">SUMIFS('Vidushi Malhotra'!$D$7:$D$300,'Vidushi Malhotra'!$B$7:$B$300,$B32)</f>
        <v>9</v>
      </c>
      <c r="N32" s="51" t="n">
        <f aca="false">IF(AND(M32&gt;0,O32&gt;0),O32/M32,"")</f>
        <v>1142.66666666667</v>
      </c>
      <c r="O32" s="8" t="n">
        <f aca="false">SUMIFS('Vidushi Malhotra'!$E$7:$E$300,'Vidushi Malhotra'!$B$7:$B$300,$B32)</f>
        <v>10284</v>
      </c>
      <c r="P32" s="8" t="n">
        <f aca="false">SUMIFS('Vidushi Malhotra'!$H$7:$H$300,'Vidushi Malhotra'!$B$7:$B$300,$B32)</f>
        <v>10592.1</v>
      </c>
      <c r="Q32" s="8" t="n">
        <f aca="false">P32-O32</f>
        <v>308.1</v>
      </c>
      <c r="R32" s="9" t="n">
        <f aca="false">IF(O32&gt;0,Q32/O32,"")</f>
        <v>0.0299591598599767</v>
      </c>
      <c r="S32" s="9" t="n">
        <f aca="false">IF(P$6=0,"",P32/P$6)</f>
        <v>0.0470755313369325</v>
      </c>
      <c r="T32" s="50" t="n">
        <f aca="false">SUMIFS('Dr Umesh Choudhry'!$D$7:$D$300,'Dr Umesh Choudhry'!$B$7:$B$300,$B32)</f>
        <v>0</v>
      </c>
      <c r="U32" s="51" t="str">
        <f aca="false">IF(AND(T32&gt;0,V32&gt;0),V32/T32,"")</f>
        <v/>
      </c>
      <c r="V32" s="8" t="n">
        <f aca="false">SUMIFS('Dr Umesh Choudhry'!$E$7:$E$300,'Dr Umesh Choudhry'!$B$7:$B$300,$B32)</f>
        <v>0</v>
      </c>
      <c r="W32" s="8" t="n">
        <f aca="false">SUMIFS('Dr Umesh Choudhry'!$H$7:$H$300,'Dr Umesh Choudhry'!$B$7:$B$300,$B32)</f>
        <v>0</v>
      </c>
      <c r="X32" s="8" t="n">
        <f aca="false">W32-V32</f>
        <v>0</v>
      </c>
      <c r="Y32" s="9" t="str">
        <f aca="false">IF(V32&gt;0,X32/V32,"")</f>
        <v/>
      </c>
      <c r="Z32" s="9" t="n">
        <f aca="false">IF(W$6=0,"",W32/W$6)</f>
        <v>0</v>
      </c>
      <c r="AA32" s="50" t="n">
        <f aca="false">SUMIFS(Gautam!$D$7:$D$300,Gautam!$B$7:$B$300,$B32)</f>
        <v>0</v>
      </c>
      <c r="AB32" s="51" t="str">
        <f aca="false">IF(AND(AA32&gt;0,AC32&gt;0),AC32/AA32,"")</f>
        <v/>
      </c>
      <c r="AC32" s="8" t="n">
        <f aca="false">SUMIFS(Gautam!$E$7:$E$300,Gautam!$B$7:$B$300,$B32)</f>
        <v>0</v>
      </c>
      <c r="AD32" s="8" t="n">
        <f aca="false">SUMIFS(Gautam!$H$7:$H$300,Gautam!$B$7:$B$300,$B32)</f>
        <v>0</v>
      </c>
      <c r="AE32" s="8" t="n">
        <f aca="false">AD32-AC32</f>
        <v>0</v>
      </c>
      <c r="AF32" s="9" t="str">
        <f aca="false">IF(AC32&gt;0,AE32/AC32,"")</f>
        <v/>
      </c>
      <c r="AG32" s="9" t="n">
        <f aca="false">IF(AD$6=0,"",AD32/AD$6)</f>
        <v>0</v>
      </c>
      <c r="AH32" s="50" t="n">
        <f aca="false">SUMIFS(DA!$D$7:$D$300,DA!$B$7:$B$300,$B32)</f>
        <v>33</v>
      </c>
      <c r="AI32" s="51" t="n">
        <f aca="false">IF(AND(AH32&gt;0,AJ32&gt;0),AJ32/AH32,"")</f>
        <v>1431</v>
      </c>
      <c r="AJ32" s="8" t="n">
        <f aca="false">SUMIFS(DA!$E$7:$E$300,DA!$B$7:$B$300,$B32)</f>
        <v>47223</v>
      </c>
      <c r="AK32" s="8" t="n">
        <f aca="false">SUMIFS(DA!$H$7:$H$300,DA!$B$7:$B$300,$B32)</f>
        <v>38837.7</v>
      </c>
      <c r="AL32" s="8" t="n">
        <f aca="false">AK32-AJ32</f>
        <v>-8385.3</v>
      </c>
      <c r="AM32" s="9" t="n">
        <f aca="false">IF(AJ32&gt;0,AL32/AJ32,"")</f>
        <v>-0.177568134171908</v>
      </c>
      <c r="AN32" s="9" t="n">
        <f aca="false">IF(AK$6=0,"",AK32/AK$6)</f>
        <v>0.0100150450150328</v>
      </c>
    </row>
    <row r="33" customFormat="false" ht="15" hidden="false" customHeight="false" outlineLevel="0" collapsed="false">
      <c r="A33" s="5" t="n">
        <v>27</v>
      </c>
      <c r="B33" s="41" t="s">
        <v>89</v>
      </c>
      <c r="C33" s="42" t="n">
        <f aca="false">IFERROR(INDEX(Prices!$C$6:$C$300,MATCH($B33,Prices!$A$6:$A$300,0)),"")</f>
        <v>119.93</v>
      </c>
      <c r="D33" s="43" t="str">
        <f aca="false">IFERROR(INDEX(Prices!$D$6:$D$300,MATCH($B33,Prices!$A$6:$A$300,0)),"")</f>
        <v>Close 08.10.2026 (Screener.in)</v>
      </c>
      <c r="E33" s="6" t="n">
        <f aca="false">(M33&gt;0)+(T33&gt;0)+(AA33&gt;0)+(AH33&gt;0)</f>
        <v>1</v>
      </c>
      <c r="F33" s="44" t="n">
        <f aca="false">M33+T33+AA33+AH33</f>
        <v>399</v>
      </c>
      <c r="G33" s="45" t="n">
        <f aca="false">IF(AND(F33&gt;0,H33&gt;0),H33/F33,"")</f>
        <v>177</v>
      </c>
      <c r="H33" s="46" t="n">
        <f aca="false">O33+V33+AC33+AJ33</f>
        <v>70623</v>
      </c>
      <c r="I33" s="47" t="n">
        <f aca="false">P33+W33+AD33+AK33</f>
        <v>47852.07</v>
      </c>
      <c r="J33" s="46" t="n">
        <f aca="false">I33-H33</f>
        <v>-22770.93</v>
      </c>
      <c r="K33" s="48" t="n">
        <f aca="false">IF(H33&gt;0,J33/H33,"")</f>
        <v>-0.322429378531073</v>
      </c>
      <c r="L33" s="49" t="n">
        <f aca="false">IF(I$6=0,"",I33/I$6)</f>
        <v>0.00336912786600744</v>
      </c>
      <c r="M33" s="50" t="n">
        <f aca="false">SUMIFS('Vidushi Malhotra'!$D$7:$D$300,'Vidushi Malhotra'!$B$7:$B$300,$B33)</f>
        <v>0</v>
      </c>
      <c r="N33" s="51" t="str">
        <f aca="false">IF(AND(M33&gt;0,O33&gt;0),O33/M33,"")</f>
        <v/>
      </c>
      <c r="O33" s="8" t="n">
        <f aca="false">SUMIFS('Vidushi Malhotra'!$E$7:$E$300,'Vidushi Malhotra'!$B$7:$B$300,$B33)</f>
        <v>0</v>
      </c>
      <c r="P33" s="8" t="n">
        <f aca="false">SUMIFS('Vidushi Malhotra'!$H$7:$H$300,'Vidushi Malhotra'!$B$7:$B$300,$B33)</f>
        <v>0</v>
      </c>
      <c r="Q33" s="8" t="n">
        <f aca="false">P33-O33</f>
        <v>0</v>
      </c>
      <c r="R33" s="9" t="str">
        <f aca="false">IF(O33&gt;0,Q33/O33,"")</f>
        <v/>
      </c>
      <c r="S33" s="9" t="n">
        <f aca="false">IF(P$6=0,"",P33/P$6)</f>
        <v>0</v>
      </c>
      <c r="T33" s="50" t="n">
        <f aca="false">SUMIFS('Dr Umesh Choudhry'!$D$7:$D$300,'Dr Umesh Choudhry'!$B$7:$B$300,$B33)</f>
        <v>0</v>
      </c>
      <c r="U33" s="51" t="str">
        <f aca="false">IF(AND(T33&gt;0,V33&gt;0),V33/T33,"")</f>
        <v/>
      </c>
      <c r="V33" s="8" t="n">
        <f aca="false">SUMIFS('Dr Umesh Choudhry'!$E$7:$E$300,'Dr Umesh Choudhry'!$B$7:$B$300,$B33)</f>
        <v>0</v>
      </c>
      <c r="W33" s="8" t="n">
        <f aca="false">SUMIFS('Dr Umesh Choudhry'!$H$7:$H$300,'Dr Umesh Choudhry'!$B$7:$B$300,$B33)</f>
        <v>0</v>
      </c>
      <c r="X33" s="8" t="n">
        <f aca="false">W33-V33</f>
        <v>0</v>
      </c>
      <c r="Y33" s="9" t="str">
        <f aca="false">IF(V33&gt;0,X33/V33,"")</f>
        <v/>
      </c>
      <c r="Z33" s="9" t="n">
        <f aca="false">IF(W$6=0,"",W33/W$6)</f>
        <v>0</v>
      </c>
      <c r="AA33" s="50" t="n">
        <f aca="false">SUMIFS(Gautam!$D$7:$D$300,Gautam!$B$7:$B$300,$B33)</f>
        <v>0</v>
      </c>
      <c r="AB33" s="51" t="str">
        <f aca="false">IF(AND(AA33&gt;0,AC33&gt;0),AC33/AA33,"")</f>
        <v/>
      </c>
      <c r="AC33" s="8" t="n">
        <f aca="false">SUMIFS(Gautam!$E$7:$E$300,Gautam!$B$7:$B$300,$B33)</f>
        <v>0</v>
      </c>
      <c r="AD33" s="8" t="n">
        <f aca="false">SUMIFS(Gautam!$H$7:$H$300,Gautam!$B$7:$B$300,$B33)</f>
        <v>0</v>
      </c>
      <c r="AE33" s="8" t="n">
        <f aca="false">AD33-AC33</f>
        <v>0</v>
      </c>
      <c r="AF33" s="9" t="str">
        <f aca="false">IF(AC33&gt;0,AE33/AC33,"")</f>
        <v/>
      </c>
      <c r="AG33" s="9" t="n">
        <f aca="false">IF(AD$6=0,"",AD33/AD$6)</f>
        <v>0</v>
      </c>
      <c r="AH33" s="50" t="n">
        <f aca="false">SUMIFS(DA!$D$7:$D$300,DA!$B$7:$B$300,$B33)</f>
        <v>399</v>
      </c>
      <c r="AI33" s="51" t="n">
        <f aca="false">IF(AND(AH33&gt;0,AJ33&gt;0),AJ33/AH33,"")</f>
        <v>177</v>
      </c>
      <c r="AJ33" s="8" t="n">
        <f aca="false">SUMIFS(DA!$E$7:$E$300,DA!$B$7:$B$300,$B33)</f>
        <v>70623</v>
      </c>
      <c r="AK33" s="8" t="n">
        <f aca="false">SUMIFS(DA!$H$7:$H$300,DA!$B$7:$B$300,$B33)</f>
        <v>47852.07</v>
      </c>
      <c r="AL33" s="8" t="n">
        <f aca="false">AK33-AJ33</f>
        <v>-22770.93</v>
      </c>
      <c r="AM33" s="9" t="n">
        <f aca="false">IF(AJ33&gt;0,AL33/AJ33,"")</f>
        <v>-0.322429378531073</v>
      </c>
      <c r="AN33" s="9" t="n">
        <f aca="false">IF(AK$6=0,"",AK33/AK$6)</f>
        <v>0.0123395730208663</v>
      </c>
    </row>
    <row r="34" customFormat="false" ht="15" hidden="false" customHeight="false" outlineLevel="0" collapsed="false">
      <c r="A34" s="5" t="n">
        <v>28</v>
      </c>
      <c r="B34" s="41" t="s">
        <v>90</v>
      </c>
      <c r="C34" s="42" t="n">
        <f aca="false">IFERROR(INDEX(Prices!$C$6:$C$300,MATCH($B34,Prices!$A$6:$A$300,0)),"")</f>
        <v>373</v>
      </c>
      <c r="D34" s="43" t="str">
        <f aca="false">IFERROR(INDEX(Prices!$D$6:$D$300,MATCH($B34,Prices!$A$6:$A$300,0)),"")</f>
        <v>Close 08.10.2026 (Screener.in)</v>
      </c>
      <c r="E34" s="6" t="n">
        <f aca="false">(M34&gt;0)+(T34&gt;0)+(AA34&gt;0)+(AH34&gt;0)</f>
        <v>1</v>
      </c>
      <c r="F34" s="44" t="n">
        <f aca="false">M34+T34+AA34+AH34</f>
        <v>111</v>
      </c>
      <c r="G34" s="45" t="n">
        <f aca="false">IF(AND(F34&gt;0,H34&gt;0),H34/F34,"")</f>
        <v>410</v>
      </c>
      <c r="H34" s="46" t="n">
        <f aca="false">O34+V34+AC34+AJ34</f>
        <v>45510</v>
      </c>
      <c r="I34" s="47" t="n">
        <f aca="false">P34+W34+AD34+AK34</f>
        <v>41403</v>
      </c>
      <c r="J34" s="46" t="n">
        <f aca="false">I34-H34</f>
        <v>-4107</v>
      </c>
      <c r="K34" s="48" t="n">
        <f aca="false">IF(H34&gt;0,J34/H34,"")</f>
        <v>-0.0902439024390244</v>
      </c>
      <c r="L34" s="49" t="n">
        <f aca="false">IF(I$6=0,"",I34/I$6)</f>
        <v>0.00291506722773552</v>
      </c>
      <c r="M34" s="50" t="n">
        <f aca="false">SUMIFS('Vidushi Malhotra'!$D$7:$D$300,'Vidushi Malhotra'!$B$7:$B$300,$B34)</f>
        <v>0</v>
      </c>
      <c r="N34" s="51" t="str">
        <f aca="false">IF(AND(M34&gt;0,O34&gt;0),O34/M34,"")</f>
        <v/>
      </c>
      <c r="O34" s="8" t="n">
        <f aca="false">SUMIFS('Vidushi Malhotra'!$E$7:$E$300,'Vidushi Malhotra'!$B$7:$B$300,$B34)</f>
        <v>0</v>
      </c>
      <c r="P34" s="8" t="n">
        <f aca="false">SUMIFS('Vidushi Malhotra'!$H$7:$H$300,'Vidushi Malhotra'!$B$7:$B$300,$B34)</f>
        <v>0</v>
      </c>
      <c r="Q34" s="8" t="n">
        <f aca="false">P34-O34</f>
        <v>0</v>
      </c>
      <c r="R34" s="9" t="str">
        <f aca="false">IF(O34&gt;0,Q34/O34,"")</f>
        <v/>
      </c>
      <c r="S34" s="9" t="n">
        <f aca="false">IF(P$6=0,"",P34/P$6)</f>
        <v>0</v>
      </c>
      <c r="T34" s="50" t="n">
        <f aca="false">SUMIFS('Dr Umesh Choudhry'!$D$7:$D$300,'Dr Umesh Choudhry'!$B$7:$B$300,$B34)</f>
        <v>0</v>
      </c>
      <c r="U34" s="51" t="str">
        <f aca="false">IF(AND(T34&gt;0,V34&gt;0),V34/T34,"")</f>
        <v/>
      </c>
      <c r="V34" s="8" t="n">
        <f aca="false">SUMIFS('Dr Umesh Choudhry'!$E$7:$E$300,'Dr Umesh Choudhry'!$B$7:$B$300,$B34)</f>
        <v>0</v>
      </c>
      <c r="W34" s="8" t="n">
        <f aca="false">SUMIFS('Dr Umesh Choudhry'!$H$7:$H$300,'Dr Umesh Choudhry'!$B$7:$B$300,$B34)</f>
        <v>0</v>
      </c>
      <c r="X34" s="8" t="n">
        <f aca="false">W34-V34</f>
        <v>0</v>
      </c>
      <c r="Y34" s="9" t="str">
        <f aca="false">IF(V34&gt;0,X34/V34,"")</f>
        <v/>
      </c>
      <c r="Z34" s="9" t="n">
        <f aca="false">IF(W$6=0,"",W34/W$6)</f>
        <v>0</v>
      </c>
      <c r="AA34" s="50" t="n">
        <f aca="false">SUMIFS(Gautam!$D$7:$D$300,Gautam!$B$7:$B$300,$B34)</f>
        <v>0</v>
      </c>
      <c r="AB34" s="51" t="str">
        <f aca="false">IF(AND(AA34&gt;0,AC34&gt;0),AC34/AA34,"")</f>
        <v/>
      </c>
      <c r="AC34" s="8" t="n">
        <f aca="false">SUMIFS(Gautam!$E$7:$E$300,Gautam!$B$7:$B$300,$B34)</f>
        <v>0</v>
      </c>
      <c r="AD34" s="8" t="n">
        <f aca="false">SUMIFS(Gautam!$H$7:$H$300,Gautam!$B$7:$B$300,$B34)</f>
        <v>0</v>
      </c>
      <c r="AE34" s="8" t="n">
        <f aca="false">AD34-AC34</f>
        <v>0</v>
      </c>
      <c r="AF34" s="9" t="str">
        <f aca="false">IF(AC34&gt;0,AE34/AC34,"")</f>
        <v/>
      </c>
      <c r="AG34" s="9" t="n">
        <f aca="false">IF(AD$6=0,"",AD34/AD$6)</f>
        <v>0</v>
      </c>
      <c r="AH34" s="50" t="n">
        <f aca="false">SUMIFS(DA!$D$7:$D$300,DA!$B$7:$B$300,$B34)</f>
        <v>111</v>
      </c>
      <c r="AI34" s="51" t="n">
        <f aca="false">IF(AND(AH34&gt;0,AJ34&gt;0),AJ34/AH34,"")</f>
        <v>410</v>
      </c>
      <c r="AJ34" s="8" t="n">
        <f aca="false">SUMIFS(DA!$E$7:$E$300,DA!$B$7:$B$300,$B34)</f>
        <v>45510</v>
      </c>
      <c r="AK34" s="8" t="n">
        <f aca="false">SUMIFS(DA!$H$7:$H$300,DA!$B$7:$B$300,$B34)</f>
        <v>41403</v>
      </c>
      <c r="AL34" s="8" t="n">
        <f aca="false">AK34-AJ34</f>
        <v>-4107</v>
      </c>
      <c r="AM34" s="9" t="n">
        <f aca="false">IF(AJ34&gt;0,AL34/AJ34,"")</f>
        <v>-0.0902439024390244</v>
      </c>
      <c r="AN34" s="9" t="n">
        <f aca="false">IF(AK$6=0,"",AK34/AK$6)</f>
        <v>0.0106765567671979</v>
      </c>
    </row>
    <row r="35" customFormat="false" ht="15" hidden="false" customHeight="false" outlineLevel="0" collapsed="false">
      <c r="A35" s="5" t="n">
        <v>29</v>
      </c>
      <c r="B35" s="41" t="s">
        <v>91</v>
      </c>
      <c r="C35" s="42" t="n">
        <f aca="false">IFERROR(INDEX(Prices!$C$6:$C$300,MATCH($B35,Prices!$A$6:$A$300,0)),"")</f>
        <v>177.19</v>
      </c>
      <c r="D35" s="43" t="str">
        <f aca="false">IFERROR(INDEX(Prices!$D$6:$D$300,MATCH($B35,Prices!$A$6:$A$300,0)),"")</f>
        <v>Close 08.10.2026 (Screener.in)</v>
      </c>
      <c r="E35" s="6" t="n">
        <f aca="false">(M35&gt;0)+(T35&gt;0)+(AA35&gt;0)+(AH35&gt;0)</f>
        <v>1</v>
      </c>
      <c r="F35" s="44" t="n">
        <f aca="false">M35+T35+AA35+AH35</f>
        <v>230</v>
      </c>
      <c r="G35" s="45" t="n">
        <f aca="false">IF(AND(F35&gt;0,H35&gt;0),H35/F35,"")</f>
        <v>280</v>
      </c>
      <c r="H35" s="46" t="n">
        <f aca="false">O35+V35+AC35+AJ35</f>
        <v>64400</v>
      </c>
      <c r="I35" s="47" t="n">
        <f aca="false">P35+W35+AD35+AK35</f>
        <v>40753.7</v>
      </c>
      <c r="J35" s="46" t="n">
        <f aca="false">I35-H35</f>
        <v>-23646.3</v>
      </c>
      <c r="K35" s="48" t="n">
        <f aca="false">IF(H35&gt;0,J35/H35,"")</f>
        <v>-0.367178571428571</v>
      </c>
      <c r="L35" s="49" t="n">
        <f aca="false">IF(I$6=0,"",I35/I$6)</f>
        <v>0.00286935186529877</v>
      </c>
      <c r="M35" s="50" t="n">
        <f aca="false">SUMIFS('Vidushi Malhotra'!$D$7:$D$300,'Vidushi Malhotra'!$B$7:$B$300,$B35)</f>
        <v>0</v>
      </c>
      <c r="N35" s="51" t="str">
        <f aca="false">IF(AND(M35&gt;0,O35&gt;0),O35/M35,"")</f>
        <v/>
      </c>
      <c r="O35" s="8" t="n">
        <f aca="false">SUMIFS('Vidushi Malhotra'!$E$7:$E$300,'Vidushi Malhotra'!$B$7:$B$300,$B35)</f>
        <v>0</v>
      </c>
      <c r="P35" s="8" t="n">
        <f aca="false">SUMIFS('Vidushi Malhotra'!$H$7:$H$300,'Vidushi Malhotra'!$B$7:$B$300,$B35)</f>
        <v>0</v>
      </c>
      <c r="Q35" s="8" t="n">
        <f aca="false">P35-O35</f>
        <v>0</v>
      </c>
      <c r="R35" s="9" t="str">
        <f aca="false">IF(O35&gt;0,Q35/O35,"")</f>
        <v/>
      </c>
      <c r="S35" s="9" t="n">
        <f aca="false">IF(P$6=0,"",P35/P$6)</f>
        <v>0</v>
      </c>
      <c r="T35" s="50" t="n">
        <f aca="false">SUMIFS('Dr Umesh Choudhry'!$D$7:$D$300,'Dr Umesh Choudhry'!$B$7:$B$300,$B35)</f>
        <v>0</v>
      </c>
      <c r="U35" s="51" t="str">
        <f aca="false">IF(AND(T35&gt;0,V35&gt;0),V35/T35,"")</f>
        <v/>
      </c>
      <c r="V35" s="8" t="n">
        <f aca="false">SUMIFS('Dr Umesh Choudhry'!$E$7:$E$300,'Dr Umesh Choudhry'!$B$7:$B$300,$B35)</f>
        <v>0</v>
      </c>
      <c r="W35" s="8" t="n">
        <f aca="false">SUMIFS('Dr Umesh Choudhry'!$H$7:$H$300,'Dr Umesh Choudhry'!$B$7:$B$300,$B35)</f>
        <v>0</v>
      </c>
      <c r="X35" s="8" t="n">
        <f aca="false">W35-V35</f>
        <v>0</v>
      </c>
      <c r="Y35" s="9" t="str">
        <f aca="false">IF(V35&gt;0,X35/V35,"")</f>
        <v/>
      </c>
      <c r="Z35" s="9" t="n">
        <f aca="false">IF(W$6=0,"",W35/W$6)</f>
        <v>0</v>
      </c>
      <c r="AA35" s="50" t="n">
        <f aca="false">SUMIFS(Gautam!$D$7:$D$300,Gautam!$B$7:$B$300,$B35)</f>
        <v>0</v>
      </c>
      <c r="AB35" s="51" t="str">
        <f aca="false">IF(AND(AA35&gt;0,AC35&gt;0),AC35/AA35,"")</f>
        <v/>
      </c>
      <c r="AC35" s="8" t="n">
        <f aca="false">SUMIFS(Gautam!$E$7:$E$300,Gautam!$B$7:$B$300,$B35)</f>
        <v>0</v>
      </c>
      <c r="AD35" s="8" t="n">
        <f aca="false">SUMIFS(Gautam!$H$7:$H$300,Gautam!$B$7:$B$300,$B35)</f>
        <v>0</v>
      </c>
      <c r="AE35" s="8" t="n">
        <f aca="false">AD35-AC35</f>
        <v>0</v>
      </c>
      <c r="AF35" s="9" t="str">
        <f aca="false">IF(AC35&gt;0,AE35/AC35,"")</f>
        <v/>
      </c>
      <c r="AG35" s="9" t="n">
        <f aca="false">IF(AD$6=0,"",AD35/AD$6)</f>
        <v>0</v>
      </c>
      <c r="AH35" s="50" t="n">
        <f aca="false">SUMIFS(DA!$D$7:$D$300,DA!$B$7:$B$300,$B35)</f>
        <v>230</v>
      </c>
      <c r="AI35" s="51" t="n">
        <f aca="false">IF(AND(AH35&gt;0,AJ35&gt;0),AJ35/AH35,"")</f>
        <v>280</v>
      </c>
      <c r="AJ35" s="8" t="n">
        <f aca="false">SUMIFS(DA!$E$7:$E$300,DA!$B$7:$B$300,$B35)</f>
        <v>64400</v>
      </c>
      <c r="AK35" s="8" t="n">
        <f aca="false">SUMIFS(DA!$H$7:$H$300,DA!$B$7:$B$300,$B35)</f>
        <v>40753.7</v>
      </c>
      <c r="AL35" s="8" t="n">
        <f aca="false">AK35-AJ35</f>
        <v>-23646.3</v>
      </c>
      <c r="AM35" s="9" t="n">
        <f aca="false">IF(AJ35&gt;0,AL35/AJ35,"")</f>
        <v>-0.367178571428571</v>
      </c>
      <c r="AN35" s="9" t="n">
        <f aca="false">IF(AK$6=0,"",AK35/AK$6)</f>
        <v>0.010509122322618</v>
      </c>
    </row>
    <row r="36" customFormat="false" ht="15" hidden="false" customHeight="false" outlineLevel="0" collapsed="false">
      <c r="A36" s="5" t="n">
        <v>30</v>
      </c>
      <c r="B36" s="41" t="s">
        <v>92</v>
      </c>
      <c r="C36" s="42" t="n">
        <f aca="false">IFERROR(INDEX(Prices!$C$6:$C$300,MATCH($B36,Prices!$A$6:$A$300,0)),"")</f>
        <v>1</v>
      </c>
      <c r="D36" s="43" t="str">
        <f aca="false">IFERROR(INDEX(Prices!$D$6:$D$300,MATCH($B36,Prices!$A$6:$A$300,0)),"")</f>
        <v>Cash at par (₹1)</v>
      </c>
      <c r="E36" s="6" t="n">
        <f aca="false">(M36&gt;0)+(T36&gt;0)+(AA36&gt;0)+(AH36&gt;0)</f>
        <v>1</v>
      </c>
      <c r="F36" s="44" t="n">
        <f aca="false">M36+T36+AA36+AH36</f>
        <v>36000</v>
      </c>
      <c r="G36" s="45" t="n">
        <f aca="false">IF(AND(F36&gt;0,H36&gt;0),H36/F36,"")</f>
        <v>1</v>
      </c>
      <c r="H36" s="46" t="n">
        <f aca="false">O36+V36+AC36+AJ36</f>
        <v>36000</v>
      </c>
      <c r="I36" s="47" t="n">
        <f aca="false">P36+W36+AD36+AK36</f>
        <v>36000</v>
      </c>
      <c r="J36" s="46" t="n">
        <f aca="false">I36-H36</f>
        <v>0</v>
      </c>
      <c r="K36" s="48" t="n">
        <f aca="false">IF(H36&gt;0,J36/H36,"")</f>
        <v>0</v>
      </c>
      <c r="L36" s="49" t="n">
        <f aca="false">IF(I$6=0,"",I36/I$6)</f>
        <v>0.00253465739677025</v>
      </c>
      <c r="M36" s="50" t="n">
        <f aca="false">SUMIFS('Vidushi Malhotra'!$D$7:$D$300,'Vidushi Malhotra'!$B$7:$B$300,$B36)</f>
        <v>0</v>
      </c>
      <c r="N36" s="51" t="str">
        <f aca="false">IF(AND(M36&gt;0,O36&gt;0),O36/M36,"")</f>
        <v/>
      </c>
      <c r="O36" s="8" t="n">
        <f aca="false">SUMIFS('Vidushi Malhotra'!$E$7:$E$300,'Vidushi Malhotra'!$B$7:$B$300,$B36)</f>
        <v>0</v>
      </c>
      <c r="P36" s="8" t="n">
        <f aca="false">SUMIFS('Vidushi Malhotra'!$H$7:$H$300,'Vidushi Malhotra'!$B$7:$B$300,$B36)</f>
        <v>0</v>
      </c>
      <c r="Q36" s="8" t="n">
        <f aca="false">P36-O36</f>
        <v>0</v>
      </c>
      <c r="R36" s="9" t="str">
        <f aca="false">IF(O36&gt;0,Q36/O36,"")</f>
        <v/>
      </c>
      <c r="S36" s="9" t="n">
        <f aca="false">IF(P$6=0,"",P36/P$6)</f>
        <v>0</v>
      </c>
      <c r="T36" s="50" t="n">
        <f aca="false">SUMIFS('Dr Umesh Choudhry'!$D$7:$D$300,'Dr Umesh Choudhry'!$B$7:$B$300,$B36)</f>
        <v>36000</v>
      </c>
      <c r="U36" s="51" t="n">
        <f aca="false">IF(AND(T36&gt;0,V36&gt;0),V36/T36,"")</f>
        <v>1</v>
      </c>
      <c r="V36" s="8" t="n">
        <f aca="false">SUMIFS('Dr Umesh Choudhry'!$E$7:$E$300,'Dr Umesh Choudhry'!$B$7:$B$300,$B36)</f>
        <v>36000</v>
      </c>
      <c r="W36" s="8" t="n">
        <f aca="false">SUMIFS('Dr Umesh Choudhry'!$H$7:$H$300,'Dr Umesh Choudhry'!$B$7:$B$300,$B36)</f>
        <v>36000</v>
      </c>
      <c r="X36" s="8" t="n">
        <f aca="false">W36-V36</f>
        <v>0</v>
      </c>
      <c r="Y36" s="9" t="n">
        <f aca="false">IF(V36&gt;0,X36/V36,"")</f>
        <v>0</v>
      </c>
      <c r="Z36" s="9" t="n">
        <f aca="false">IF(W$6=0,"",W36/W$6)</f>
        <v>0.00663290399387177</v>
      </c>
      <c r="AA36" s="50" t="n">
        <f aca="false">SUMIFS(Gautam!$D$7:$D$300,Gautam!$B$7:$B$300,$B36)</f>
        <v>0</v>
      </c>
      <c r="AB36" s="51" t="str">
        <f aca="false">IF(AND(AA36&gt;0,AC36&gt;0),AC36/AA36,"")</f>
        <v/>
      </c>
      <c r="AC36" s="8" t="n">
        <f aca="false">SUMIFS(Gautam!$E$7:$E$300,Gautam!$B$7:$B$300,$B36)</f>
        <v>0</v>
      </c>
      <c r="AD36" s="8" t="n">
        <f aca="false">SUMIFS(Gautam!$H$7:$H$300,Gautam!$B$7:$B$300,$B36)</f>
        <v>0</v>
      </c>
      <c r="AE36" s="8" t="n">
        <f aca="false">AD36-AC36</f>
        <v>0</v>
      </c>
      <c r="AF36" s="9" t="str">
        <f aca="false">IF(AC36&gt;0,AE36/AC36,"")</f>
        <v/>
      </c>
      <c r="AG36" s="9" t="n">
        <f aca="false">IF(AD$6=0,"",AD36/AD$6)</f>
        <v>0</v>
      </c>
      <c r="AH36" s="50" t="n">
        <f aca="false">SUMIFS(DA!$D$7:$D$300,DA!$B$7:$B$300,$B36)</f>
        <v>0</v>
      </c>
      <c r="AI36" s="51" t="str">
        <f aca="false">IF(AND(AH36&gt;0,AJ36&gt;0),AJ36/AH36,"")</f>
        <v/>
      </c>
      <c r="AJ36" s="8" t="n">
        <f aca="false">SUMIFS(DA!$E$7:$E$300,DA!$B$7:$B$300,$B36)</f>
        <v>0</v>
      </c>
      <c r="AK36" s="8" t="n">
        <f aca="false">SUMIFS(DA!$H$7:$H$300,DA!$B$7:$B$300,$B36)</f>
        <v>0</v>
      </c>
      <c r="AL36" s="8" t="n">
        <f aca="false">AK36-AJ36</f>
        <v>0</v>
      </c>
      <c r="AM36" s="9" t="str">
        <f aca="false">IF(AJ36&gt;0,AL36/AJ36,"")</f>
        <v/>
      </c>
      <c r="AN36" s="9" t="n">
        <f aca="false">IF(AK$6=0,"",AK36/AK$6)</f>
        <v>0</v>
      </c>
    </row>
    <row r="37" customFormat="false" ht="15" hidden="false" customHeight="false" outlineLevel="0" collapsed="false">
      <c r="A37" s="5" t="n">
        <v>31</v>
      </c>
      <c r="B37" s="41" t="s">
        <v>93</v>
      </c>
      <c r="C37" s="42" t="n">
        <f aca="false">IFERROR(INDEX(Prices!$C$6:$C$300,MATCH($B37,Prices!$A$6:$A$300,0)),"")</f>
        <v>186.71</v>
      </c>
      <c r="D37" s="43" t="str">
        <f aca="false">IFERROR(INDEX(Prices!$D$6:$D$300,MATCH($B37,Prices!$A$6:$A$300,0)),"")</f>
        <v>Close 08.10.2026 (Screener.in)</v>
      </c>
      <c r="E37" s="6" t="n">
        <f aca="false">(M37&gt;0)+(T37&gt;0)+(AA37&gt;0)+(AH37&gt;0)</f>
        <v>1</v>
      </c>
      <c r="F37" s="44" t="n">
        <f aca="false">M37+T37+AA37+AH37</f>
        <v>187</v>
      </c>
      <c r="G37" s="45" t="n">
        <f aca="false">IF(AND(F37&gt;0,H37&gt;0),H37/F37,"")</f>
        <v>224</v>
      </c>
      <c r="H37" s="46" t="n">
        <f aca="false">O37+V37+AC37+AJ37</f>
        <v>41888</v>
      </c>
      <c r="I37" s="47" t="n">
        <f aca="false">P37+W37+AD37+AK37</f>
        <v>34914.77</v>
      </c>
      <c r="J37" s="46" t="n">
        <f aca="false">I37-H37</f>
        <v>-6973.23</v>
      </c>
      <c r="K37" s="48" t="n">
        <f aca="false">IF(H37&gt;0,J37/H37,"")</f>
        <v>-0.166473214285714</v>
      </c>
      <c r="L37" s="49" t="n">
        <f aca="false">IF(I$6=0,"",I37/I$6)</f>
        <v>0.00245824944547311</v>
      </c>
      <c r="M37" s="50" t="n">
        <f aca="false">SUMIFS('Vidushi Malhotra'!$D$7:$D$300,'Vidushi Malhotra'!$B$7:$B$300,$B37)</f>
        <v>0</v>
      </c>
      <c r="N37" s="51" t="str">
        <f aca="false">IF(AND(M37&gt;0,O37&gt;0),O37/M37,"")</f>
        <v/>
      </c>
      <c r="O37" s="8" t="n">
        <f aca="false">SUMIFS('Vidushi Malhotra'!$E$7:$E$300,'Vidushi Malhotra'!$B$7:$B$300,$B37)</f>
        <v>0</v>
      </c>
      <c r="P37" s="8" t="n">
        <f aca="false">SUMIFS('Vidushi Malhotra'!$H$7:$H$300,'Vidushi Malhotra'!$B$7:$B$300,$B37)</f>
        <v>0</v>
      </c>
      <c r="Q37" s="8" t="n">
        <f aca="false">P37-O37</f>
        <v>0</v>
      </c>
      <c r="R37" s="9" t="str">
        <f aca="false">IF(O37&gt;0,Q37/O37,"")</f>
        <v/>
      </c>
      <c r="S37" s="9" t="n">
        <f aca="false">IF(P$6=0,"",P37/P$6)</f>
        <v>0</v>
      </c>
      <c r="T37" s="50" t="n">
        <f aca="false">SUMIFS('Dr Umesh Choudhry'!$D$7:$D$300,'Dr Umesh Choudhry'!$B$7:$B$300,$B37)</f>
        <v>0</v>
      </c>
      <c r="U37" s="51" t="str">
        <f aca="false">IF(AND(T37&gt;0,V37&gt;0),V37/T37,"")</f>
        <v/>
      </c>
      <c r="V37" s="8" t="n">
        <f aca="false">SUMIFS('Dr Umesh Choudhry'!$E$7:$E$300,'Dr Umesh Choudhry'!$B$7:$B$300,$B37)</f>
        <v>0</v>
      </c>
      <c r="W37" s="8" t="n">
        <f aca="false">SUMIFS('Dr Umesh Choudhry'!$H$7:$H$300,'Dr Umesh Choudhry'!$B$7:$B$300,$B37)</f>
        <v>0</v>
      </c>
      <c r="X37" s="8" t="n">
        <f aca="false">W37-V37</f>
        <v>0</v>
      </c>
      <c r="Y37" s="9" t="str">
        <f aca="false">IF(V37&gt;0,X37/V37,"")</f>
        <v/>
      </c>
      <c r="Z37" s="9" t="n">
        <f aca="false">IF(W$6=0,"",W37/W$6)</f>
        <v>0</v>
      </c>
      <c r="AA37" s="50" t="n">
        <f aca="false">SUMIFS(Gautam!$D$7:$D$300,Gautam!$B$7:$B$300,$B37)</f>
        <v>0</v>
      </c>
      <c r="AB37" s="51" t="str">
        <f aca="false">IF(AND(AA37&gt;0,AC37&gt;0),AC37/AA37,"")</f>
        <v/>
      </c>
      <c r="AC37" s="8" t="n">
        <f aca="false">SUMIFS(Gautam!$E$7:$E$300,Gautam!$B$7:$B$300,$B37)</f>
        <v>0</v>
      </c>
      <c r="AD37" s="8" t="n">
        <f aca="false">SUMIFS(Gautam!$H$7:$H$300,Gautam!$B$7:$B$300,$B37)</f>
        <v>0</v>
      </c>
      <c r="AE37" s="8" t="n">
        <f aca="false">AD37-AC37</f>
        <v>0</v>
      </c>
      <c r="AF37" s="9" t="str">
        <f aca="false">IF(AC37&gt;0,AE37/AC37,"")</f>
        <v/>
      </c>
      <c r="AG37" s="9" t="n">
        <f aca="false">IF(AD$6=0,"",AD37/AD$6)</f>
        <v>0</v>
      </c>
      <c r="AH37" s="50" t="n">
        <f aca="false">SUMIFS(DA!$D$7:$D$300,DA!$B$7:$B$300,$B37)</f>
        <v>187</v>
      </c>
      <c r="AI37" s="51" t="n">
        <f aca="false">IF(AND(AH37&gt;0,AJ37&gt;0),AJ37/AH37,"")</f>
        <v>224</v>
      </c>
      <c r="AJ37" s="8" t="n">
        <f aca="false">SUMIFS(DA!$E$7:$E$300,DA!$B$7:$B$300,$B37)</f>
        <v>41888</v>
      </c>
      <c r="AK37" s="8" t="n">
        <f aca="false">SUMIFS(DA!$H$7:$H$300,DA!$B$7:$B$300,$B37)</f>
        <v>34914.77</v>
      </c>
      <c r="AL37" s="8" t="n">
        <f aca="false">AK37-AJ37</f>
        <v>-6973.23</v>
      </c>
      <c r="AM37" s="9" t="n">
        <f aca="false">IF(AJ37&gt;0,AL37/AJ37,"")</f>
        <v>-0.166473214285714</v>
      </c>
      <c r="AN37" s="9" t="n">
        <f aca="false">IF(AK$6=0,"",AK37/AK$6)</f>
        <v>0.00900344235728471</v>
      </c>
    </row>
    <row r="38" customFormat="false" ht="15" hidden="false" customHeight="false" outlineLevel="0" collapsed="false">
      <c r="A38" s="5" t="n">
        <v>32</v>
      </c>
      <c r="B38" s="41" t="s">
        <v>94</v>
      </c>
      <c r="C38" s="42" t="n">
        <f aca="false">IFERROR(INDEX(Prices!$C$6:$C$300,MATCH($B38,Prices!$A$6:$A$300,0)),"")</f>
        <v>865</v>
      </c>
      <c r="D38" s="43" t="str">
        <f aca="false">IFERROR(INDEX(Prices!$D$6:$D$300,MATCH($B38,Prices!$A$6:$A$300,0)),"")</f>
        <v>Close 08.10.2026 (Screener.in)</v>
      </c>
      <c r="E38" s="6" t="n">
        <f aca="false">(M38&gt;0)+(T38&gt;0)+(AA38&gt;0)+(AH38&gt;0)</f>
        <v>1</v>
      </c>
      <c r="F38" s="44" t="n">
        <f aca="false">M38+T38+AA38+AH38</f>
        <v>40</v>
      </c>
      <c r="G38" s="45" t="n">
        <f aca="false">IF(AND(F38&gt;0,H38&gt;0),H38/F38,"")</f>
        <v>1038</v>
      </c>
      <c r="H38" s="46" t="n">
        <f aca="false">O38+V38+AC38+AJ38</f>
        <v>41520</v>
      </c>
      <c r="I38" s="47" t="n">
        <f aca="false">P38+W38+AD38+AK38</f>
        <v>34600</v>
      </c>
      <c r="J38" s="46" t="n">
        <f aca="false">I38-H38</f>
        <v>-6920</v>
      </c>
      <c r="K38" s="48" t="n">
        <f aca="false">IF(H38&gt;0,J38/H38,"")</f>
        <v>-0.166666666666667</v>
      </c>
      <c r="L38" s="49" t="n">
        <f aca="false">IF(I$6=0,"",I38/I$6)</f>
        <v>0.00243608738689585</v>
      </c>
      <c r="M38" s="50" t="n">
        <f aca="false">SUMIFS('Vidushi Malhotra'!$D$7:$D$300,'Vidushi Malhotra'!$B$7:$B$300,$B38)</f>
        <v>0</v>
      </c>
      <c r="N38" s="51" t="str">
        <f aca="false">IF(AND(M38&gt;0,O38&gt;0),O38/M38,"")</f>
        <v/>
      </c>
      <c r="O38" s="8" t="n">
        <f aca="false">SUMIFS('Vidushi Malhotra'!$E$7:$E$300,'Vidushi Malhotra'!$B$7:$B$300,$B38)</f>
        <v>0</v>
      </c>
      <c r="P38" s="8" t="n">
        <f aca="false">SUMIFS('Vidushi Malhotra'!$H$7:$H$300,'Vidushi Malhotra'!$B$7:$B$300,$B38)</f>
        <v>0</v>
      </c>
      <c r="Q38" s="8" t="n">
        <f aca="false">P38-O38</f>
        <v>0</v>
      </c>
      <c r="R38" s="9" t="str">
        <f aca="false">IF(O38&gt;0,Q38/O38,"")</f>
        <v/>
      </c>
      <c r="S38" s="9" t="n">
        <f aca="false">IF(P$6=0,"",P38/P$6)</f>
        <v>0</v>
      </c>
      <c r="T38" s="50" t="n">
        <f aca="false">SUMIFS('Dr Umesh Choudhry'!$D$7:$D$300,'Dr Umesh Choudhry'!$B$7:$B$300,$B38)</f>
        <v>0</v>
      </c>
      <c r="U38" s="51" t="str">
        <f aca="false">IF(AND(T38&gt;0,V38&gt;0),V38/T38,"")</f>
        <v/>
      </c>
      <c r="V38" s="8" t="n">
        <f aca="false">SUMIFS('Dr Umesh Choudhry'!$E$7:$E$300,'Dr Umesh Choudhry'!$B$7:$B$300,$B38)</f>
        <v>0</v>
      </c>
      <c r="W38" s="8" t="n">
        <f aca="false">SUMIFS('Dr Umesh Choudhry'!$H$7:$H$300,'Dr Umesh Choudhry'!$B$7:$B$300,$B38)</f>
        <v>0</v>
      </c>
      <c r="X38" s="8" t="n">
        <f aca="false">W38-V38</f>
        <v>0</v>
      </c>
      <c r="Y38" s="9" t="str">
        <f aca="false">IF(V38&gt;0,X38/V38,"")</f>
        <v/>
      </c>
      <c r="Z38" s="9" t="n">
        <f aca="false">IF(W$6=0,"",W38/W$6)</f>
        <v>0</v>
      </c>
      <c r="AA38" s="50" t="n">
        <f aca="false">SUMIFS(Gautam!$D$7:$D$300,Gautam!$B$7:$B$300,$B38)</f>
        <v>0</v>
      </c>
      <c r="AB38" s="51" t="str">
        <f aca="false">IF(AND(AA38&gt;0,AC38&gt;0),AC38/AA38,"")</f>
        <v/>
      </c>
      <c r="AC38" s="8" t="n">
        <f aca="false">SUMIFS(Gautam!$E$7:$E$300,Gautam!$B$7:$B$300,$B38)</f>
        <v>0</v>
      </c>
      <c r="AD38" s="8" t="n">
        <f aca="false">SUMIFS(Gautam!$H$7:$H$300,Gautam!$B$7:$B$300,$B38)</f>
        <v>0</v>
      </c>
      <c r="AE38" s="8" t="n">
        <f aca="false">AD38-AC38</f>
        <v>0</v>
      </c>
      <c r="AF38" s="9" t="str">
        <f aca="false">IF(AC38&gt;0,AE38/AC38,"")</f>
        <v/>
      </c>
      <c r="AG38" s="9" t="n">
        <f aca="false">IF(AD$6=0,"",AD38/AD$6)</f>
        <v>0</v>
      </c>
      <c r="AH38" s="50" t="n">
        <f aca="false">SUMIFS(DA!$D$7:$D$300,DA!$B$7:$B$300,$B38)</f>
        <v>40</v>
      </c>
      <c r="AI38" s="51" t="n">
        <f aca="false">IF(AND(AH38&gt;0,AJ38&gt;0),AJ38/AH38,"")</f>
        <v>1038</v>
      </c>
      <c r="AJ38" s="8" t="n">
        <f aca="false">SUMIFS(DA!$E$7:$E$300,DA!$B$7:$B$300,$B38)</f>
        <v>41520</v>
      </c>
      <c r="AK38" s="8" t="n">
        <f aca="false">SUMIFS(DA!$H$7:$H$300,DA!$B$7:$B$300,$B38)</f>
        <v>34600</v>
      </c>
      <c r="AL38" s="8" t="n">
        <f aca="false">AK38-AJ38</f>
        <v>-6920</v>
      </c>
      <c r="AM38" s="9" t="n">
        <f aca="false">IF(AJ38&gt;0,AL38/AJ38,"")</f>
        <v>-0.166666666666667</v>
      </c>
      <c r="AN38" s="9" t="n">
        <f aca="false">IF(AK$6=0,"",AK38/AK$6)</f>
        <v>0.00892227288228022</v>
      </c>
    </row>
    <row r="39" customFormat="false" ht="15" hidden="false" customHeight="false" outlineLevel="0" collapsed="false">
      <c r="A39" s="5" t="n">
        <v>33</v>
      </c>
      <c r="B39" s="41" t="s">
        <v>95</v>
      </c>
      <c r="C39" s="42" t="n">
        <f aca="false">IFERROR(INDEX(Prices!$C$6:$C$300,MATCH($B39,Prices!$A$6:$A$300,0)),"")</f>
        <v>31.89</v>
      </c>
      <c r="D39" s="43" t="str">
        <f aca="false">IFERROR(INDEX(Prices!$D$6:$D$300,MATCH($B39,Prices!$A$6:$A$300,0)),"")</f>
        <v>Close 08.10.2026 (Screener.in)</v>
      </c>
      <c r="E39" s="6" t="n">
        <f aca="false">(M39&gt;0)+(T39&gt;0)+(AA39&gt;0)+(AH39&gt;0)</f>
        <v>1</v>
      </c>
      <c r="F39" s="44" t="n">
        <f aca="false">M39+T39+AA39+AH39</f>
        <v>1072</v>
      </c>
      <c r="G39" s="45" t="n">
        <f aca="false">IF(AND(F39&gt;0,H39&gt;0),H39/F39,"")</f>
        <v>43</v>
      </c>
      <c r="H39" s="46" t="n">
        <f aca="false">O39+V39+AC39+AJ39</f>
        <v>46096</v>
      </c>
      <c r="I39" s="47" t="n">
        <f aca="false">P39+W39+AD39+AK39</f>
        <v>34186.08</v>
      </c>
      <c r="J39" s="46" t="n">
        <f aca="false">I39-H39</f>
        <v>-11909.92</v>
      </c>
      <c r="K39" s="48" t="n">
        <f aca="false">IF(H39&gt;0,J39/H39,"")</f>
        <v>-0.258372093023256</v>
      </c>
      <c r="L39" s="49" t="n">
        <f aca="false">IF(I$6=0,"",I39/I$6)</f>
        <v>0.00240694445940499</v>
      </c>
      <c r="M39" s="50" t="n">
        <f aca="false">SUMIFS('Vidushi Malhotra'!$D$7:$D$300,'Vidushi Malhotra'!$B$7:$B$300,$B39)</f>
        <v>0</v>
      </c>
      <c r="N39" s="51" t="str">
        <f aca="false">IF(AND(M39&gt;0,O39&gt;0),O39/M39,"")</f>
        <v/>
      </c>
      <c r="O39" s="8" t="n">
        <f aca="false">SUMIFS('Vidushi Malhotra'!$E$7:$E$300,'Vidushi Malhotra'!$B$7:$B$300,$B39)</f>
        <v>0</v>
      </c>
      <c r="P39" s="8" t="n">
        <f aca="false">SUMIFS('Vidushi Malhotra'!$H$7:$H$300,'Vidushi Malhotra'!$B$7:$B$300,$B39)</f>
        <v>0</v>
      </c>
      <c r="Q39" s="8" t="n">
        <f aca="false">P39-O39</f>
        <v>0</v>
      </c>
      <c r="R39" s="9" t="str">
        <f aca="false">IF(O39&gt;0,Q39/O39,"")</f>
        <v/>
      </c>
      <c r="S39" s="9" t="n">
        <f aca="false">IF(P$6=0,"",P39/P$6)</f>
        <v>0</v>
      </c>
      <c r="T39" s="50" t="n">
        <f aca="false">SUMIFS('Dr Umesh Choudhry'!$D$7:$D$300,'Dr Umesh Choudhry'!$B$7:$B$300,$B39)</f>
        <v>0</v>
      </c>
      <c r="U39" s="51" t="str">
        <f aca="false">IF(AND(T39&gt;0,V39&gt;0),V39/T39,"")</f>
        <v/>
      </c>
      <c r="V39" s="8" t="n">
        <f aca="false">SUMIFS('Dr Umesh Choudhry'!$E$7:$E$300,'Dr Umesh Choudhry'!$B$7:$B$300,$B39)</f>
        <v>0</v>
      </c>
      <c r="W39" s="8" t="n">
        <f aca="false">SUMIFS('Dr Umesh Choudhry'!$H$7:$H$300,'Dr Umesh Choudhry'!$B$7:$B$300,$B39)</f>
        <v>0</v>
      </c>
      <c r="X39" s="8" t="n">
        <f aca="false">W39-V39</f>
        <v>0</v>
      </c>
      <c r="Y39" s="9" t="str">
        <f aca="false">IF(V39&gt;0,X39/V39,"")</f>
        <v/>
      </c>
      <c r="Z39" s="9" t="n">
        <f aca="false">IF(W$6=0,"",W39/W$6)</f>
        <v>0</v>
      </c>
      <c r="AA39" s="50" t="n">
        <f aca="false">SUMIFS(Gautam!$D$7:$D$300,Gautam!$B$7:$B$300,$B39)</f>
        <v>0</v>
      </c>
      <c r="AB39" s="51" t="str">
        <f aca="false">IF(AND(AA39&gt;0,AC39&gt;0),AC39/AA39,"")</f>
        <v/>
      </c>
      <c r="AC39" s="8" t="n">
        <f aca="false">SUMIFS(Gautam!$E$7:$E$300,Gautam!$B$7:$B$300,$B39)</f>
        <v>0</v>
      </c>
      <c r="AD39" s="8" t="n">
        <f aca="false">SUMIFS(Gautam!$H$7:$H$300,Gautam!$B$7:$B$300,$B39)</f>
        <v>0</v>
      </c>
      <c r="AE39" s="8" t="n">
        <f aca="false">AD39-AC39</f>
        <v>0</v>
      </c>
      <c r="AF39" s="9" t="str">
        <f aca="false">IF(AC39&gt;0,AE39/AC39,"")</f>
        <v/>
      </c>
      <c r="AG39" s="9" t="n">
        <f aca="false">IF(AD$6=0,"",AD39/AD$6)</f>
        <v>0</v>
      </c>
      <c r="AH39" s="50" t="n">
        <f aca="false">SUMIFS(DA!$D$7:$D$300,DA!$B$7:$B$300,$B39)</f>
        <v>1072</v>
      </c>
      <c r="AI39" s="51" t="n">
        <f aca="false">IF(AND(AH39&gt;0,AJ39&gt;0),AJ39/AH39,"")</f>
        <v>43</v>
      </c>
      <c r="AJ39" s="8" t="n">
        <f aca="false">SUMIFS(DA!$E$7:$E$300,DA!$B$7:$B$300,$B39)</f>
        <v>46096</v>
      </c>
      <c r="AK39" s="8" t="n">
        <f aca="false">SUMIFS(DA!$H$7:$H$300,DA!$B$7:$B$300,$B39)</f>
        <v>34186.08</v>
      </c>
      <c r="AL39" s="8" t="n">
        <f aca="false">AK39-AJ39</f>
        <v>-11909.92</v>
      </c>
      <c r="AM39" s="9" t="n">
        <f aca="false">IF(AJ39&gt;0,AL39/AJ39,"")</f>
        <v>-0.258372093023256</v>
      </c>
      <c r="AN39" s="9" t="n">
        <f aca="false">IF(AK$6=0,"",AK39/AK$6)</f>
        <v>0.00881553568021567</v>
      </c>
    </row>
    <row r="40" customFormat="false" ht="15" hidden="false" customHeight="false" outlineLevel="0" collapsed="false">
      <c r="A40" s="5" t="n">
        <v>34</v>
      </c>
      <c r="B40" s="41" t="s">
        <v>96</v>
      </c>
      <c r="C40" s="42" t="n">
        <f aca="false">IFERROR(INDEX(Prices!$C$6:$C$300,MATCH($B40,Prices!$A$6:$A$300,0)),"")</f>
        <v>489.9</v>
      </c>
      <c r="D40" s="43" t="str">
        <f aca="false">IFERROR(INDEX(Prices!$D$6:$D$300,MATCH($B40,Prices!$A$6:$A$300,0)),"")</f>
        <v>Close 08.10.2026 (Screener.in)</v>
      </c>
      <c r="E40" s="6" t="n">
        <f aca="false">(M40&gt;0)+(T40&gt;0)+(AA40&gt;0)+(AH40&gt;0)</f>
        <v>1</v>
      </c>
      <c r="F40" s="44" t="n">
        <f aca="false">M40+T40+AA40+AH40</f>
        <v>66</v>
      </c>
      <c r="G40" s="45" t="n">
        <f aca="false">IF(AND(F40&gt;0,H40&gt;0),H40/F40,"")</f>
        <v>658</v>
      </c>
      <c r="H40" s="46" t="n">
        <f aca="false">O40+V40+AC40+AJ40</f>
        <v>43428</v>
      </c>
      <c r="I40" s="47" t="n">
        <f aca="false">P40+W40+AD40+AK40</f>
        <v>32333.4</v>
      </c>
      <c r="J40" s="46" t="n">
        <f aca="false">I40-H40</f>
        <v>-11094.6</v>
      </c>
      <c r="K40" s="48" t="n">
        <f aca="false">IF(H40&gt;0,J40/H40,"")</f>
        <v>-0.255471124620061</v>
      </c>
      <c r="L40" s="49" t="n">
        <f aca="false">IF(I$6=0,"",I40/I$6)</f>
        <v>0.0022765025409092</v>
      </c>
      <c r="M40" s="50" t="n">
        <f aca="false">SUMIFS('Vidushi Malhotra'!$D$7:$D$300,'Vidushi Malhotra'!$B$7:$B$300,$B40)</f>
        <v>0</v>
      </c>
      <c r="N40" s="51" t="str">
        <f aca="false">IF(AND(M40&gt;0,O40&gt;0),O40/M40,"")</f>
        <v/>
      </c>
      <c r="O40" s="8" t="n">
        <f aca="false">SUMIFS('Vidushi Malhotra'!$E$7:$E$300,'Vidushi Malhotra'!$B$7:$B$300,$B40)</f>
        <v>0</v>
      </c>
      <c r="P40" s="8" t="n">
        <f aca="false">SUMIFS('Vidushi Malhotra'!$H$7:$H$300,'Vidushi Malhotra'!$B$7:$B$300,$B40)</f>
        <v>0</v>
      </c>
      <c r="Q40" s="8" t="n">
        <f aca="false">P40-O40</f>
        <v>0</v>
      </c>
      <c r="R40" s="9" t="str">
        <f aca="false">IF(O40&gt;0,Q40/O40,"")</f>
        <v/>
      </c>
      <c r="S40" s="9" t="n">
        <f aca="false">IF(P$6=0,"",P40/P$6)</f>
        <v>0</v>
      </c>
      <c r="T40" s="50" t="n">
        <f aca="false">SUMIFS('Dr Umesh Choudhry'!$D$7:$D$300,'Dr Umesh Choudhry'!$B$7:$B$300,$B40)</f>
        <v>0</v>
      </c>
      <c r="U40" s="51" t="str">
        <f aca="false">IF(AND(T40&gt;0,V40&gt;0),V40/T40,"")</f>
        <v/>
      </c>
      <c r="V40" s="8" t="n">
        <f aca="false">SUMIFS('Dr Umesh Choudhry'!$E$7:$E$300,'Dr Umesh Choudhry'!$B$7:$B$300,$B40)</f>
        <v>0</v>
      </c>
      <c r="W40" s="8" t="n">
        <f aca="false">SUMIFS('Dr Umesh Choudhry'!$H$7:$H$300,'Dr Umesh Choudhry'!$B$7:$B$300,$B40)</f>
        <v>0</v>
      </c>
      <c r="X40" s="8" t="n">
        <f aca="false">W40-V40</f>
        <v>0</v>
      </c>
      <c r="Y40" s="9" t="str">
        <f aca="false">IF(V40&gt;0,X40/V40,"")</f>
        <v/>
      </c>
      <c r="Z40" s="9" t="n">
        <f aca="false">IF(W$6=0,"",W40/W$6)</f>
        <v>0</v>
      </c>
      <c r="AA40" s="50" t="n">
        <f aca="false">SUMIFS(Gautam!$D$7:$D$300,Gautam!$B$7:$B$300,$B40)</f>
        <v>0</v>
      </c>
      <c r="AB40" s="51" t="str">
        <f aca="false">IF(AND(AA40&gt;0,AC40&gt;0),AC40/AA40,"")</f>
        <v/>
      </c>
      <c r="AC40" s="8" t="n">
        <f aca="false">SUMIFS(Gautam!$E$7:$E$300,Gautam!$B$7:$B$300,$B40)</f>
        <v>0</v>
      </c>
      <c r="AD40" s="8" t="n">
        <f aca="false">SUMIFS(Gautam!$H$7:$H$300,Gautam!$B$7:$B$300,$B40)</f>
        <v>0</v>
      </c>
      <c r="AE40" s="8" t="n">
        <f aca="false">AD40-AC40</f>
        <v>0</v>
      </c>
      <c r="AF40" s="9" t="str">
        <f aca="false">IF(AC40&gt;0,AE40/AC40,"")</f>
        <v/>
      </c>
      <c r="AG40" s="9" t="n">
        <f aca="false">IF(AD$6=0,"",AD40/AD$6)</f>
        <v>0</v>
      </c>
      <c r="AH40" s="50" t="n">
        <f aca="false">SUMIFS(DA!$D$7:$D$300,DA!$B$7:$B$300,$B40)</f>
        <v>66</v>
      </c>
      <c r="AI40" s="51" t="n">
        <f aca="false">IF(AND(AH40&gt;0,AJ40&gt;0),AJ40/AH40,"")</f>
        <v>658</v>
      </c>
      <c r="AJ40" s="8" t="n">
        <f aca="false">SUMIFS(DA!$E$7:$E$300,DA!$B$7:$B$300,$B40)</f>
        <v>43428</v>
      </c>
      <c r="AK40" s="8" t="n">
        <f aca="false">SUMIFS(DA!$H$7:$H$300,DA!$B$7:$B$300,$B40)</f>
        <v>32333.4</v>
      </c>
      <c r="AL40" s="8" t="n">
        <f aca="false">AK40-AJ40</f>
        <v>-11094.6</v>
      </c>
      <c r="AM40" s="9" t="n">
        <f aca="false">IF(AJ40&gt;0,AL40/AJ40,"")</f>
        <v>-0.255471124620061</v>
      </c>
      <c r="AN40" s="9" t="n">
        <f aca="false">IF(AK$6=0,"",AK40/AK$6)</f>
        <v>0.00833778664774333</v>
      </c>
    </row>
    <row r="41" customFormat="false" ht="15" hidden="false" customHeight="false" outlineLevel="0" collapsed="false">
      <c r="A41" s="5" t="n">
        <v>35</v>
      </c>
      <c r="B41" s="41" t="s">
        <v>97</v>
      </c>
      <c r="C41" s="42" t="n">
        <f aca="false">IFERROR(INDEX(Prices!$C$6:$C$300,MATCH($B41,Prices!$A$6:$A$300,0)),"")</f>
        <v>1529.7</v>
      </c>
      <c r="D41" s="43" t="str">
        <f aca="false">IFERROR(INDEX(Prices!$D$6:$D$300,MATCH($B41,Prices!$A$6:$A$300,0)),"")</f>
        <v>Close 08.10.2026 (Screener.in)</v>
      </c>
      <c r="E41" s="6" t="n">
        <f aca="false">(M41&gt;0)+(T41&gt;0)+(AA41&gt;0)+(AH41&gt;0)</f>
        <v>1</v>
      </c>
      <c r="F41" s="44" t="n">
        <f aca="false">M41+T41+AA41+AH41</f>
        <v>19</v>
      </c>
      <c r="G41" s="45" t="n">
        <f aca="false">IF(AND(F41&gt;0,H41&gt;0),H41/F41,"")</f>
        <v>1417</v>
      </c>
      <c r="H41" s="46" t="n">
        <f aca="false">O41+V41+AC41+AJ41</f>
        <v>26923</v>
      </c>
      <c r="I41" s="47" t="n">
        <f aca="false">P41+W41+AD41+AK41</f>
        <v>29064.3</v>
      </c>
      <c r="J41" s="46" t="n">
        <f aca="false">I41-H41</f>
        <v>2141.3</v>
      </c>
      <c r="K41" s="48" t="n">
        <f aca="false">IF(H41&gt;0,J41/H41,"")</f>
        <v>0.0795342272406492</v>
      </c>
      <c r="L41" s="49" t="n">
        <f aca="false">IF(I$6=0,"",I41/I$6)</f>
        <v>0.00204633452713749</v>
      </c>
      <c r="M41" s="50" t="n">
        <f aca="false">SUMIFS('Vidushi Malhotra'!$D$7:$D$300,'Vidushi Malhotra'!$B$7:$B$300,$B41)</f>
        <v>0</v>
      </c>
      <c r="N41" s="51" t="str">
        <f aca="false">IF(AND(M41&gt;0,O41&gt;0),O41/M41,"")</f>
        <v/>
      </c>
      <c r="O41" s="8" t="n">
        <f aca="false">SUMIFS('Vidushi Malhotra'!$E$7:$E$300,'Vidushi Malhotra'!$B$7:$B$300,$B41)</f>
        <v>0</v>
      </c>
      <c r="P41" s="8" t="n">
        <f aca="false">SUMIFS('Vidushi Malhotra'!$H$7:$H$300,'Vidushi Malhotra'!$B$7:$B$300,$B41)</f>
        <v>0</v>
      </c>
      <c r="Q41" s="8" t="n">
        <f aca="false">P41-O41</f>
        <v>0</v>
      </c>
      <c r="R41" s="9" t="str">
        <f aca="false">IF(O41&gt;0,Q41/O41,"")</f>
        <v/>
      </c>
      <c r="S41" s="9" t="n">
        <f aca="false">IF(P$6=0,"",P41/P$6)</f>
        <v>0</v>
      </c>
      <c r="T41" s="50" t="n">
        <f aca="false">SUMIFS('Dr Umesh Choudhry'!$D$7:$D$300,'Dr Umesh Choudhry'!$B$7:$B$300,$B41)</f>
        <v>0</v>
      </c>
      <c r="U41" s="51" t="str">
        <f aca="false">IF(AND(T41&gt;0,V41&gt;0),V41/T41,"")</f>
        <v/>
      </c>
      <c r="V41" s="8" t="n">
        <f aca="false">SUMIFS('Dr Umesh Choudhry'!$E$7:$E$300,'Dr Umesh Choudhry'!$B$7:$B$300,$B41)</f>
        <v>0</v>
      </c>
      <c r="W41" s="8" t="n">
        <f aca="false">SUMIFS('Dr Umesh Choudhry'!$H$7:$H$300,'Dr Umesh Choudhry'!$B$7:$B$300,$B41)</f>
        <v>0</v>
      </c>
      <c r="X41" s="8" t="n">
        <f aca="false">W41-V41</f>
        <v>0</v>
      </c>
      <c r="Y41" s="9" t="str">
        <f aca="false">IF(V41&gt;0,X41/V41,"")</f>
        <v/>
      </c>
      <c r="Z41" s="9" t="n">
        <f aca="false">IF(W$6=0,"",W41/W$6)</f>
        <v>0</v>
      </c>
      <c r="AA41" s="50" t="n">
        <f aca="false">SUMIFS(Gautam!$D$7:$D$300,Gautam!$B$7:$B$300,$B41)</f>
        <v>0</v>
      </c>
      <c r="AB41" s="51" t="str">
        <f aca="false">IF(AND(AA41&gt;0,AC41&gt;0),AC41/AA41,"")</f>
        <v/>
      </c>
      <c r="AC41" s="8" t="n">
        <f aca="false">SUMIFS(Gautam!$E$7:$E$300,Gautam!$B$7:$B$300,$B41)</f>
        <v>0</v>
      </c>
      <c r="AD41" s="8" t="n">
        <f aca="false">SUMIFS(Gautam!$H$7:$H$300,Gautam!$B$7:$B$300,$B41)</f>
        <v>0</v>
      </c>
      <c r="AE41" s="8" t="n">
        <f aca="false">AD41-AC41</f>
        <v>0</v>
      </c>
      <c r="AF41" s="9" t="str">
        <f aca="false">IF(AC41&gt;0,AE41/AC41,"")</f>
        <v/>
      </c>
      <c r="AG41" s="9" t="n">
        <f aca="false">IF(AD$6=0,"",AD41/AD$6)</f>
        <v>0</v>
      </c>
      <c r="AH41" s="50" t="n">
        <f aca="false">SUMIFS(DA!$D$7:$D$300,DA!$B$7:$B$300,$B41)</f>
        <v>19</v>
      </c>
      <c r="AI41" s="51" t="n">
        <f aca="false">IF(AND(AH41&gt;0,AJ41&gt;0),AJ41/AH41,"")</f>
        <v>1417</v>
      </c>
      <c r="AJ41" s="8" t="n">
        <f aca="false">SUMIFS(DA!$E$7:$E$300,DA!$B$7:$B$300,$B41)</f>
        <v>26923</v>
      </c>
      <c r="AK41" s="8" t="n">
        <f aca="false">SUMIFS(DA!$H$7:$H$300,DA!$B$7:$B$300,$B41)</f>
        <v>29064.3</v>
      </c>
      <c r="AL41" s="8" t="n">
        <f aca="false">AK41-AJ41</f>
        <v>2141.3</v>
      </c>
      <c r="AM41" s="9" t="n">
        <f aca="false">IF(AJ41&gt;0,AL41/AJ41,"")</f>
        <v>0.0795342272406492</v>
      </c>
      <c r="AN41" s="9" t="n">
        <f aca="false">IF(AK$6=0,"",AK41/AK$6)</f>
        <v>0.00749478658186292</v>
      </c>
    </row>
    <row r="42" customFormat="false" ht="15" hidden="false" customHeight="false" outlineLevel="0" collapsed="false">
      <c r="A42" s="5" t="n">
        <v>36</v>
      </c>
      <c r="B42" s="41" t="s">
        <v>98</v>
      </c>
      <c r="C42" s="42" t="n">
        <f aca="false">IFERROR(INDEX(Prices!$C$6:$C$300,MATCH($B42,Prices!$A$6:$A$300,0)),"")</f>
        <v>307.05</v>
      </c>
      <c r="D42" s="43" t="str">
        <f aca="false">IFERROR(INDEX(Prices!$D$6:$D$300,MATCH($B42,Prices!$A$6:$A$300,0)),"")</f>
        <v>Close 08.10.2026 (Screener.in)</v>
      </c>
      <c r="E42" s="6" t="n">
        <f aca="false">(M42&gt;0)+(T42&gt;0)+(AA42&gt;0)+(AH42&gt;0)</f>
        <v>1</v>
      </c>
      <c r="F42" s="44" t="n">
        <f aca="false">M42+T42+AA42+AH42</f>
        <v>80</v>
      </c>
      <c r="G42" s="45" t="n">
        <f aca="false">IF(AND(F42&gt;0,H42&gt;0),H42/F42,"")</f>
        <v>314.075</v>
      </c>
      <c r="H42" s="46" t="n">
        <f aca="false">O42+V42+AC42+AJ42</f>
        <v>25126</v>
      </c>
      <c r="I42" s="47" t="n">
        <f aca="false">P42+W42+AD42+AK42</f>
        <v>24564</v>
      </c>
      <c r="J42" s="46" t="n">
        <f aca="false">I42-H42</f>
        <v>-562</v>
      </c>
      <c r="K42" s="48" t="n">
        <f aca="false">IF(H42&gt;0,J42/H42,"")</f>
        <v>-0.0223672689644193</v>
      </c>
      <c r="L42" s="49" t="n">
        <f aca="false">IF(I$6=0,"",I42/I$6)</f>
        <v>0.00172948123039623</v>
      </c>
      <c r="M42" s="50" t="n">
        <f aca="false">SUMIFS('Vidushi Malhotra'!$D$7:$D$300,'Vidushi Malhotra'!$B$7:$B$300,$B42)</f>
        <v>0</v>
      </c>
      <c r="N42" s="51" t="str">
        <f aca="false">IF(AND(M42&gt;0,O42&gt;0),O42/M42,"")</f>
        <v/>
      </c>
      <c r="O42" s="8" t="n">
        <f aca="false">SUMIFS('Vidushi Malhotra'!$E$7:$E$300,'Vidushi Malhotra'!$B$7:$B$300,$B42)</f>
        <v>0</v>
      </c>
      <c r="P42" s="8" t="n">
        <f aca="false">SUMIFS('Vidushi Malhotra'!$H$7:$H$300,'Vidushi Malhotra'!$B$7:$B$300,$B42)</f>
        <v>0</v>
      </c>
      <c r="Q42" s="8" t="n">
        <f aca="false">P42-O42</f>
        <v>0</v>
      </c>
      <c r="R42" s="9" t="str">
        <f aca="false">IF(O42&gt;0,Q42/O42,"")</f>
        <v/>
      </c>
      <c r="S42" s="9" t="n">
        <f aca="false">IF(P$6=0,"",P42/P$6)</f>
        <v>0</v>
      </c>
      <c r="T42" s="50" t="n">
        <f aca="false">SUMIFS('Dr Umesh Choudhry'!$D$7:$D$300,'Dr Umesh Choudhry'!$B$7:$B$300,$B42)</f>
        <v>0</v>
      </c>
      <c r="U42" s="51" t="str">
        <f aca="false">IF(AND(T42&gt;0,V42&gt;0),V42/T42,"")</f>
        <v/>
      </c>
      <c r="V42" s="8" t="n">
        <f aca="false">SUMIFS('Dr Umesh Choudhry'!$E$7:$E$300,'Dr Umesh Choudhry'!$B$7:$B$300,$B42)</f>
        <v>0</v>
      </c>
      <c r="W42" s="8" t="n">
        <f aca="false">SUMIFS('Dr Umesh Choudhry'!$H$7:$H$300,'Dr Umesh Choudhry'!$B$7:$B$300,$B42)</f>
        <v>0</v>
      </c>
      <c r="X42" s="8" t="n">
        <f aca="false">W42-V42</f>
        <v>0</v>
      </c>
      <c r="Y42" s="9" t="str">
        <f aca="false">IF(V42&gt;0,X42/V42,"")</f>
        <v/>
      </c>
      <c r="Z42" s="9" t="n">
        <f aca="false">IF(W$6=0,"",W42/W$6)</f>
        <v>0</v>
      </c>
      <c r="AA42" s="50" t="n">
        <f aca="false">SUMIFS(Gautam!$D$7:$D$300,Gautam!$B$7:$B$300,$B42)</f>
        <v>80</v>
      </c>
      <c r="AB42" s="51" t="n">
        <f aca="false">IF(AND(AA42&gt;0,AC42&gt;0),AC42/AA42,"")</f>
        <v>314.075</v>
      </c>
      <c r="AC42" s="8" t="n">
        <f aca="false">SUMIFS(Gautam!$E$7:$E$300,Gautam!$B$7:$B$300,$B42)</f>
        <v>25126</v>
      </c>
      <c r="AD42" s="8" t="n">
        <f aca="false">SUMIFS(Gautam!$H$7:$H$300,Gautam!$B$7:$B$300,$B42)</f>
        <v>24564</v>
      </c>
      <c r="AE42" s="8" t="n">
        <f aca="false">AD42-AC42</f>
        <v>-562</v>
      </c>
      <c r="AF42" s="9" t="n">
        <f aca="false">IF(AC42&gt;0,AE42/AC42,"")</f>
        <v>-0.0223672689644193</v>
      </c>
      <c r="AG42" s="9" t="n">
        <f aca="false">IF(AD$6=0,"",AD42/AD$6)</f>
        <v>0.00525694245765852</v>
      </c>
      <c r="AH42" s="50" t="n">
        <f aca="false">SUMIFS(DA!$D$7:$D$300,DA!$B$7:$B$300,$B42)</f>
        <v>0</v>
      </c>
      <c r="AI42" s="51" t="str">
        <f aca="false">IF(AND(AH42&gt;0,AJ42&gt;0),AJ42/AH42,"")</f>
        <v/>
      </c>
      <c r="AJ42" s="8" t="n">
        <f aca="false">SUMIFS(DA!$E$7:$E$300,DA!$B$7:$B$300,$B42)</f>
        <v>0</v>
      </c>
      <c r="AK42" s="8" t="n">
        <f aca="false">SUMIFS(DA!$H$7:$H$300,DA!$B$7:$B$300,$B42)</f>
        <v>0</v>
      </c>
      <c r="AL42" s="8" t="n">
        <f aca="false">AK42-AJ42</f>
        <v>0</v>
      </c>
      <c r="AM42" s="9" t="str">
        <f aca="false">IF(AJ42&gt;0,AL42/AJ42,"")</f>
        <v/>
      </c>
      <c r="AN42" s="9" t="n">
        <f aca="false">IF(AK$6=0,"",AK42/AK$6)</f>
        <v>0</v>
      </c>
    </row>
    <row r="43" customFormat="false" ht="15" hidden="false" customHeight="false" outlineLevel="0" collapsed="false">
      <c r="A43" s="5" t="n">
        <v>37</v>
      </c>
      <c r="B43" s="41" t="s">
        <v>99</v>
      </c>
      <c r="C43" s="42" t="n">
        <f aca="false">IFERROR(INDEX(Prices!$C$6:$C$300,MATCH($B43,Prices!$A$6:$A$300,0)),"")</f>
        <v>219.86</v>
      </c>
      <c r="D43" s="43" t="str">
        <f aca="false">IFERROR(INDEX(Prices!$D$6:$D$300,MATCH($B43,Prices!$A$6:$A$300,0)),"")</f>
        <v>Close 08.10.2026 (Screener.in)</v>
      </c>
      <c r="E43" s="6" t="n">
        <f aca="false">(M43&gt;0)+(T43&gt;0)+(AA43&gt;0)+(AH43&gt;0)</f>
        <v>1</v>
      </c>
      <c r="F43" s="44" t="n">
        <f aca="false">M43+T43+AA43+AH43</f>
        <v>110</v>
      </c>
      <c r="G43" s="45" t="n">
        <f aca="false">IF(AND(F43&gt;0,H43&gt;0),H43/F43,"")</f>
        <v>391</v>
      </c>
      <c r="H43" s="46" t="n">
        <f aca="false">O43+V43+AC43+AJ43</f>
        <v>43010</v>
      </c>
      <c r="I43" s="47" t="n">
        <f aca="false">P43+W43+AD43+AK43</f>
        <v>24184.6</v>
      </c>
      <c r="J43" s="46" t="n">
        <f aca="false">I43-H43</f>
        <v>-18825.4</v>
      </c>
      <c r="K43" s="48" t="n">
        <f aca="false">IF(H43&gt;0,J43/H43,"")</f>
        <v>-0.43769820971867</v>
      </c>
      <c r="L43" s="49" t="n">
        <f aca="false">IF(I$6=0,"",I43/I$6)</f>
        <v>0.00170276875772027</v>
      </c>
      <c r="M43" s="50" t="n">
        <f aca="false">SUMIFS('Vidushi Malhotra'!$D$7:$D$300,'Vidushi Malhotra'!$B$7:$B$300,$B43)</f>
        <v>0</v>
      </c>
      <c r="N43" s="51" t="str">
        <f aca="false">IF(AND(M43&gt;0,O43&gt;0),O43/M43,"")</f>
        <v/>
      </c>
      <c r="O43" s="8" t="n">
        <f aca="false">SUMIFS('Vidushi Malhotra'!$E$7:$E$300,'Vidushi Malhotra'!$B$7:$B$300,$B43)</f>
        <v>0</v>
      </c>
      <c r="P43" s="8" t="n">
        <f aca="false">SUMIFS('Vidushi Malhotra'!$H$7:$H$300,'Vidushi Malhotra'!$B$7:$B$300,$B43)</f>
        <v>0</v>
      </c>
      <c r="Q43" s="8" t="n">
        <f aca="false">P43-O43</f>
        <v>0</v>
      </c>
      <c r="R43" s="9" t="str">
        <f aca="false">IF(O43&gt;0,Q43/O43,"")</f>
        <v/>
      </c>
      <c r="S43" s="9" t="n">
        <f aca="false">IF(P$6=0,"",P43/P$6)</f>
        <v>0</v>
      </c>
      <c r="T43" s="50" t="n">
        <f aca="false">SUMIFS('Dr Umesh Choudhry'!$D$7:$D$300,'Dr Umesh Choudhry'!$B$7:$B$300,$B43)</f>
        <v>0</v>
      </c>
      <c r="U43" s="51" t="str">
        <f aca="false">IF(AND(T43&gt;0,V43&gt;0),V43/T43,"")</f>
        <v/>
      </c>
      <c r="V43" s="8" t="n">
        <f aca="false">SUMIFS('Dr Umesh Choudhry'!$E$7:$E$300,'Dr Umesh Choudhry'!$B$7:$B$300,$B43)</f>
        <v>0</v>
      </c>
      <c r="W43" s="8" t="n">
        <f aca="false">SUMIFS('Dr Umesh Choudhry'!$H$7:$H$300,'Dr Umesh Choudhry'!$B$7:$B$300,$B43)</f>
        <v>0</v>
      </c>
      <c r="X43" s="8" t="n">
        <f aca="false">W43-V43</f>
        <v>0</v>
      </c>
      <c r="Y43" s="9" t="str">
        <f aca="false">IF(V43&gt;0,X43/V43,"")</f>
        <v/>
      </c>
      <c r="Z43" s="9" t="n">
        <f aca="false">IF(W$6=0,"",W43/W$6)</f>
        <v>0</v>
      </c>
      <c r="AA43" s="50" t="n">
        <f aca="false">SUMIFS(Gautam!$D$7:$D$300,Gautam!$B$7:$B$300,$B43)</f>
        <v>0</v>
      </c>
      <c r="AB43" s="51" t="str">
        <f aca="false">IF(AND(AA43&gt;0,AC43&gt;0),AC43/AA43,"")</f>
        <v/>
      </c>
      <c r="AC43" s="8" t="n">
        <f aca="false">SUMIFS(Gautam!$E$7:$E$300,Gautam!$B$7:$B$300,$B43)</f>
        <v>0</v>
      </c>
      <c r="AD43" s="8" t="n">
        <f aca="false">SUMIFS(Gautam!$H$7:$H$300,Gautam!$B$7:$B$300,$B43)</f>
        <v>0</v>
      </c>
      <c r="AE43" s="8" t="n">
        <f aca="false">AD43-AC43</f>
        <v>0</v>
      </c>
      <c r="AF43" s="9" t="str">
        <f aca="false">IF(AC43&gt;0,AE43/AC43,"")</f>
        <v/>
      </c>
      <c r="AG43" s="9" t="n">
        <f aca="false">IF(AD$6=0,"",AD43/AD$6)</f>
        <v>0</v>
      </c>
      <c r="AH43" s="50" t="n">
        <f aca="false">SUMIFS(DA!$D$7:$D$300,DA!$B$7:$B$300,$B43)</f>
        <v>110</v>
      </c>
      <c r="AI43" s="51" t="n">
        <f aca="false">IF(AND(AH43&gt;0,AJ43&gt;0),AJ43/AH43,"")</f>
        <v>391</v>
      </c>
      <c r="AJ43" s="8" t="n">
        <f aca="false">SUMIFS(DA!$E$7:$E$300,DA!$B$7:$B$300,$B43)</f>
        <v>43010</v>
      </c>
      <c r="AK43" s="8" t="n">
        <f aca="false">SUMIFS(DA!$H$7:$H$300,DA!$B$7:$B$300,$B43)</f>
        <v>24184.6</v>
      </c>
      <c r="AL43" s="8" t="n">
        <f aca="false">AK43-AJ43</f>
        <v>-18825.4</v>
      </c>
      <c r="AM43" s="9" t="n">
        <f aca="false">IF(AJ43&gt;0,AL43/AJ43,"")</f>
        <v>-0.43769820971867</v>
      </c>
      <c r="AN43" s="9" t="n">
        <f aca="false">IF(AK$6=0,"",AK43/AK$6)</f>
        <v>0.00623646244938712</v>
      </c>
    </row>
    <row r="44" customFormat="false" ht="15" hidden="false" customHeight="false" outlineLevel="0" collapsed="false">
      <c r="A44" s="5" t="n">
        <v>38</v>
      </c>
      <c r="B44" s="41" t="s">
        <v>100</v>
      </c>
      <c r="C44" s="42" t="n">
        <f aca="false">IFERROR(INDEX(Prices!$C$6:$C$300,MATCH($B44,Prices!$A$6:$A$300,0)),"")</f>
        <v>714.75</v>
      </c>
      <c r="D44" s="43" t="str">
        <f aca="false">IFERROR(INDEX(Prices!$D$6:$D$300,MATCH($B44,Prices!$A$6:$A$300,0)),"")</f>
        <v>Close 08.10.2026 (Screener.in)</v>
      </c>
      <c r="E44" s="6" t="n">
        <f aca="false">(M44&gt;0)+(T44&gt;0)+(AA44&gt;0)+(AH44&gt;0)</f>
        <v>1</v>
      </c>
      <c r="F44" s="44" t="n">
        <f aca="false">M44+T44+AA44+AH44</f>
        <v>33</v>
      </c>
      <c r="G44" s="45" t="n">
        <f aca="false">IF(AND(F44&gt;0,H44&gt;0),H44/F44,"")</f>
        <v>821</v>
      </c>
      <c r="H44" s="46" t="n">
        <f aca="false">O44+V44+AC44+AJ44</f>
        <v>27093</v>
      </c>
      <c r="I44" s="47" t="n">
        <f aca="false">P44+W44+AD44+AK44</f>
        <v>23586.75</v>
      </c>
      <c r="J44" s="46" t="n">
        <f aca="false">I44-H44</f>
        <v>-3506.25</v>
      </c>
      <c r="K44" s="48" t="n">
        <f aca="false">IF(H44&gt;0,J44/H44,"")</f>
        <v>-0.129415347137637</v>
      </c>
      <c r="L44" s="49" t="n">
        <f aca="false">IF(I$6=0,"",I44/I$6)</f>
        <v>0.00166067584314641</v>
      </c>
      <c r="M44" s="50" t="n">
        <f aca="false">SUMIFS('Vidushi Malhotra'!$D$7:$D$300,'Vidushi Malhotra'!$B$7:$B$300,$B44)</f>
        <v>0</v>
      </c>
      <c r="N44" s="51" t="str">
        <f aca="false">IF(AND(M44&gt;0,O44&gt;0),O44/M44,"")</f>
        <v/>
      </c>
      <c r="O44" s="8" t="n">
        <f aca="false">SUMIFS('Vidushi Malhotra'!$E$7:$E$300,'Vidushi Malhotra'!$B$7:$B$300,$B44)</f>
        <v>0</v>
      </c>
      <c r="P44" s="8" t="n">
        <f aca="false">SUMIFS('Vidushi Malhotra'!$H$7:$H$300,'Vidushi Malhotra'!$B$7:$B$300,$B44)</f>
        <v>0</v>
      </c>
      <c r="Q44" s="8" t="n">
        <f aca="false">P44-O44</f>
        <v>0</v>
      </c>
      <c r="R44" s="9" t="str">
        <f aca="false">IF(O44&gt;0,Q44/O44,"")</f>
        <v/>
      </c>
      <c r="S44" s="9" t="n">
        <f aca="false">IF(P$6=0,"",P44/P$6)</f>
        <v>0</v>
      </c>
      <c r="T44" s="50" t="n">
        <f aca="false">SUMIFS('Dr Umesh Choudhry'!$D$7:$D$300,'Dr Umesh Choudhry'!$B$7:$B$300,$B44)</f>
        <v>0</v>
      </c>
      <c r="U44" s="51" t="str">
        <f aca="false">IF(AND(T44&gt;0,V44&gt;0),V44/T44,"")</f>
        <v/>
      </c>
      <c r="V44" s="8" t="n">
        <f aca="false">SUMIFS('Dr Umesh Choudhry'!$E$7:$E$300,'Dr Umesh Choudhry'!$B$7:$B$300,$B44)</f>
        <v>0</v>
      </c>
      <c r="W44" s="8" t="n">
        <f aca="false">SUMIFS('Dr Umesh Choudhry'!$H$7:$H$300,'Dr Umesh Choudhry'!$B$7:$B$300,$B44)</f>
        <v>0</v>
      </c>
      <c r="X44" s="8" t="n">
        <f aca="false">W44-V44</f>
        <v>0</v>
      </c>
      <c r="Y44" s="9" t="str">
        <f aca="false">IF(V44&gt;0,X44/V44,"")</f>
        <v/>
      </c>
      <c r="Z44" s="9" t="n">
        <f aca="false">IF(W$6=0,"",W44/W$6)</f>
        <v>0</v>
      </c>
      <c r="AA44" s="50" t="n">
        <f aca="false">SUMIFS(Gautam!$D$7:$D$300,Gautam!$B$7:$B$300,$B44)</f>
        <v>0</v>
      </c>
      <c r="AB44" s="51" t="str">
        <f aca="false">IF(AND(AA44&gt;0,AC44&gt;0),AC44/AA44,"")</f>
        <v/>
      </c>
      <c r="AC44" s="8" t="n">
        <f aca="false">SUMIFS(Gautam!$E$7:$E$300,Gautam!$B$7:$B$300,$B44)</f>
        <v>0</v>
      </c>
      <c r="AD44" s="8" t="n">
        <f aca="false">SUMIFS(Gautam!$H$7:$H$300,Gautam!$B$7:$B$300,$B44)</f>
        <v>0</v>
      </c>
      <c r="AE44" s="8" t="n">
        <f aca="false">AD44-AC44</f>
        <v>0</v>
      </c>
      <c r="AF44" s="9" t="str">
        <f aca="false">IF(AC44&gt;0,AE44/AC44,"")</f>
        <v/>
      </c>
      <c r="AG44" s="9" t="n">
        <f aca="false">IF(AD$6=0,"",AD44/AD$6)</f>
        <v>0</v>
      </c>
      <c r="AH44" s="50" t="n">
        <f aca="false">SUMIFS(DA!$D$7:$D$300,DA!$B$7:$B$300,$B44)</f>
        <v>33</v>
      </c>
      <c r="AI44" s="51" t="n">
        <f aca="false">IF(AND(AH44&gt;0,AJ44&gt;0),AJ44/AH44,"")</f>
        <v>821</v>
      </c>
      <c r="AJ44" s="8" t="n">
        <f aca="false">SUMIFS(DA!$E$7:$E$300,DA!$B$7:$B$300,$B44)</f>
        <v>27093</v>
      </c>
      <c r="AK44" s="8" t="n">
        <f aca="false">SUMIFS(DA!$H$7:$H$300,DA!$B$7:$B$300,$B44)</f>
        <v>23586.75</v>
      </c>
      <c r="AL44" s="8" t="n">
        <f aca="false">AK44-AJ44</f>
        <v>-3506.25</v>
      </c>
      <c r="AM44" s="9" t="n">
        <f aca="false">IF(AJ44&gt;0,AL44/AJ44,"")</f>
        <v>-0.129415347137637</v>
      </c>
      <c r="AN44" s="9" t="n">
        <f aca="false">IF(AK$6=0,"",AK44/AK$6)</f>
        <v>0.00608229537300934</v>
      </c>
    </row>
    <row r="45" customFormat="false" ht="15" hidden="false" customHeight="false" outlineLevel="0" collapsed="false">
      <c r="A45" s="5" t="n">
        <v>39</v>
      </c>
      <c r="B45" s="41" t="s">
        <v>101</v>
      </c>
      <c r="C45" s="42" t="n">
        <f aca="false">IFERROR(INDEX(Prices!$C$6:$C$300,MATCH($B45,Prices!$A$6:$A$300,0)),"")</f>
        <v>142.03</v>
      </c>
      <c r="D45" s="43" t="str">
        <f aca="false">IFERROR(INDEX(Prices!$D$6:$D$300,MATCH($B45,Prices!$A$6:$A$300,0)),"")</f>
        <v>Close 08.10.2026 (Screener.in)</v>
      </c>
      <c r="E45" s="6" t="n">
        <f aca="false">(M45&gt;0)+(T45&gt;0)+(AA45&gt;0)+(AH45&gt;0)</f>
        <v>1</v>
      </c>
      <c r="F45" s="44" t="n">
        <f aca="false">M45+T45+AA45+AH45</f>
        <v>166</v>
      </c>
      <c r="G45" s="45" t="n">
        <f aca="false">IF(AND(F45&gt;0,H45&gt;0),H45/F45,"")</f>
        <v>204</v>
      </c>
      <c r="H45" s="46" t="n">
        <f aca="false">O45+V45+AC45+AJ45</f>
        <v>33864</v>
      </c>
      <c r="I45" s="47" t="n">
        <f aca="false">P45+W45+AD45+AK45</f>
        <v>23576.98</v>
      </c>
      <c r="J45" s="46" t="n">
        <f aca="false">I45-H45</f>
        <v>-10287.02</v>
      </c>
      <c r="K45" s="48" t="n">
        <f aca="false">IF(H45&gt;0,J45/H45,"")</f>
        <v>-0.303774509803922</v>
      </c>
      <c r="L45" s="49" t="n">
        <f aca="false">IF(I$6=0,"",I45/I$6)</f>
        <v>0.00165998796529178</v>
      </c>
      <c r="M45" s="50" t="n">
        <f aca="false">SUMIFS('Vidushi Malhotra'!$D$7:$D$300,'Vidushi Malhotra'!$B$7:$B$300,$B45)</f>
        <v>0</v>
      </c>
      <c r="N45" s="51" t="str">
        <f aca="false">IF(AND(M45&gt;0,O45&gt;0),O45/M45,"")</f>
        <v/>
      </c>
      <c r="O45" s="8" t="n">
        <f aca="false">SUMIFS('Vidushi Malhotra'!$E$7:$E$300,'Vidushi Malhotra'!$B$7:$B$300,$B45)</f>
        <v>0</v>
      </c>
      <c r="P45" s="8" t="n">
        <f aca="false">SUMIFS('Vidushi Malhotra'!$H$7:$H$300,'Vidushi Malhotra'!$B$7:$B$300,$B45)</f>
        <v>0</v>
      </c>
      <c r="Q45" s="8" t="n">
        <f aca="false">P45-O45</f>
        <v>0</v>
      </c>
      <c r="R45" s="9" t="str">
        <f aca="false">IF(O45&gt;0,Q45/O45,"")</f>
        <v/>
      </c>
      <c r="S45" s="9" t="n">
        <f aca="false">IF(P$6=0,"",P45/P$6)</f>
        <v>0</v>
      </c>
      <c r="T45" s="50" t="n">
        <f aca="false">SUMIFS('Dr Umesh Choudhry'!$D$7:$D$300,'Dr Umesh Choudhry'!$B$7:$B$300,$B45)</f>
        <v>0</v>
      </c>
      <c r="U45" s="51" t="str">
        <f aca="false">IF(AND(T45&gt;0,V45&gt;0),V45/T45,"")</f>
        <v/>
      </c>
      <c r="V45" s="8" t="n">
        <f aca="false">SUMIFS('Dr Umesh Choudhry'!$E$7:$E$300,'Dr Umesh Choudhry'!$B$7:$B$300,$B45)</f>
        <v>0</v>
      </c>
      <c r="W45" s="8" t="n">
        <f aca="false">SUMIFS('Dr Umesh Choudhry'!$H$7:$H$300,'Dr Umesh Choudhry'!$B$7:$B$300,$B45)</f>
        <v>0</v>
      </c>
      <c r="X45" s="8" t="n">
        <f aca="false">W45-V45</f>
        <v>0</v>
      </c>
      <c r="Y45" s="9" t="str">
        <f aca="false">IF(V45&gt;0,X45/V45,"")</f>
        <v/>
      </c>
      <c r="Z45" s="9" t="n">
        <f aca="false">IF(W$6=0,"",W45/W$6)</f>
        <v>0</v>
      </c>
      <c r="AA45" s="50" t="n">
        <f aca="false">SUMIFS(Gautam!$D$7:$D$300,Gautam!$B$7:$B$300,$B45)</f>
        <v>0</v>
      </c>
      <c r="AB45" s="51" t="str">
        <f aca="false">IF(AND(AA45&gt;0,AC45&gt;0),AC45/AA45,"")</f>
        <v/>
      </c>
      <c r="AC45" s="8" t="n">
        <f aca="false">SUMIFS(Gautam!$E$7:$E$300,Gautam!$B$7:$B$300,$B45)</f>
        <v>0</v>
      </c>
      <c r="AD45" s="8" t="n">
        <f aca="false">SUMIFS(Gautam!$H$7:$H$300,Gautam!$B$7:$B$300,$B45)</f>
        <v>0</v>
      </c>
      <c r="AE45" s="8" t="n">
        <f aca="false">AD45-AC45</f>
        <v>0</v>
      </c>
      <c r="AF45" s="9" t="str">
        <f aca="false">IF(AC45&gt;0,AE45/AC45,"")</f>
        <v/>
      </c>
      <c r="AG45" s="9" t="n">
        <f aca="false">IF(AD$6=0,"",AD45/AD$6)</f>
        <v>0</v>
      </c>
      <c r="AH45" s="50" t="n">
        <f aca="false">SUMIFS(DA!$D$7:$D$300,DA!$B$7:$B$300,$B45)</f>
        <v>166</v>
      </c>
      <c r="AI45" s="51" t="n">
        <f aca="false">IF(AND(AH45&gt;0,AJ45&gt;0),AJ45/AH45,"")</f>
        <v>204</v>
      </c>
      <c r="AJ45" s="8" t="n">
        <f aca="false">SUMIFS(DA!$E$7:$E$300,DA!$B$7:$B$300,$B45)</f>
        <v>33864</v>
      </c>
      <c r="AK45" s="8" t="n">
        <f aca="false">SUMIFS(DA!$H$7:$H$300,DA!$B$7:$B$300,$B45)</f>
        <v>23576.98</v>
      </c>
      <c r="AL45" s="8" t="n">
        <f aca="false">AK45-AJ45</f>
        <v>-10287.02</v>
      </c>
      <c r="AM45" s="9" t="n">
        <f aca="false">IF(AJ45&gt;0,AL45/AJ45,"")</f>
        <v>-0.303774509803922</v>
      </c>
      <c r="AN45" s="9" t="n">
        <f aca="false">IF(AK$6=0,"",AK45/AK$6)</f>
        <v>0.00607977599133131</v>
      </c>
    </row>
    <row r="46" customFormat="false" ht="15" hidden="false" customHeight="false" outlineLevel="0" collapsed="false">
      <c r="A46" s="5" t="n">
        <v>40</v>
      </c>
      <c r="B46" s="41" t="s">
        <v>102</v>
      </c>
      <c r="C46" s="42" t="n">
        <f aca="false">IFERROR(INDEX(Prices!$C$6:$C$300,MATCH($B46,Prices!$A$6:$A$300,0)),"")</f>
        <v>195.85</v>
      </c>
      <c r="D46" s="43" t="str">
        <f aca="false">IFERROR(INDEX(Prices!$D$6:$D$300,MATCH($B46,Prices!$A$6:$A$300,0)),"")</f>
        <v>Close 08.10.2026 (Screener.in)</v>
      </c>
      <c r="E46" s="6" t="n">
        <f aca="false">(M46&gt;0)+(T46&gt;0)+(AA46&gt;0)+(AH46&gt;0)</f>
        <v>1</v>
      </c>
      <c r="F46" s="44" t="n">
        <f aca="false">M46+T46+AA46+AH46</f>
        <v>116</v>
      </c>
      <c r="G46" s="45" t="n">
        <f aca="false">IF(AND(F46&gt;0,H46&gt;0),H46/F46,"")</f>
        <v>256</v>
      </c>
      <c r="H46" s="46" t="n">
        <f aca="false">O46+V46+AC46+AJ46</f>
        <v>29696</v>
      </c>
      <c r="I46" s="47" t="n">
        <f aca="false">P46+W46+AD46+AK46</f>
        <v>22718.6</v>
      </c>
      <c r="J46" s="46" t="n">
        <f aca="false">I46-H46</f>
        <v>-6977.4</v>
      </c>
      <c r="K46" s="48" t="n">
        <f aca="false">IF(H46&gt;0,J46/H46,"")</f>
        <v>-0.2349609375</v>
      </c>
      <c r="L46" s="49" t="n">
        <f aca="false">IF(I$6=0,"",I46/I$6)</f>
        <v>0.00159955187595179</v>
      </c>
      <c r="M46" s="50" t="n">
        <f aca="false">SUMIFS('Vidushi Malhotra'!$D$7:$D$300,'Vidushi Malhotra'!$B$7:$B$300,$B46)</f>
        <v>0</v>
      </c>
      <c r="N46" s="51" t="str">
        <f aca="false">IF(AND(M46&gt;0,O46&gt;0),O46/M46,"")</f>
        <v/>
      </c>
      <c r="O46" s="8" t="n">
        <f aca="false">SUMIFS('Vidushi Malhotra'!$E$7:$E$300,'Vidushi Malhotra'!$B$7:$B$300,$B46)</f>
        <v>0</v>
      </c>
      <c r="P46" s="8" t="n">
        <f aca="false">SUMIFS('Vidushi Malhotra'!$H$7:$H$300,'Vidushi Malhotra'!$B$7:$B$300,$B46)</f>
        <v>0</v>
      </c>
      <c r="Q46" s="8" t="n">
        <f aca="false">P46-O46</f>
        <v>0</v>
      </c>
      <c r="R46" s="9" t="str">
        <f aca="false">IF(O46&gt;0,Q46/O46,"")</f>
        <v/>
      </c>
      <c r="S46" s="9" t="n">
        <f aca="false">IF(P$6=0,"",P46/P$6)</f>
        <v>0</v>
      </c>
      <c r="T46" s="50" t="n">
        <f aca="false">SUMIFS('Dr Umesh Choudhry'!$D$7:$D$300,'Dr Umesh Choudhry'!$B$7:$B$300,$B46)</f>
        <v>0</v>
      </c>
      <c r="U46" s="51" t="str">
        <f aca="false">IF(AND(T46&gt;0,V46&gt;0),V46/T46,"")</f>
        <v/>
      </c>
      <c r="V46" s="8" t="n">
        <f aca="false">SUMIFS('Dr Umesh Choudhry'!$E$7:$E$300,'Dr Umesh Choudhry'!$B$7:$B$300,$B46)</f>
        <v>0</v>
      </c>
      <c r="W46" s="8" t="n">
        <f aca="false">SUMIFS('Dr Umesh Choudhry'!$H$7:$H$300,'Dr Umesh Choudhry'!$B$7:$B$300,$B46)</f>
        <v>0</v>
      </c>
      <c r="X46" s="8" t="n">
        <f aca="false">W46-V46</f>
        <v>0</v>
      </c>
      <c r="Y46" s="9" t="str">
        <f aca="false">IF(V46&gt;0,X46/V46,"")</f>
        <v/>
      </c>
      <c r="Z46" s="9" t="n">
        <f aca="false">IF(W$6=0,"",W46/W$6)</f>
        <v>0</v>
      </c>
      <c r="AA46" s="50" t="n">
        <f aca="false">SUMIFS(Gautam!$D$7:$D$300,Gautam!$B$7:$B$300,$B46)</f>
        <v>0</v>
      </c>
      <c r="AB46" s="51" t="str">
        <f aca="false">IF(AND(AA46&gt;0,AC46&gt;0),AC46/AA46,"")</f>
        <v/>
      </c>
      <c r="AC46" s="8" t="n">
        <f aca="false">SUMIFS(Gautam!$E$7:$E$300,Gautam!$B$7:$B$300,$B46)</f>
        <v>0</v>
      </c>
      <c r="AD46" s="8" t="n">
        <f aca="false">SUMIFS(Gautam!$H$7:$H$300,Gautam!$B$7:$B$300,$B46)</f>
        <v>0</v>
      </c>
      <c r="AE46" s="8" t="n">
        <f aca="false">AD46-AC46</f>
        <v>0</v>
      </c>
      <c r="AF46" s="9" t="str">
        <f aca="false">IF(AC46&gt;0,AE46/AC46,"")</f>
        <v/>
      </c>
      <c r="AG46" s="9" t="n">
        <f aca="false">IF(AD$6=0,"",AD46/AD$6)</f>
        <v>0</v>
      </c>
      <c r="AH46" s="50" t="n">
        <f aca="false">SUMIFS(DA!$D$7:$D$300,DA!$B$7:$B$300,$B46)</f>
        <v>116</v>
      </c>
      <c r="AI46" s="51" t="n">
        <f aca="false">IF(AND(AH46&gt;0,AJ46&gt;0),AJ46/AH46,"")</f>
        <v>256</v>
      </c>
      <c r="AJ46" s="8" t="n">
        <f aca="false">SUMIFS(DA!$E$7:$E$300,DA!$B$7:$B$300,$B46)</f>
        <v>29696</v>
      </c>
      <c r="AK46" s="8" t="n">
        <f aca="false">SUMIFS(DA!$H$7:$H$300,DA!$B$7:$B$300,$B46)</f>
        <v>22718.6</v>
      </c>
      <c r="AL46" s="8" t="n">
        <f aca="false">AK46-AJ46</f>
        <v>-6977.4</v>
      </c>
      <c r="AM46" s="9" t="n">
        <f aca="false">IF(AJ46&gt;0,AL46/AJ46,"")</f>
        <v>-0.2349609375</v>
      </c>
      <c r="AN46" s="9" t="n">
        <f aca="false">IF(AK$6=0,"",AK46/AK$6)</f>
        <v>0.00585842626310322</v>
      </c>
    </row>
    <row r="47" customFormat="false" ht="15" hidden="false" customHeight="false" outlineLevel="0" collapsed="false">
      <c r="A47" s="5" t="n">
        <v>41</v>
      </c>
      <c r="B47" s="41" t="s">
        <v>103</v>
      </c>
      <c r="C47" s="42" t="n">
        <f aca="false">IFERROR(INDEX(Prices!$C$6:$C$300,MATCH($B47,Prices!$A$6:$A$300,0)),"")</f>
        <v>74.3</v>
      </c>
      <c r="D47" s="43" t="str">
        <f aca="false">IFERROR(INDEX(Prices!$D$6:$D$300,MATCH($B47,Prices!$A$6:$A$300,0)),"")</f>
        <v>Close 08.10.2026 (Screener.in)</v>
      </c>
      <c r="E47" s="6" t="n">
        <f aca="false">(M47&gt;0)+(T47&gt;0)+(AA47&gt;0)+(AH47&gt;0)</f>
        <v>1</v>
      </c>
      <c r="F47" s="44" t="n">
        <f aca="false">M47+T47+AA47+AH47</f>
        <v>302</v>
      </c>
      <c r="G47" s="45" t="n">
        <f aca="false">IF(AND(F47&gt;0,H47&gt;0),H47/F47,"")</f>
        <v>159</v>
      </c>
      <c r="H47" s="46" t="n">
        <f aca="false">O47+V47+AC47+AJ47</f>
        <v>48018</v>
      </c>
      <c r="I47" s="47" t="n">
        <f aca="false">P47+W47+AD47+AK47</f>
        <v>22438.6</v>
      </c>
      <c r="J47" s="46" t="n">
        <f aca="false">I47-H47</f>
        <v>-25579.4</v>
      </c>
      <c r="K47" s="48" t="n">
        <f aca="false">IF(H47&gt;0,J47/H47,"")</f>
        <v>-0.532704402515723</v>
      </c>
      <c r="L47" s="49" t="n">
        <f aca="false">IF(I$6=0,"",I47/I$6)</f>
        <v>0.00157983787397691</v>
      </c>
      <c r="M47" s="50" t="n">
        <f aca="false">SUMIFS('Vidushi Malhotra'!$D$7:$D$300,'Vidushi Malhotra'!$B$7:$B$300,$B47)</f>
        <v>0</v>
      </c>
      <c r="N47" s="51" t="str">
        <f aca="false">IF(AND(M47&gt;0,O47&gt;0),O47/M47,"")</f>
        <v/>
      </c>
      <c r="O47" s="8" t="n">
        <f aca="false">SUMIFS('Vidushi Malhotra'!$E$7:$E$300,'Vidushi Malhotra'!$B$7:$B$300,$B47)</f>
        <v>0</v>
      </c>
      <c r="P47" s="8" t="n">
        <f aca="false">SUMIFS('Vidushi Malhotra'!$H$7:$H$300,'Vidushi Malhotra'!$B$7:$B$300,$B47)</f>
        <v>0</v>
      </c>
      <c r="Q47" s="8" t="n">
        <f aca="false">P47-O47</f>
        <v>0</v>
      </c>
      <c r="R47" s="9" t="str">
        <f aca="false">IF(O47&gt;0,Q47/O47,"")</f>
        <v/>
      </c>
      <c r="S47" s="9" t="n">
        <f aca="false">IF(P$6=0,"",P47/P$6)</f>
        <v>0</v>
      </c>
      <c r="T47" s="50" t="n">
        <f aca="false">SUMIFS('Dr Umesh Choudhry'!$D$7:$D$300,'Dr Umesh Choudhry'!$B$7:$B$300,$B47)</f>
        <v>0</v>
      </c>
      <c r="U47" s="51" t="str">
        <f aca="false">IF(AND(T47&gt;0,V47&gt;0),V47/T47,"")</f>
        <v/>
      </c>
      <c r="V47" s="8" t="n">
        <f aca="false">SUMIFS('Dr Umesh Choudhry'!$E$7:$E$300,'Dr Umesh Choudhry'!$B$7:$B$300,$B47)</f>
        <v>0</v>
      </c>
      <c r="W47" s="8" t="n">
        <f aca="false">SUMIFS('Dr Umesh Choudhry'!$H$7:$H$300,'Dr Umesh Choudhry'!$B$7:$B$300,$B47)</f>
        <v>0</v>
      </c>
      <c r="X47" s="8" t="n">
        <f aca="false">W47-V47</f>
        <v>0</v>
      </c>
      <c r="Y47" s="9" t="str">
        <f aca="false">IF(V47&gt;0,X47/V47,"")</f>
        <v/>
      </c>
      <c r="Z47" s="9" t="n">
        <f aca="false">IF(W$6=0,"",W47/W$6)</f>
        <v>0</v>
      </c>
      <c r="AA47" s="50" t="n">
        <f aca="false">SUMIFS(Gautam!$D$7:$D$300,Gautam!$B$7:$B$300,$B47)</f>
        <v>0</v>
      </c>
      <c r="AB47" s="51" t="str">
        <f aca="false">IF(AND(AA47&gt;0,AC47&gt;0),AC47/AA47,"")</f>
        <v/>
      </c>
      <c r="AC47" s="8" t="n">
        <f aca="false">SUMIFS(Gautam!$E$7:$E$300,Gautam!$B$7:$B$300,$B47)</f>
        <v>0</v>
      </c>
      <c r="AD47" s="8" t="n">
        <f aca="false">SUMIFS(Gautam!$H$7:$H$300,Gautam!$B$7:$B$300,$B47)</f>
        <v>0</v>
      </c>
      <c r="AE47" s="8" t="n">
        <f aca="false">AD47-AC47</f>
        <v>0</v>
      </c>
      <c r="AF47" s="9" t="str">
        <f aca="false">IF(AC47&gt;0,AE47/AC47,"")</f>
        <v/>
      </c>
      <c r="AG47" s="9" t="n">
        <f aca="false">IF(AD$6=0,"",AD47/AD$6)</f>
        <v>0</v>
      </c>
      <c r="AH47" s="50" t="n">
        <f aca="false">SUMIFS(DA!$D$7:$D$300,DA!$B$7:$B$300,$B47)</f>
        <v>302</v>
      </c>
      <c r="AI47" s="51" t="n">
        <f aca="false">IF(AND(AH47&gt;0,AJ47&gt;0),AJ47/AH47,"")</f>
        <v>159</v>
      </c>
      <c r="AJ47" s="8" t="n">
        <f aca="false">SUMIFS(DA!$E$7:$E$300,DA!$B$7:$B$300,$B47)</f>
        <v>48018</v>
      </c>
      <c r="AK47" s="8" t="n">
        <f aca="false">SUMIFS(DA!$H$7:$H$300,DA!$B$7:$B$300,$B47)</f>
        <v>22438.6</v>
      </c>
      <c r="AL47" s="8" t="n">
        <f aca="false">AK47-AJ47</f>
        <v>-25579.4</v>
      </c>
      <c r="AM47" s="9" t="n">
        <f aca="false">IF(AJ47&gt;0,AL47/AJ47,"")</f>
        <v>-0.532704402515723</v>
      </c>
      <c r="AN47" s="9" t="n">
        <f aca="false">IF(AK$6=0,"",AK47/AK$6)</f>
        <v>0.00578622289873795</v>
      </c>
    </row>
    <row r="48" customFormat="false" ht="15" hidden="false" customHeight="false" outlineLevel="0" collapsed="false">
      <c r="A48" s="5" t="n">
        <v>42</v>
      </c>
      <c r="B48" s="41" t="s">
        <v>104</v>
      </c>
      <c r="C48" s="42" t="n">
        <f aca="false">IFERROR(INDEX(Prices!$C$6:$C$300,MATCH($B48,Prices!$A$6:$A$300,0)),"")</f>
        <v>90.8</v>
      </c>
      <c r="D48" s="43" t="str">
        <f aca="false">IFERROR(INDEX(Prices!$D$6:$D$300,MATCH($B48,Prices!$A$6:$A$300,0)),"")</f>
        <v>Close 08.10.2026 (Screener.in)</v>
      </c>
      <c r="E48" s="6" t="n">
        <f aca="false">(M48&gt;0)+(T48&gt;0)+(AA48&gt;0)+(AH48&gt;0)</f>
        <v>1</v>
      </c>
      <c r="F48" s="44" t="n">
        <f aca="false">M48+T48+AA48+AH48</f>
        <v>245</v>
      </c>
      <c r="G48" s="45" t="n">
        <f aca="false">IF(AND(F48&gt;0,H48&gt;0),H48/F48,"")</f>
        <v>111</v>
      </c>
      <c r="H48" s="46" t="n">
        <f aca="false">O48+V48+AC48+AJ48</f>
        <v>27195</v>
      </c>
      <c r="I48" s="47" t="n">
        <f aca="false">P48+W48+AD48+AK48</f>
        <v>22246</v>
      </c>
      <c r="J48" s="46" t="n">
        <f aca="false">I48-H48</f>
        <v>-4949</v>
      </c>
      <c r="K48" s="48" t="n">
        <f aca="false">IF(H48&gt;0,J48/H48,"")</f>
        <v>-0.181981981981982</v>
      </c>
      <c r="L48" s="49" t="n">
        <f aca="false">IF(I$6=0,"",I48/I$6)</f>
        <v>0.00156627745690419</v>
      </c>
      <c r="M48" s="50" t="n">
        <f aca="false">SUMIFS('Vidushi Malhotra'!$D$7:$D$300,'Vidushi Malhotra'!$B$7:$B$300,$B48)</f>
        <v>0</v>
      </c>
      <c r="N48" s="51" t="str">
        <f aca="false">IF(AND(M48&gt;0,O48&gt;0),O48/M48,"")</f>
        <v/>
      </c>
      <c r="O48" s="8" t="n">
        <f aca="false">SUMIFS('Vidushi Malhotra'!$E$7:$E$300,'Vidushi Malhotra'!$B$7:$B$300,$B48)</f>
        <v>0</v>
      </c>
      <c r="P48" s="8" t="n">
        <f aca="false">SUMIFS('Vidushi Malhotra'!$H$7:$H$300,'Vidushi Malhotra'!$B$7:$B$300,$B48)</f>
        <v>0</v>
      </c>
      <c r="Q48" s="8" t="n">
        <f aca="false">P48-O48</f>
        <v>0</v>
      </c>
      <c r="R48" s="9" t="str">
        <f aca="false">IF(O48&gt;0,Q48/O48,"")</f>
        <v/>
      </c>
      <c r="S48" s="9" t="n">
        <f aca="false">IF(P$6=0,"",P48/P$6)</f>
        <v>0</v>
      </c>
      <c r="T48" s="50" t="n">
        <f aca="false">SUMIFS('Dr Umesh Choudhry'!$D$7:$D$300,'Dr Umesh Choudhry'!$B$7:$B$300,$B48)</f>
        <v>0</v>
      </c>
      <c r="U48" s="51" t="str">
        <f aca="false">IF(AND(T48&gt;0,V48&gt;0),V48/T48,"")</f>
        <v/>
      </c>
      <c r="V48" s="8" t="n">
        <f aca="false">SUMIFS('Dr Umesh Choudhry'!$E$7:$E$300,'Dr Umesh Choudhry'!$B$7:$B$300,$B48)</f>
        <v>0</v>
      </c>
      <c r="W48" s="8" t="n">
        <f aca="false">SUMIFS('Dr Umesh Choudhry'!$H$7:$H$300,'Dr Umesh Choudhry'!$B$7:$B$300,$B48)</f>
        <v>0</v>
      </c>
      <c r="X48" s="8" t="n">
        <f aca="false">W48-V48</f>
        <v>0</v>
      </c>
      <c r="Y48" s="9" t="str">
        <f aca="false">IF(V48&gt;0,X48/V48,"")</f>
        <v/>
      </c>
      <c r="Z48" s="9" t="n">
        <f aca="false">IF(W$6=0,"",W48/W$6)</f>
        <v>0</v>
      </c>
      <c r="AA48" s="50" t="n">
        <f aca="false">SUMIFS(Gautam!$D$7:$D$300,Gautam!$B$7:$B$300,$B48)</f>
        <v>0</v>
      </c>
      <c r="AB48" s="51" t="str">
        <f aca="false">IF(AND(AA48&gt;0,AC48&gt;0),AC48/AA48,"")</f>
        <v/>
      </c>
      <c r="AC48" s="8" t="n">
        <f aca="false">SUMIFS(Gautam!$E$7:$E$300,Gautam!$B$7:$B$300,$B48)</f>
        <v>0</v>
      </c>
      <c r="AD48" s="8" t="n">
        <f aca="false">SUMIFS(Gautam!$H$7:$H$300,Gautam!$B$7:$B$300,$B48)</f>
        <v>0</v>
      </c>
      <c r="AE48" s="8" t="n">
        <f aca="false">AD48-AC48</f>
        <v>0</v>
      </c>
      <c r="AF48" s="9" t="str">
        <f aca="false">IF(AC48&gt;0,AE48/AC48,"")</f>
        <v/>
      </c>
      <c r="AG48" s="9" t="n">
        <f aca="false">IF(AD$6=0,"",AD48/AD$6)</f>
        <v>0</v>
      </c>
      <c r="AH48" s="50" t="n">
        <f aca="false">SUMIFS(DA!$D$7:$D$300,DA!$B$7:$B$300,$B48)</f>
        <v>245</v>
      </c>
      <c r="AI48" s="51" t="n">
        <f aca="false">IF(AND(AH48&gt;0,AJ48&gt;0),AJ48/AH48,"")</f>
        <v>111</v>
      </c>
      <c r="AJ48" s="8" t="n">
        <f aca="false">SUMIFS(DA!$E$7:$E$300,DA!$B$7:$B$300,$B48)</f>
        <v>27195</v>
      </c>
      <c r="AK48" s="8" t="n">
        <f aca="false">SUMIFS(DA!$H$7:$H$300,DA!$B$7:$B$300,$B48)</f>
        <v>22246</v>
      </c>
      <c r="AL48" s="8" t="n">
        <f aca="false">AK48-AJ48</f>
        <v>-4949</v>
      </c>
      <c r="AM48" s="9" t="n">
        <f aca="false">IF(AJ48&gt;0,AL48/AJ48,"")</f>
        <v>-0.181981981981982</v>
      </c>
      <c r="AN48" s="9" t="n">
        <f aca="false">IF(AK$6=0,"",AK48/AK$6)</f>
        <v>0.00573655729882098</v>
      </c>
    </row>
    <row r="49" customFormat="false" ht="15" hidden="false" customHeight="false" outlineLevel="0" collapsed="false">
      <c r="A49" s="5" t="n">
        <v>43</v>
      </c>
      <c r="B49" s="41" t="s">
        <v>105</v>
      </c>
      <c r="C49" s="42" t="n">
        <f aca="false">IFERROR(INDEX(Prices!$C$6:$C$300,MATCH($B49,Prices!$A$6:$A$300,0)),"")</f>
        <v>54.91</v>
      </c>
      <c r="D49" s="43" t="str">
        <f aca="false">IFERROR(INDEX(Prices!$D$6:$D$300,MATCH($B49,Prices!$A$6:$A$300,0)),"")</f>
        <v>Close 08.10.2026 (Screener.in)</v>
      </c>
      <c r="E49" s="6" t="n">
        <f aca="false">(M49&gt;0)+(T49&gt;0)+(AA49&gt;0)+(AH49&gt;0)</f>
        <v>1</v>
      </c>
      <c r="F49" s="44" t="n">
        <f aca="false">M49+T49+AA49+AH49</f>
        <v>380</v>
      </c>
      <c r="G49" s="45" t="n">
        <f aca="false">IF(AND(F49&gt;0,H49&gt;0),H49/F49,"")</f>
        <v>49</v>
      </c>
      <c r="H49" s="46" t="n">
        <f aca="false">O49+V49+AC49+AJ49</f>
        <v>18620</v>
      </c>
      <c r="I49" s="47" t="n">
        <f aca="false">P49+W49+AD49+AK49</f>
        <v>20865.8</v>
      </c>
      <c r="J49" s="46" t="n">
        <f aca="false">I49-H49</f>
        <v>2245.8</v>
      </c>
      <c r="K49" s="48" t="n">
        <f aca="false">IF(H49&gt;0,J49/H49,"")</f>
        <v>0.120612244897959</v>
      </c>
      <c r="L49" s="49" t="n">
        <f aca="false">IF(I$6=0,"",I49/I$6)</f>
        <v>0.00146910150859802</v>
      </c>
      <c r="M49" s="50" t="n">
        <f aca="false">SUMIFS('Vidushi Malhotra'!$D$7:$D$300,'Vidushi Malhotra'!$B$7:$B$300,$B49)</f>
        <v>0</v>
      </c>
      <c r="N49" s="51" t="str">
        <f aca="false">IF(AND(M49&gt;0,O49&gt;0),O49/M49,"")</f>
        <v/>
      </c>
      <c r="O49" s="8" t="n">
        <f aca="false">SUMIFS('Vidushi Malhotra'!$E$7:$E$300,'Vidushi Malhotra'!$B$7:$B$300,$B49)</f>
        <v>0</v>
      </c>
      <c r="P49" s="8" t="n">
        <f aca="false">SUMIFS('Vidushi Malhotra'!$H$7:$H$300,'Vidushi Malhotra'!$B$7:$B$300,$B49)</f>
        <v>0</v>
      </c>
      <c r="Q49" s="8" t="n">
        <f aca="false">P49-O49</f>
        <v>0</v>
      </c>
      <c r="R49" s="9" t="str">
        <f aca="false">IF(O49&gt;0,Q49/O49,"")</f>
        <v/>
      </c>
      <c r="S49" s="9" t="n">
        <f aca="false">IF(P$6=0,"",P49/P$6)</f>
        <v>0</v>
      </c>
      <c r="T49" s="50" t="n">
        <f aca="false">SUMIFS('Dr Umesh Choudhry'!$D$7:$D$300,'Dr Umesh Choudhry'!$B$7:$B$300,$B49)</f>
        <v>0</v>
      </c>
      <c r="U49" s="51" t="str">
        <f aca="false">IF(AND(T49&gt;0,V49&gt;0),V49/T49,"")</f>
        <v/>
      </c>
      <c r="V49" s="8" t="n">
        <f aca="false">SUMIFS('Dr Umesh Choudhry'!$E$7:$E$300,'Dr Umesh Choudhry'!$B$7:$B$300,$B49)</f>
        <v>0</v>
      </c>
      <c r="W49" s="8" t="n">
        <f aca="false">SUMIFS('Dr Umesh Choudhry'!$H$7:$H$300,'Dr Umesh Choudhry'!$B$7:$B$300,$B49)</f>
        <v>0</v>
      </c>
      <c r="X49" s="8" t="n">
        <f aca="false">W49-V49</f>
        <v>0</v>
      </c>
      <c r="Y49" s="9" t="str">
        <f aca="false">IF(V49&gt;0,X49/V49,"")</f>
        <v/>
      </c>
      <c r="Z49" s="9" t="n">
        <f aca="false">IF(W$6=0,"",W49/W$6)</f>
        <v>0</v>
      </c>
      <c r="AA49" s="50" t="n">
        <f aca="false">SUMIFS(Gautam!$D$7:$D$300,Gautam!$B$7:$B$300,$B49)</f>
        <v>0</v>
      </c>
      <c r="AB49" s="51" t="str">
        <f aca="false">IF(AND(AA49&gt;0,AC49&gt;0),AC49/AA49,"")</f>
        <v/>
      </c>
      <c r="AC49" s="8" t="n">
        <f aca="false">SUMIFS(Gautam!$E$7:$E$300,Gautam!$B$7:$B$300,$B49)</f>
        <v>0</v>
      </c>
      <c r="AD49" s="8" t="n">
        <f aca="false">SUMIFS(Gautam!$H$7:$H$300,Gautam!$B$7:$B$300,$B49)</f>
        <v>0</v>
      </c>
      <c r="AE49" s="8" t="n">
        <f aca="false">AD49-AC49</f>
        <v>0</v>
      </c>
      <c r="AF49" s="9" t="str">
        <f aca="false">IF(AC49&gt;0,AE49/AC49,"")</f>
        <v/>
      </c>
      <c r="AG49" s="9" t="n">
        <f aca="false">IF(AD$6=0,"",AD49/AD$6)</f>
        <v>0</v>
      </c>
      <c r="AH49" s="50" t="n">
        <f aca="false">SUMIFS(DA!$D$7:$D$300,DA!$B$7:$B$300,$B49)</f>
        <v>380</v>
      </c>
      <c r="AI49" s="51" t="n">
        <f aca="false">IF(AND(AH49&gt;0,AJ49&gt;0),AJ49/AH49,"")</f>
        <v>49</v>
      </c>
      <c r="AJ49" s="8" t="n">
        <f aca="false">SUMIFS(DA!$E$7:$E$300,DA!$B$7:$B$300,$B49)</f>
        <v>18620</v>
      </c>
      <c r="AK49" s="8" t="n">
        <f aca="false">SUMIFS(DA!$H$7:$H$300,DA!$B$7:$B$300,$B49)</f>
        <v>20865.8</v>
      </c>
      <c r="AL49" s="8" t="n">
        <f aca="false">AK49-AJ49</f>
        <v>2245.8</v>
      </c>
      <c r="AM49" s="9" t="n">
        <f aca="false">IF(AJ49&gt;0,AL49/AJ49,"")</f>
        <v>0.120612244897959</v>
      </c>
      <c r="AN49" s="9" t="n">
        <f aca="false">IF(AK$6=0,"",AK49/AK$6)</f>
        <v>0.00538064628633187</v>
      </c>
    </row>
    <row r="50" customFormat="false" ht="15" hidden="false" customHeight="false" outlineLevel="0" collapsed="false">
      <c r="A50" s="5" t="n">
        <v>44</v>
      </c>
      <c r="B50" s="41" t="s">
        <v>106</v>
      </c>
      <c r="C50" s="42" t="n">
        <f aca="false">IFERROR(INDEX(Prices!$C$6:$C$300,MATCH($B50,Prices!$A$6:$A$300,0)),"")</f>
        <v>156.99</v>
      </c>
      <c r="D50" s="43" t="str">
        <f aca="false">IFERROR(INDEX(Prices!$D$6:$D$300,MATCH($B50,Prices!$A$6:$A$300,0)),"")</f>
        <v>Close 08.10.2026 (Screener.in)</v>
      </c>
      <c r="E50" s="6" t="n">
        <f aca="false">(M50&gt;0)+(T50&gt;0)+(AA50&gt;0)+(AH50&gt;0)</f>
        <v>1</v>
      </c>
      <c r="F50" s="44" t="n">
        <f aca="false">M50+T50+AA50+AH50</f>
        <v>124</v>
      </c>
      <c r="G50" s="45" t="n">
        <f aca="false">IF(AND(F50&gt;0,H50&gt;0),H50/F50,"")</f>
        <v>226</v>
      </c>
      <c r="H50" s="46" t="n">
        <f aca="false">O50+V50+AC50+AJ50</f>
        <v>28024</v>
      </c>
      <c r="I50" s="47" t="n">
        <f aca="false">P50+W50+AD50+AK50</f>
        <v>19466.76</v>
      </c>
      <c r="J50" s="46" t="n">
        <f aca="false">I50-H50</f>
        <v>-8557.24</v>
      </c>
      <c r="K50" s="48" t="n">
        <f aca="false">IF(H50&gt;0,J50/H50,"")</f>
        <v>-0.305353982300885</v>
      </c>
      <c r="L50" s="49" t="n">
        <f aca="false">IF(I$6=0,"",I50/I$6)</f>
        <v>0.00137059908958753</v>
      </c>
      <c r="M50" s="50" t="n">
        <f aca="false">SUMIFS('Vidushi Malhotra'!$D$7:$D$300,'Vidushi Malhotra'!$B$7:$B$300,$B50)</f>
        <v>0</v>
      </c>
      <c r="N50" s="51" t="str">
        <f aca="false">IF(AND(M50&gt;0,O50&gt;0),O50/M50,"")</f>
        <v/>
      </c>
      <c r="O50" s="8" t="n">
        <f aca="false">SUMIFS('Vidushi Malhotra'!$E$7:$E$300,'Vidushi Malhotra'!$B$7:$B$300,$B50)</f>
        <v>0</v>
      </c>
      <c r="P50" s="8" t="n">
        <f aca="false">SUMIFS('Vidushi Malhotra'!$H$7:$H$300,'Vidushi Malhotra'!$B$7:$B$300,$B50)</f>
        <v>0</v>
      </c>
      <c r="Q50" s="8" t="n">
        <f aca="false">P50-O50</f>
        <v>0</v>
      </c>
      <c r="R50" s="9" t="str">
        <f aca="false">IF(O50&gt;0,Q50/O50,"")</f>
        <v/>
      </c>
      <c r="S50" s="9" t="n">
        <f aca="false">IF(P$6=0,"",P50/P$6)</f>
        <v>0</v>
      </c>
      <c r="T50" s="50" t="n">
        <f aca="false">SUMIFS('Dr Umesh Choudhry'!$D$7:$D$300,'Dr Umesh Choudhry'!$B$7:$B$300,$B50)</f>
        <v>0</v>
      </c>
      <c r="U50" s="51" t="str">
        <f aca="false">IF(AND(T50&gt;0,V50&gt;0),V50/T50,"")</f>
        <v/>
      </c>
      <c r="V50" s="8" t="n">
        <f aca="false">SUMIFS('Dr Umesh Choudhry'!$E$7:$E$300,'Dr Umesh Choudhry'!$B$7:$B$300,$B50)</f>
        <v>0</v>
      </c>
      <c r="W50" s="8" t="n">
        <f aca="false">SUMIFS('Dr Umesh Choudhry'!$H$7:$H$300,'Dr Umesh Choudhry'!$B$7:$B$300,$B50)</f>
        <v>0</v>
      </c>
      <c r="X50" s="8" t="n">
        <f aca="false">W50-V50</f>
        <v>0</v>
      </c>
      <c r="Y50" s="9" t="str">
        <f aca="false">IF(V50&gt;0,X50/V50,"")</f>
        <v/>
      </c>
      <c r="Z50" s="9" t="n">
        <f aca="false">IF(W$6=0,"",W50/W$6)</f>
        <v>0</v>
      </c>
      <c r="AA50" s="50" t="n">
        <f aca="false">SUMIFS(Gautam!$D$7:$D$300,Gautam!$B$7:$B$300,$B50)</f>
        <v>0</v>
      </c>
      <c r="AB50" s="51" t="str">
        <f aca="false">IF(AND(AA50&gt;0,AC50&gt;0),AC50/AA50,"")</f>
        <v/>
      </c>
      <c r="AC50" s="8" t="n">
        <f aca="false">SUMIFS(Gautam!$E$7:$E$300,Gautam!$B$7:$B$300,$B50)</f>
        <v>0</v>
      </c>
      <c r="AD50" s="8" t="n">
        <f aca="false">SUMIFS(Gautam!$H$7:$H$300,Gautam!$B$7:$B$300,$B50)</f>
        <v>0</v>
      </c>
      <c r="AE50" s="8" t="n">
        <f aca="false">AD50-AC50</f>
        <v>0</v>
      </c>
      <c r="AF50" s="9" t="str">
        <f aca="false">IF(AC50&gt;0,AE50/AC50,"")</f>
        <v/>
      </c>
      <c r="AG50" s="9" t="n">
        <f aca="false">IF(AD$6=0,"",AD50/AD$6)</f>
        <v>0</v>
      </c>
      <c r="AH50" s="50" t="n">
        <f aca="false">SUMIFS(DA!$D$7:$D$300,DA!$B$7:$B$300,$B50)</f>
        <v>124</v>
      </c>
      <c r="AI50" s="51" t="n">
        <f aca="false">IF(AND(AH50&gt;0,AJ50&gt;0),AJ50/AH50,"")</f>
        <v>226</v>
      </c>
      <c r="AJ50" s="8" t="n">
        <f aca="false">SUMIFS(DA!$E$7:$E$300,DA!$B$7:$B$300,$B50)</f>
        <v>28024</v>
      </c>
      <c r="AK50" s="8" t="n">
        <f aca="false">SUMIFS(DA!$H$7:$H$300,DA!$B$7:$B$300,$B50)</f>
        <v>19466.76</v>
      </c>
      <c r="AL50" s="8" t="n">
        <f aca="false">AK50-AJ50</f>
        <v>-8557.24</v>
      </c>
      <c r="AM50" s="9" t="n">
        <f aca="false">IF(AJ50&gt;0,AL50/AJ50,"")</f>
        <v>-0.305353982300885</v>
      </c>
      <c r="AN50" s="9" t="n">
        <f aca="false">IF(AK$6=0,"",AK50/AK$6)</f>
        <v>0.00501987701889761</v>
      </c>
    </row>
    <row r="51" customFormat="false" ht="15" hidden="false" customHeight="false" outlineLevel="0" collapsed="false">
      <c r="A51" s="5" t="n">
        <v>45</v>
      </c>
      <c r="B51" s="41" t="s">
        <v>107</v>
      </c>
      <c r="C51" s="42" t="n">
        <f aca="false">IFERROR(INDEX(Prices!$C$6:$C$300,MATCH($B51,Prices!$A$6:$A$300,0)),"")</f>
        <v>547.2</v>
      </c>
      <c r="D51" s="43" t="str">
        <f aca="false">IFERROR(INDEX(Prices!$D$6:$D$300,MATCH($B51,Prices!$A$6:$A$300,0)),"")</f>
        <v>Close 08.10.2026 (Screener.in)</v>
      </c>
      <c r="E51" s="6" t="n">
        <f aca="false">(M51&gt;0)+(T51&gt;0)+(AA51&gt;0)+(AH51&gt;0)</f>
        <v>1</v>
      </c>
      <c r="F51" s="44" t="n">
        <f aca="false">M51+T51+AA51+AH51</f>
        <v>35</v>
      </c>
      <c r="G51" s="45" t="n">
        <f aca="false">IF(AND(F51&gt;0,H51&gt;0),H51/F51,"")</f>
        <v>706</v>
      </c>
      <c r="H51" s="46" t="n">
        <f aca="false">O51+V51+AC51+AJ51</f>
        <v>24710</v>
      </c>
      <c r="I51" s="47" t="n">
        <f aca="false">P51+W51+AD51+AK51</f>
        <v>19152</v>
      </c>
      <c r="J51" s="46" t="n">
        <f aca="false">I51-H51</f>
        <v>-5558</v>
      </c>
      <c r="K51" s="48" t="n">
        <f aca="false">IF(H51&gt;0,J51/H51,"")</f>
        <v>-0.224929178470255</v>
      </c>
      <c r="L51" s="49" t="n">
        <f aca="false">IF(I$6=0,"",I51/I$6)</f>
        <v>0.00134843773508177</v>
      </c>
      <c r="M51" s="50" t="n">
        <f aca="false">SUMIFS('Vidushi Malhotra'!$D$7:$D$300,'Vidushi Malhotra'!$B$7:$B$300,$B51)</f>
        <v>0</v>
      </c>
      <c r="N51" s="51" t="str">
        <f aca="false">IF(AND(M51&gt;0,O51&gt;0),O51/M51,"")</f>
        <v/>
      </c>
      <c r="O51" s="8" t="n">
        <f aca="false">SUMIFS('Vidushi Malhotra'!$E$7:$E$300,'Vidushi Malhotra'!$B$7:$B$300,$B51)</f>
        <v>0</v>
      </c>
      <c r="P51" s="8" t="n">
        <f aca="false">SUMIFS('Vidushi Malhotra'!$H$7:$H$300,'Vidushi Malhotra'!$B$7:$B$300,$B51)</f>
        <v>0</v>
      </c>
      <c r="Q51" s="8" t="n">
        <f aca="false">P51-O51</f>
        <v>0</v>
      </c>
      <c r="R51" s="9" t="str">
        <f aca="false">IF(O51&gt;0,Q51/O51,"")</f>
        <v/>
      </c>
      <c r="S51" s="9" t="n">
        <f aca="false">IF(P$6=0,"",P51/P$6)</f>
        <v>0</v>
      </c>
      <c r="T51" s="50" t="n">
        <f aca="false">SUMIFS('Dr Umesh Choudhry'!$D$7:$D$300,'Dr Umesh Choudhry'!$B$7:$B$300,$B51)</f>
        <v>0</v>
      </c>
      <c r="U51" s="51" t="str">
        <f aca="false">IF(AND(T51&gt;0,V51&gt;0),V51/T51,"")</f>
        <v/>
      </c>
      <c r="V51" s="8" t="n">
        <f aca="false">SUMIFS('Dr Umesh Choudhry'!$E$7:$E$300,'Dr Umesh Choudhry'!$B$7:$B$300,$B51)</f>
        <v>0</v>
      </c>
      <c r="W51" s="8" t="n">
        <f aca="false">SUMIFS('Dr Umesh Choudhry'!$H$7:$H$300,'Dr Umesh Choudhry'!$B$7:$B$300,$B51)</f>
        <v>0</v>
      </c>
      <c r="X51" s="8" t="n">
        <f aca="false">W51-V51</f>
        <v>0</v>
      </c>
      <c r="Y51" s="9" t="str">
        <f aca="false">IF(V51&gt;0,X51/V51,"")</f>
        <v/>
      </c>
      <c r="Z51" s="9" t="n">
        <f aca="false">IF(W$6=0,"",W51/W$6)</f>
        <v>0</v>
      </c>
      <c r="AA51" s="50" t="n">
        <f aca="false">SUMIFS(Gautam!$D$7:$D$300,Gautam!$B$7:$B$300,$B51)</f>
        <v>0</v>
      </c>
      <c r="AB51" s="51" t="str">
        <f aca="false">IF(AND(AA51&gt;0,AC51&gt;0),AC51/AA51,"")</f>
        <v/>
      </c>
      <c r="AC51" s="8" t="n">
        <f aca="false">SUMIFS(Gautam!$E$7:$E$300,Gautam!$B$7:$B$300,$B51)</f>
        <v>0</v>
      </c>
      <c r="AD51" s="8" t="n">
        <f aca="false">SUMIFS(Gautam!$H$7:$H$300,Gautam!$B$7:$B$300,$B51)</f>
        <v>0</v>
      </c>
      <c r="AE51" s="8" t="n">
        <f aca="false">AD51-AC51</f>
        <v>0</v>
      </c>
      <c r="AF51" s="9" t="str">
        <f aca="false">IF(AC51&gt;0,AE51/AC51,"")</f>
        <v/>
      </c>
      <c r="AG51" s="9" t="n">
        <f aca="false">IF(AD$6=0,"",AD51/AD$6)</f>
        <v>0</v>
      </c>
      <c r="AH51" s="50" t="n">
        <f aca="false">SUMIFS(DA!$D$7:$D$300,DA!$B$7:$B$300,$B51)</f>
        <v>35</v>
      </c>
      <c r="AI51" s="51" t="n">
        <f aca="false">IF(AND(AH51&gt;0,AJ51&gt;0),AJ51/AH51,"")</f>
        <v>706</v>
      </c>
      <c r="AJ51" s="8" t="n">
        <f aca="false">SUMIFS(DA!$E$7:$E$300,DA!$B$7:$B$300,$B51)</f>
        <v>24710</v>
      </c>
      <c r="AK51" s="8" t="n">
        <f aca="false">SUMIFS(DA!$H$7:$H$300,DA!$B$7:$B$300,$B51)</f>
        <v>19152</v>
      </c>
      <c r="AL51" s="8" t="n">
        <f aca="false">AK51-AJ51</f>
        <v>-5558</v>
      </c>
      <c r="AM51" s="9" t="n">
        <f aca="false">IF(AJ51&gt;0,AL51/AJ51,"")</f>
        <v>-0.224929178470255</v>
      </c>
      <c r="AN51" s="9" t="n">
        <f aca="false">IF(AK$6=0,"",AK51/AK$6)</f>
        <v>0.00493871012258471</v>
      </c>
    </row>
    <row r="52" customFormat="false" ht="15" hidden="false" customHeight="false" outlineLevel="0" collapsed="false">
      <c r="A52" s="5" t="n">
        <v>46</v>
      </c>
      <c r="B52" s="41" t="s">
        <v>108</v>
      </c>
      <c r="C52" s="42" t="n">
        <f aca="false">IFERROR(INDEX(Prices!$C$6:$C$300,MATCH($B52,Prices!$A$6:$A$300,0)),"")</f>
        <v>346</v>
      </c>
      <c r="D52" s="43" t="str">
        <f aca="false">IFERROR(INDEX(Prices!$D$6:$D$300,MATCH($B52,Prices!$A$6:$A$300,0)),"")</f>
        <v>Close 08.10.2026 (Screener.in)</v>
      </c>
      <c r="E52" s="6" t="n">
        <f aca="false">(M52&gt;0)+(T52&gt;0)+(AA52&gt;0)+(AH52&gt;0)</f>
        <v>1</v>
      </c>
      <c r="F52" s="44" t="n">
        <f aca="false">M52+T52+AA52+AH52</f>
        <v>51</v>
      </c>
      <c r="G52" s="45" t="n">
        <f aca="false">IF(AND(F52&gt;0,H52&gt;0),H52/F52,"")</f>
        <v>604</v>
      </c>
      <c r="H52" s="46" t="n">
        <f aca="false">O52+V52+AC52+AJ52</f>
        <v>30804</v>
      </c>
      <c r="I52" s="47" t="n">
        <f aca="false">P52+W52+AD52+AK52</f>
        <v>17646</v>
      </c>
      <c r="J52" s="46" t="n">
        <f aca="false">I52-H52</f>
        <v>-13158</v>
      </c>
      <c r="K52" s="48" t="n">
        <f aca="false">IF(H52&gt;0,J52/H52,"")</f>
        <v>-0.427152317880795</v>
      </c>
      <c r="L52" s="49" t="n">
        <f aca="false">IF(I$6=0,"",I52/I$6)</f>
        <v>0.00124240456731688</v>
      </c>
      <c r="M52" s="50" t="n">
        <f aca="false">SUMIFS('Vidushi Malhotra'!$D$7:$D$300,'Vidushi Malhotra'!$B$7:$B$300,$B52)</f>
        <v>0</v>
      </c>
      <c r="N52" s="51" t="str">
        <f aca="false">IF(AND(M52&gt;0,O52&gt;0),O52/M52,"")</f>
        <v/>
      </c>
      <c r="O52" s="8" t="n">
        <f aca="false">SUMIFS('Vidushi Malhotra'!$E$7:$E$300,'Vidushi Malhotra'!$B$7:$B$300,$B52)</f>
        <v>0</v>
      </c>
      <c r="P52" s="8" t="n">
        <f aca="false">SUMIFS('Vidushi Malhotra'!$H$7:$H$300,'Vidushi Malhotra'!$B$7:$B$300,$B52)</f>
        <v>0</v>
      </c>
      <c r="Q52" s="8" t="n">
        <f aca="false">P52-O52</f>
        <v>0</v>
      </c>
      <c r="R52" s="9" t="str">
        <f aca="false">IF(O52&gt;0,Q52/O52,"")</f>
        <v/>
      </c>
      <c r="S52" s="9" t="n">
        <f aca="false">IF(P$6=0,"",P52/P$6)</f>
        <v>0</v>
      </c>
      <c r="T52" s="50" t="n">
        <f aca="false">SUMIFS('Dr Umesh Choudhry'!$D$7:$D$300,'Dr Umesh Choudhry'!$B$7:$B$300,$B52)</f>
        <v>0</v>
      </c>
      <c r="U52" s="51" t="str">
        <f aca="false">IF(AND(T52&gt;0,V52&gt;0),V52/T52,"")</f>
        <v/>
      </c>
      <c r="V52" s="8" t="n">
        <f aca="false">SUMIFS('Dr Umesh Choudhry'!$E$7:$E$300,'Dr Umesh Choudhry'!$B$7:$B$300,$B52)</f>
        <v>0</v>
      </c>
      <c r="W52" s="8" t="n">
        <f aca="false">SUMIFS('Dr Umesh Choudhry'!$H$7:$H$300,'Dr Umesh Choudhry'!$B$7:$B$300,$B52)</f>
        <v>0</v>
      </c>
      <c r="X52" s="8" t="n">
        <f aca="false">W52-V52</f>
        <v>0</v>
      </c>
      <c r="Y52" s="9" t="str">
        <f aca="false">IF(V52&gt;0,X52/V52,"")</f>
        <v/>
      </c>
      <c r="Z52" s="9" t="n">
        <f aca="false">IF(W$6=0,"",W52/W$6)</f>
        <v>0</v>
      </c>
      <c r="AA52" s="50" t="n">
        <f aca="false">SUMIFS(Gautam!$D$7:$D$300,Gautam!$B$7:$B$300,$B52)</f>
        <v>0</v>
      </c>
      <c r="AB52" s="51" t="str">
        <f aca="false">IF(AND(AA52&gt;0,AC52&gt;0),AC52/AA52,"")</f>
        <v/>
      </c>
      <c r="AC52" s="8" t="n">
        <f aca="false">SUMIFS(Gautam!$E$7:$E$300,Gautam!$B$7:$B$300,$B52)</f>
        <v>0</v>
      </c>
      <c r="AD52" s="8" t="n">
        <f aca="false">SUMIFS(Gautam!$H$7:$H$300,Gautam!$B$7:$B$300,$B52)</f>
        <v>0</v>
      </c>
      <c r="AE52" s="8" t="n">
        <f aca="false">AD52-AC52</f>
        <v>0</v>
      </c>
      <c r="AF52" s="9" t="str">
        <f aca="false">IF(AC52&gt;0,AE52/AC52,"")</f>
        <v/>
      </c>
      <c r="AG52" s="9" t="n">
        <f aca="false">IF(AD$6=0,"",AD52/AD$6)</f>
        <v>0</v>
      </c>
      <c r="AH52" s="50" t="n">
        <f aca="false">SUMIFS(DA!$D$7:$D$300,DA!$B$7:$B$300,$B52)</f>
        <v>51</v>
      </c>
      <c r="AI52" s="51" t="n">
        <f aca="false">IF(AND(AH52&gt;0,AJ52&gt;0),AJ52/AH52,"")</f>
        <v>604</v>
      </c>
      <c r="AJ52" s="8" t="n">
        <f aca="false">SUMIFS(DA!$E$7:$E$300,DA!$B$7:$B$300,$B52)</f>
        <v>30804</v>
      </c>
      <c r="AK52" s="8" t="n">
        <f aca="false">SUMIFS(DA!$H$7:$H$300,DA!$B$7:$B$300,$B52)</f>
        <v>17646</v>
      </c>
      <c r="AL52" s="8" t="n">
        <f aca="false">AK52-AJ52</f>
        <v>-13158</v>
      </c>
      <c r="AM52" s="9" t="n">
        <f aca="false">IF(AJ52&gt;0,AL52/AJ52,"")</f>
        <v>-0.427152317880795</v>
      </c>
      <c r="AN52" s="9" t="n">
        <f aca="false">IF(AK$6=0,"",AK52/AK$6)</f>
        <v>0.00455035916996291</v>
      </c>
    </row>
    <row r="53" customFormat="false" ht="15" hidden="false" customHeight="false" outlineLevel="0" collapsed="false">
      <c r="A53" s="5" t="n">
        <v>47</v>
      </c>
      <c r="B53" s="41" t="s">
        <v>109</v>
      </c>
      <c r="C53" s="42" t="n">
        <f aca="false">IFERROR(INDEX(Prices!$C$6:$C$300,MATCH($B53,Prices!$A$6:$A$300,0)),"")</f>
        <v>341</v>
      </c>
      <c r="D53" s="43" t="str">
        <f aca="false">IFERROR(INDEX(Prices!$D$6:$D$300,MATCH($B53,Prices!$A$6:$A$300,0)),"")</f>
        <v>Close 08.10.2026 (Screener.in)</v>
      </c>
      <c r="E53" s="6" t="n">
        <f aca="false">(M53&gt;0)+(T53&gt;0)+(AA53&gt;0)+(AH53&gt;0)</f>
        <v>1</v>
      </c>
      <c r="F53" s="44" t="n">
        <f aca="false">M53+T53+AA53+AH53</f>
        <v>49</v>
      </c>
      <c r="G53" s="45" t="n">
        <f aca="false">IF(AND(F53&gt;0,H53&gt;0),H53/F53,"")</f>
        <v>527</v>
      </c>
      <c r="H53" s="46" t="n">
        <f aca="false">O53+V53+AC53+AJ53</f>
        <v>25823</v>
      </c>
      <c r="I53" s="47" t="n">
        <f aca="false">P53+W53+AD53+AK53</f>
        <v>16709</v>
      </c>
      <c r="J53" s="46" t="n">
        <f aca="false">I53-H53</f>
        <v>-9114</v>
      </c>
      <c r="K53" s="48" t="n">
        <f aca="false">IF(H53&gt;0,J53/H53,"")</f>
        <v>-0.352941176470588</v>
      </c>
      <c r="L53" s="49" t="n">
        <f aca="false">IF(I$6=0,"",I53/I$6)</f>
        <v>0.00117643306785095</v>
      </c>
      <c r="M53" s="50" t="n">
        <f aca="false">SUMIFS('Vidushi Malhotra'!$D$7:$D$300,'Vidushi Malhotra'!$B$7:$B$300,$B53)</f>
        <v>0</v>
      </c>
      <c r="N53" s="51" t="str">
        <f aca="false">IF(AND(M53&gt;0,O53&gt;0),O53/M53,"")</f>
        <v/>
      </c>
      <c r="O53" s="8" t="n">
        <f aca="false">SUMIFS('Vidushi Malhotra'!$E$7:$E$300,'Vidushi Malhotra'!$B$7:$B$300,$B53)</f>
        <v>0</v>
      </c>
      <c r="P53" s="8" t="n">
        <f aca="false">SUMIFS('Vidushi Malhotra'!$H$7:$H$300,'Vidushi Malhotra'!$B$7:$B$300,$B53)</f>
        <v>0</v>
      </c>
      <c r="Q53" s="8" t="n">
        <f aca="false">P53-O53</f>
        <v>0</v>
      </c>
      <c r="R53" s="9" t="str">
        <f aca="false">IF(O53&gt;0,Q53/O53,"")</f>
        <v/>
      </c>
      <c r="S53" s="9" t="n">
        <f aca="false">IF(P$6=0,"",P53/P$6)</f>
        <v>0</v>
      </c>
      <c r="T53" s="50" t="n">
        <f aca="false">SUMIFS('Dr Umesh Choudhry'!$D$7:$D$300,'Dr Umesh Choudhry'!$B$7:$B$300,$B53)</f>
        <v>0</v>
      </c>
      <c r="U53" s="51" t="str">
        <f aca="false">IF(AND(T53&gt;0,V53&gt;0),V53/T53,"")</f>
        <v/>
      </c>
      <c r="V53" s="8" t="n">
        <f aca="false">SUMIFS('Dr Umesh Choudhry'!$E$7:$E$300,'Dr Umesh Choudhry'!$B$7:$B$300,$B53)</f>
        <v>0</v>
      </c>
      <c r="W53" s="8" t="n">
        <f aca="false">SUMIFS('Dr Umesh Choudhry'!$H$7:$H$300,'Dr Umesh Choudhry'!$B$7:$B$300,$B53)</f>
        <v>0</v>
      </c>
      <c r="X53" s="8" t="n">
        <f aca="false">W53-V53</f>
        <v>0</v>
      </c>
      <c r="Y53" s="9" t="str">
        <f aca="false">IF(V53&gt;0,X53/V53,"")</f>
        <v/>
      </c>
      <c r="Z53" s="9" t="n">
        <f aca="false">IF(W$6=0,"",W53/W$6)</f>
        <v>0</v>
      </c>
      <c r="AA53" s="50" t="n">
        <f aca="false">SUMIFS(Gautam!$D$7:$D$300,Gautam!$B$7:$B$300,$B53)</f>
        <v>0</v>
      </c>
      <c r="AB53" s="51" t="str">
        <f aca="false">IF(AND(AA53&gt;0,AC53&gt;0),AC53/AA53,"")</f>
        <v/>
      </c>
      <c r="AC53" s="8" t="n">
        <f aca="false">SUMIFS(Gautam!$E$7:$E$300,Gautam!$B$7:$B$300,$B53)</f>
        <v>0</v>
      </c>
      <c r="AD53" s="8" t="n">
        <f aca="false">SUMIFS(Gautam!$H$7:$H$300,Gautam!$B$7:$B$300,$B53)</f>
        <v>0</v>
      </c>
      <c r="AE53" s="8" t="n">
        <f aca="false">AD53-AC53</f>
        <v>0</v>
      </c>
      <c r="AF53" s="9" t="str">
        <f aca="false">IF(AC53&gt;0,AE53/AC53,"")</f>
        <v/>
      </c>
      <c r="AG53" s="9" t="n">
        <f aca="false">IF(AD$6=0,"",AD53/AD$6)</f>
        <v>0</v>
      </c>
      <c r="AH53" s="50" t="n">
        <f aca="false">SUMIFS(DA!$D$7:$D$300,DA!$B$7:$B$300,$B53)</f>
        <v>49</v>
      </c>
      <c r="AI53" s="51" t="n">
        <f aca="false">IF(AND(AH53&gt;0,AJ53&gt;0),AJ53/AH53,"")</f>
        <v>527</v>
      </c>
      <c r="AJ53" s="8" t="n">
        <f aca="false">SUMIFS(DA!$E$7:$E$300,DA!$B$7:$B$300,$B53)</f>
        <v>25823</v>
      </c>
      <c r="AK53" s="8" t="n">
        <f aca="false">SUMIFS(DA!$H$7:$H$300,DA!$B$7:$B$300,$B53)</f>
        <v>16709</v>
      </c>
      <c r="AL53" s="8" t="n">
        <f aca="false">AK53-AJ53</f>
        <v>-9114</v>
      </c>
      <c r="AM53" s="9" t="n">
        <f aca="false">IF(AJ53&gt;0,AL53/AJ53,"")</f>
        <v>-0.352941176470588</v>
      </c>
      <c r="AN53" s="9" t="n">
        <f aca="false">IF(AK$6=0,"",AK53/AK$6)</f>
        <v>0.00430873576849769</v>
      </c>
    </row>
    <row r="54" customFormat="false" ht="15" hidden="false" customHeight="false" outlineLevel="0" collapsed="false">
      <c r="A54" s="5" t="n">
        <v>48</v>
      </c>
      <c r="B54" s="41" t="s">
        <v>110</v>
      </c>
      <c r="C54" s="42" t="n">
        <f aca="false">IFERROR(INDEX(Prices!$C$6:$C$300,MATCH($B54,Prices!$A$6:$A$300,0)),"")</f>
        <v>65.8</v>
      </c>
      <c r="D54" s="43" t="str">
        <f aca="false">IFERROR(INDEX(Prices!$D$6:$D$300,MATCH($B54,Prices!$A$6:$A$300,0)),"")</f>
        <v>Close 08.10.2026 (Screener.in)</v>
      </c>
      <c r="E54" s="6" t="n">
        <f aca="false">(M54&gt;0)+(T54&gt;0)+(AA54&gt;0)+(AH54&gt;0)</f>
        <v>1</v>
      </c>
      <c r="F54" s="44" t="n">
        <f aca="false">M54+T54+AA54+AH54</f>
        <v>250</v>
      </c>
      <c r="G54" s="45" t="n">
        <f aca="false">IF(AND(F54&gt;0,H54&gt;0),H54/F54,"")</f>
        <v>77</v>
      </c>
      <c r="H54" s="46" t="n">
        <f aca="false">O54+V54+AC54+AJ54</f>
        <v>19250</v>
      </c>
      <c r="I54" s="47" t="n">
        <f aca="false">P54+W54+AD54+AK54</f>
        <v>16450</v>
      </c>
      <c r="J54" s="46" t="n">
        <f aca="false">I54-H54</f>
        <v>-2800</v>
      </c>
      <c r="K54" s="48" t="n">
        <f aca="false">IF(H54&gt;0,J54/H54,"")</f>
        <v>-0.145454545454545</v>
      </c>
      <c r="L54" s="49" t="n">
        <f aca="false">IF(I$6=0,"",I54/I$6)</f>
        <v>0.00115819761602418</v>
      </c>
      <c r="M54" s="50" t="n">
        <f aca="false">SUMIFS('Vidushi Malhotra'!$D$7:$D$300,'Vidushi Malhotra'!$B$7:$B$300,$B54)</f>
        <v>0</v>
      </c>
      <c r="N54" s="51" t="str">
        <f aca="false">IF(AND(M54&gt;0,O54&gt;0),O54/M54,"")</f>
        <v/>
      </c>
      <c r="O54" s="8" t="n">
        <f aca="false">SUMIFS('Vidushi Malhotra'!$E$7:$E$300,'Vidushi Malhotra'!$B$7:$B$300,$B54)</f>
        <v>0</v>
      </c>
      <c r="P54" s="8" t="n">
        <f aca="false">SUMIFS('Vidushi Malhotra'!$H$7:$H$300,'Vidushi Malhotra'!$B$7:$B$300,$B54)</f>
        <v>0</v>
      </c>
      <c r="Q54" s="8" t="n">
        <f aca="false">P54-O54</f>
        <v>0</v>
      </c>
      <c r="R54" s="9" t="str">
        <f aca="false">IF(O54&gt;0,Q54/O54,"")</f>
        <v/>
      </c>
      <c r="S54" s="9" t="n">
        <f aca="false">IF(P$6=0,"",P54/P$6)</f>
        <v>0</v>
      </c>
      <c r="T54" s="50" t="n">
        <f aca="false">SUMIFS('Dr Umesh Choudhry'!$D$7:$D$300,'Dr Umesh Choudhry'!$B$7:$B$300,$B54)</f>
        <v>0</v>
      </c>
      <c r="U54" s="51" t="str">
        <f aca="false">IF(AND(T54&gt;0,V54&gt;0),V54/T54,"")</f>
        <v/>
      </c>
      <c r="V54" s="8" t="n">
        <f aca="false">SUMIFS('Dr Umesh Choudhry'!$E$7:$E$300,'Dr Umesh Choudhry'!$B$7:$B$300,$B54)</f>
        <v>0</v>
      </c>
      <c r="W54" s="8" t="n">
        <f aca="false">SUMIFS('Dr Umesh Choudhry'!$H$7:$H$300,'Dr Umesh Choudhry'!$B$7:$B$300,$B54)</f>
        <v>0</v>
      </c>
      <c r="X54" s="8" t="n">
        <f aca="false">W54-V54</f>
        <v>0</v>
      </c>
      <c r="Y54" s="9" t="str">
        <f aca="false">IF(V54&gt;0,X54/V54,"")</f>
        <v/>
      </c>
      <c r="Z54" s="9" t="n">
        <f aca="false">IF(W$6=0,"",W54/W$6)</f>
        <v>0</v>
      </c>
      <c r="AA54" s="50" t="n">
        <f aca="false">SUMIFS(Gautam!$D$7:$D$300,Gautam!$B$7:$B$300,$B54)</f>
        <v>250</v>
      </c>
      <c r="AB54" s="51" t="n">
        <f aca="false">IF(AND(AA54&gt;0,AC54&gt;0),AC54/AA54,"")</f>
        <v>77</v>
      </c>
      <c r="AC54" s="8" t="n">
        <f aca="false">SUMIFS(Gautam!$E$7:$E$300,Gautam!$B$7:$B$300,$B54)</f>
        <v>19250</v>
      </c>
      <c r="AD54" s="8" t="n">
        <f aca="false">SUMIFS(Gautam!$H$7:$H$300,Gautam!$B$7:$B$300,$B54)</f>
        <v>16450</v>
      </c>
      <c r="AE54" s="8" t="n">
        <f aca="false">AD54-AC54</f>
        <v>-2800</v>
      </c>
      <c r="AF54" s="9" t="n">
        <f aca="false">IF(AC54&gt;0,AE54/AC54,"")</f>
        <v>-0.145454545454545</v>
      </c>
      <c r="AG54" s="9" t="n">
        <f aca="false">IF(AD$6=0,"",AD54/AD$6)</f>
        <v>0.00352046504756891</v>
      </c>
      <c r="AH54" s="50" t="n">
        <f aca="false">SUMIFS(DA!$D$7:$D$300,DA!$B$7:$B$300,$B54)</f>
        <v>0</v>
      </c>
      <c r="AI54" s="51" t="str">
        <f aca="false">IF(AND(AH54&gt;0,AJ54&gt;0),AJ54/AH54,"")</f>
        <v/>
      </c>
      <c r="AJ54" s="8" t="n">
        <f aca="false">SUMIFS(DA!$E$7:$E$300,DA!$B$7:$B$300,$B54)</f>
        <v>0</v>
      </c>
      <c r="AK54" s="8" t="n">
        <f aca="false">SUMIFS(DA!$H$7:$H$300,DA!$B$7:$B$300,$B54)</f>
        <v>0</v>
      </c>
      <c r="AL54" s="8" t="n">
        <f aca="false">AK54-AJ54</f>
        <v>0</v>
      </c>
      <c r="AM54" s="9" t="str">
        <f aca="false">IF(AJ54&gt;0,AL54/AJ54,"")</f>
        <v/>
      </c>
      <c r="AN54" s="9" t="n">
        <f aca="false">IF(AK$6=0,"",AK54/AK$6)</f>
        <v>0</v>
      </c>
    </row>
    <row r="55" customFormat="false" ht="15" hidden="false" customHeight="false" outlineLevel="0" collapsed="false">
      <c r="A55" s="5" t="n">
        <v>49</v>
      </c>
      <c r="B55" s="41" t="s">
        <v>111</v>
      </c>
      <c r="C55" s="42" t="n">
        <f aca="false">IFERROR(INDEX(Prices!$C$6:$C$300,MATCH($B55,Prices!$A$6:$A$300,0)),"")</f>
        <v>209.8</v>
      </c>
      <c r="D55" s="43" t="str">
        <f aca="false">IFERROR(INDEX(Prices!$D$6:$D$300,MATCH($B55,Prices!$A$6:$A$300,0)),"")</f>
        <v>Close 08.10.2026 (Screener.in)</v>
      </c>
      <c r="E55" s="6" t="n">
        <f aca="false">(M55&gt;0)+(T55&gt;0)+(AA55&gt;0)+(AH55&gt;0)</f>
        <v>1</v>
      </c>
      <c r="F55" s="44" t="n">
        <f aca="false">M55+T55+AA55+AH55</f>
        <v>78</v>
      </c>
      <c r="G55" s="45" t="n">
        <f aca="false">IF(AND(F55&gt;0,H55&gt;0),H55/F55,"")</f>
        <v>385</v>
      </c>
      <c r="H55" s="46" t="n">
        <f aca="false">O55+V55+AC55+AJ55</f>
        <v>30030</v>
      </c>
      <c r="I55" s="47" t="n">
        <f aca="false">P55+W55+AD55+AK55</f>
        <v>16364.4</v>
      </c>
      <c r="J55" s="46" t="n">
        <f aca="false">I55-H55</f>
        <v>-13665.6</v>
      </c>
      <c r="K55" s="48" t="n">
        <f aca="false">IF(H55&gt;0,J55/H55,"")</f>
        <v>-0.455064935064935</v>
      </c>
      <c r="L55" s="49" t="n">
        <f aca="false">IF(I$6=0,"",I55/I$6)</f>
        <v>0.00115217076399186</v>
      </c>
      <c r="M55" s="50" t="n">
        <f aca="false">SUMIFS('Vidushi Malhotra'!$D$7:$D$300,'Vidushi Malhotra'!$B$7:$B$300,$B55)</f>
        <v>0</v>
      </c>
      <c r="N55" s="51" t="str">
        <f aca="false">IF(AND(M55&gt;0,O55&gt;0),O55/M55,"")</f>
        <v/>
      </c>
      <c r="O55" s="8" t="n">
        <f aca="false">SUMIFS('Vidushi Malhotra'!$E$7:$E$300,'Vidushi Malhotra'!$B$7:$B$300,$B55)</f>
        <v>0</v>
      </c>
      <c r="P55" s="8" t="n">
        <f aca="false">SUMIFS('Vidushi Malhotra'!$H$7:$H$300,'Vidushi Malhotra'!$B$7:$B$300,$B55)</f>
        <v>0</v>
      </c>
      <c r="Q55" s="8" t="n">
        <f aca="false">P55-O55</f>
        <v>0</v>
      </c>
      <c r="R55" s="9" t="str">
        <f aca="false">IF(O55&gt;0,Q55/O55,"")</f>
        <v/>
      </c>
      <c r="S55" s="9" t="n">
        <f aca="false">IF(P$6=0,"",P55/P$6)</f>
        <v>0</v>
      </c>
      <c r="T55" s="50" t="n">
        <f aca="false">SUMIFS('Dr Umesh Choudhry'!$D$7:$D$300,'Dr Umesh Choudhry'!$B$7:$B$300,$B55)</f>
        <v>0</v>
      </c>
      <c r="U55" s="51" t="str">
        <f aca="false">IF(AND(T55&gt;0,V55&gt;0),V55/T55,"")</f>
        <v/>
      </c>
      <c r="V55" s="8" t="n">
        <f aca="false">SUMIFS('Dr Umesh Choudhry'!$E$7:$E$300,'Dr Umesh Choudhry'!$B$7:$B$300,$B55)</f>
        <v>0</v>
      </c>
      <c r="W55" s="8" t="n">
        <f aca="false">SUMIFS('Dr Umesh Choudhry'!$H$7:$H$300,'Dr Umesh Choudhry'!$B$7:$B$300,$B55)</f>
        <v>0</v>
      </c>
      <c r="X55" s="8" t="n">
        <f aca="false">W55-V55</f>
        <v>0</v>
      </c>
      <c r="Y55" s="9" t="str">
        <f aca="false">IF(V55&gt;0,X55/V55,"")</f>
        <v/>
      </c>
      <c r="Z55" s="9" t="n">
        <f aca="false">IF(W$6=0,"",W55/W$6)</f>
        <v>0</v>
      </c>
      <c r="AA55" s="50" t="n">
        <f aca="false">SUMIFS(Gautam!$D$7:$D$300,Gautam!$B$7:$B$300,$B55)</f>
        <v>0</v>
      </c>
      <c r="AB55" s="51" t="str">
        <f aca="false">IF(AND(AA55&gt;0,AC55&gt;0),AC55/AA55,"")</f>
        <v/>
      </c>
      <c r="AC55" s="8" t="n">
        <f aca="false">SUMIFS(Gautam!$E$7:$E$300,Gautam!$B$7:$B$300,$B55)</f>
        <v>0</v>
      </c>
      <c r="AD55" s="8" t="n">
        <f aca="false">SUMIFS(Gautam!$H$7:$H$300,Gautam!$B$7:$B$300,$B55)</f>
        <v>0</v>
      </c>
      <c r="AE55" s="8" t="n">
        <f aca="false">AD55-AC55</f>
        <v>0</v>
      </c>
      <c r="AF55" s="9" t="str">
        <f aca="false">IF(AC55&gt;0,AE55/AC55,"")</f>
        <v/>
      </c>
      <c r="AG55" s="9" t="n">
        <f aca="false">IF(AD$6=0,"",AD55/AD$6)</f>
        <v>0</v>
      </c>
      <c r="AH55" s="50" t="n">
        <f aca="false">SUMIFS(DA!$D$7:$D$300,DA!$B$7:$B$300,$B55)</f>
        <v>78</v>
      </c>
      <c r="AI55" s="51" t="n">
        <f aca="false">IF(AND(AH55&gt;0,AJ55&gt;0),AJ55/AH55,"")</f>
        <v>385</v>
      </c>
      <c r="AJ55" s="8" t="n">
        <f aca="false">SUMIFS(DA!$E$7:$E$300,DA!$B$7:$B$300,$B55)</f>
        <v>30030</v>
      </c>
      <c r="AK55" s="8" t="n">
        <f aca="false">SUMIFS(DA!$H$7:$H$300,DA!$B$7:$B$300,$B55)</f>
        <v>16364.4</v>
      </c>
      <c r="AL55" s="8" t="n">
        <f aca="false">AK55-AJ55</f>
        <v>-13665.6</v>
      </c>
      <c r="AM55" s="9" t="n">
        <f aca="false">IF(AJ55&gt;0,AL55/AJ55,"")</f>
        <v>-0.455064935064935</v>
      </c>
      <c r="AN55" s="9" t="n">
        <f aca="false">IF(AK$6=0,"",AK55/AK$6)</f>
        <v>0.00421987405649672</v>
      </c>
    </row>
    <row r="56" customFormat="false" ht="15" hidden="false" customHeight="false" outlineLevel="0" collapsed="false">
      <c r="A56" s="5" t="n">
        <v>50</v>
      </c>
      <c r="B56" s="41" t="s">
        <v>112</v>
      </c>
      <c r="C56" s="42" t="n">
        <f aca="false">IFERROR(INDEX(Prices!$C$6:$C$300,MATCH($B56,Prices!$A$6:$A$300,0)),"")</f>
        <v>240.9</v>
      </c>
      <c r="D56" s="43" t="str">
        <f aca="false">IFERROR(INDEX(Prices!$D$6:$D$300,MATCH($B56,Prices!$A$6:$A$300,0)),"")</f>
        <v>Close 08.10.2026 (Screener.in)</v>
      </c>
      <c r="E56" s="6" t="n">
        <f aca="false">(M56&gt;0)+(T56&gt;0)+(AA56&gt;0)+(AH56&gt;0)</f>
        <v>1</v>
      </c>
      <c r="F56" s="44" t="n">
        <f aca="false">M56+T56+AA56+AH56</f>
        <v>67</v>
      </c>
      <c r="G56" s="45" t="n">
        <f aca="false">IF(AND(F56&gt;0,H56&gt;0),H56/F56,"")</f>
        <v>420</v>
      </c>
      <c r="H56" s="46" t="n">
        <f aca="false">O56+V56+AC56+AJ56</f>
        <v>28140</v>
      </c>
      <c r="I56" s="47" t="n">
        <f aca="false">P56+W56+AD56+AK56</f>
        <v>16140.3</v>
      </c>
      <c r="J56" s="46" t="n">
        <f aca="false">I56-H56</f>
        <v>-11999.7</v>
      </c>
      <c r="K56" s="48" t="n">
        <f aca="false">IF(H56&gt;0,J56/H56,"")</f>
        <v>-0.426428571428571</v>
      </c>
      <c r="L56" s="49" t="n">
        <f aca="false">IF(I$6=0,"",I56/I$6)</f>
        <v>0.00113639252169697</v>
      </c>
      <c r="M56" s="50" t="n">
        <f aca="false">SUMIFS('Vidushi Malhotra'!$D$7:$D$300,'Vidushi Malhotra'!$B$7:$B$300,$B56)</f>
        <v>0</v>
      </c>
      <c r="N56" s="51" t="str">
        <f aca="false">IF(AND(M56&gt;0,O56&gt;0),O56/M56,"")</f>
        <v/>
      </c>
      <c r="O56" s="8" t="n">
        <f aca="false">SUMIFS('Vidushi Malhotra'!$E$7:$E$300,'Vidushi Malhotra'!$B$7:$B$300,$B56)</f>
        <v>0</v>
      </c>
      <c r="P56" s="8" t="n">
        <f aca="false">SUMIFS('Vidushi Malhotra'!$H$7:$H$300,'Vidushi Malhotra'!$B$7:$B$300,$B56)</f>
        <v>0</v>
      </c>
      <c r="Q56" s="8" t="n">
        <f aca="false">P56-O56</f>
        <v>0</v>
      </c>
      <c r="R56" s="9" t="str">
        <f aca="false">IF(O56&gt;0,Q56/O56,"")</f>
        <v/>
      </c>
      <c r="S56" s="9" t="n">
        <f aca="false">IF(P$6=0,"",P56/P$6)</f>
        <v>0</v>
      </c>
      <c r="T56" s="50" t="n">
        <f aca="false">SUMIFS('Dr Umesh Choudhry'!$D$7:$D$300,'Dr Umesh Choudhry'!$B$7:$B$300,$B56)</f>
        <v>0</v>
      </c>
      <c r="U56" s="51" t="str">
        <f aca="false">IF(AND(T56&gt;0,V56&gt;0),V56/T56,"")</f>
        <v/>
      </c>
      <c r="V56" s="8" t="n">
        <f aca="false">SUMIFS('Dr Umesh Choudhry'!$E$7:$E$300,'Dr Umesh Choudhry'!$B$7:$B$300,$B56)</f>
        <v>0</v>
      </c>
      <c r="W56" s="8" t="n">
        <f aca="false">SUMIFS('Dr Umesh Choudhry'!$H$7:$H$300,'Dr Umesh Choudhry'!$B$7:$B$300,$B56)</f>
        <v>0</v>
      </c>
      <c r="X56" s="8" t="n">
        <f aca="false">W56-V56</f>
        <v>0</v>
      </c>
      <c r="Y56" s="9" t="str">
        <f aca="false">IF(V56&gt;0,X56/V56,"")</f>
        <v/>
      </c>
      <c r="Z56" s="9" t="n">
        <f aca="false">IF(W$6=0,"",W56/W$6)</f>
        <v>0</v>
      </c>
      <c r="AA56" s="50" t="n">
        <f aca="false">SUMIFS(Gautam!$D$7:$D$300,Gautam!$B$7:$B$300,$B56)</f>
        <v>0</v>
      </c>
      <c r="AB56" s="51" t="str">
        <f aca="false">IF(AND(AA56&gt;0,AC56&gt;0),AC56/AA56,"")</f>
        <v/>
      </c>
      <c r="AC56" s="8" t="n">
        <f aca="false">SUMIFS(Gautam!$E$7:$E$300,Gautam!$B$7:$B$300,$B56)</f>
        <v>0</v>
      </c>
      <c r="AD56" s="8" t="n">
        <f aca="false">SUMIFS(Gautam!$H$7:$H$300,Gautam!$B$7:$B$300,$B56)</f>
        <v>0</v>
      </c>
      <c r="AE56" s="8" t="n">
        <f aca="false">AD56-AC56</f>
        <v>0</v>
      </c>
      <c r="AF56" s="9" t="str">
        <f aca="false">IF(AC56&gt;0,AE56/AC56,"")</f>
        <v/>
      </c>
      <c r="AG56" s="9" t="n">
        <f aca="false">IF(AD$6=0,"",AD56/AD$6)</f>
        <v>0</v>
      </c>
      <c r="AH56" s="50" t="n">
        <f aca="false">SUMIFS(DA!$D$7:$D$300,DA!$B$7:$B$300,$B56)</f>
        <v>67</v>
      </c>
      <c r="AI56" s="51" t="n">
        <f aca="false">IF(AND(AH56&gt;0,AJ56&gt;0),AJ56/AH56,"")</f>
        <v>420</v>
      </c>
      <c r="AJ56" s="8" t="n">
        <f aca="false">SUMIFS(DA!$E$7:$E$300,DA!$B$7:$B$300,$B56)</f>
        <v>28140</v>
      </c>
      <c r="AK56" s="8" t="n">
        <f aca="false">SUMIFS(DA!$H$7:$H$300,DA!$B$7:$B$300,$B56)</f>
        <v>16140.3</v>
      </c>
      <c r="AL56" s="8" t="n">
        <f aca="false">AK56-AJ56</f>
        <v>-11999.7</v>
      </c>
      <c r="AM56" s="9" t="n">
        <f aca="false">IF(AJ56&gt;0,AL56/AJ56,"")</f>
        <v>-0.426428571428571</v>
      </c>
      <c r="AN56" s="9" t="n">
        <f aca="false">IF(AK$6=0,"",AK56/AK$6)</f>
        <v>0.00416208557808866</v>
      </c>
    </row>
    <row r="57" customFormat="false" ht="15" hidden="false" customHeight="false" outlineLevel="0" collapsed="false">
      <c r="A57" s="5" t="n">
        <v>51</v>
      </c>
      <c r="B57" s="41" t="s">
        <v>113</v>
      </c>
      <c r="C57" s="42" t="n">
        <f aca="false">IFERROR(INDEX(Prices!$C$6:$C$300,MATCH($B57,Prices!$A$6:$A$300,0)),"")</f>
        <v>127</v>
      </c>
      <c r="D57" s="43" t="str">
        <f aca="false">IFERROR(INDEX(Prices!$D$6:$D$300,MATCH($B57,Prices!$A$6:$A$300,0)),"")</f>
        <v>Gautam stmt – 05.10</v>
      </c>
      <c r="E57" s="6" t="n">
        <f aca="false">(M57&gt;0)+(T57&gt;0)+(AA57&gt;0)+(AH57&gt;0)</f>
        <v>2</v>
      </c>
      <c r="F57" s="44" t="n">
        <f aca="false">M57+T57+AA57+AH57</f>
        <v>126</v>
      </c>
      <c r="G57" s="45" t="n">
        <f aca="false">IF(AND(F57&gt;0,H57&gt;0),H57/F57,"")</f>
        <v>125.785714285714</v>
      </c>
      <c r="H57" s="46" t="n">
        <f aca="false">O57+V57+AC57+AJ57</f>
        <v>15849</v>
      </c>
      <c r="I57" s="47" t="n">
        <f aca="false">P57+W57+AD57+AK57</f>
        <v>16002</v>
      </c>
      <c r="J57" s="46" t="n">
        <f aca="false">I57-H57</f>
        <v>153</v>
      </c>
      <c r="K57" s="48" t="n">
        <f aca="false">IF(H57&gt;0,J57/H57,"")</f>
        <v>0.00965360590573538</v>
      </c>
      <c r="L57" s="49" t="n">
        <f aca="false">IF(I$6=0,"",I57/I$6)</f>
        <v>0.00112665521286438</v>
      </c>
      <c r="M57" s="50" t="n">
        <f aca="false">SUMIFS('Vidushi Malhotra'!$D$7:$D$300,'Vidushi Malhotra'!$B$7:$B$300,$B57)</f>
        <v>0</v>
      </c>
      <c r="N57" s="51" t="str">
        <f aca="false">IF(AND(M57&gt;0,O57&gt;0),O57/M57,"")</f>
        <v/>
      </c>
      <c r="O57" s="8" t="n">
        <f aca="false">SUMIFS('Vidushi Malhotra'!$E$7:$E$300,'Vidushi Malhotra'!$B$7:$B$300,$B57)</f>
        <v>0</v>
      </c>
      <c r="P57" s="8" t="n">
        <f aca="false">SUMIFS('Vidushi Malhotra'!$H$7:$H$300,'Vidushi Malhotra'!$B$7:$B$300,$B57)</f>
        <v>0</v>
      </c>
      <c r="Q57" s="8" t="n">
        <f aca="false">P57-O57</f>
        <v>0</v>
      </c>
      <c r="R57" s="9" t="str">
        <f aca="false">IF(O57&gt;0,Q57/O57,"")</f>
        <v/>
      </c>
      <c r="S57" s="9" t="n">
        <f aca="false">IF(P$6=0,"",P57/P$6)</f>
        <v>0</v>
      </c>
      <c r="T57" s="50" t="n">
        <f aca="false">SUMIFS('Dr Umesh Choudhry'!$D$7:$D$300,'Dr Umesh Choudhry'!$B$7:$B$300,$B57)</f>
        <v>0</v>
      </c>
      <c r="U57" s="51" t="str">
        <f aca="false">IF(AND(T57&gt;0,V57&gt;0),V57/T57,"")</f>
        <v/>
      </c>
      <c r="V57" s="8" t="n">
        <f aca="false">SUMIFS('Dr Umesh Choudhry'!$E$7:$E$300,'Dr Umesh Choudhry'!$B$7:$B$300,$B57)</f>
        <v>0</v>
      </c>
      <c r="W57" s="8" t="n">
        <f aca="false">SUMIFS('Dr Umesh Choudhry'!$H$7:$H$300,'Dr Umesh Choudhry'!$B$7:$B$300,$B57)</f>
        <v>0</v>
      </c>
      <c r="X57" s="8" t="n">
        <f aca="false">W57-V57</f>
        <v>0</v>
      </c>
      <c r="Y57" s="9" t="str">
        <f aca="false">IF(V57&gt;0,X57/V57,"")</f>
        <v/>
      </c>
      <c r="Z57" s="9" t="n">
        <f aca="false">IF(W$6=0,"",W57/W$6)</f>
        <v>0</v>
      </c>
      <c r="AA57" s="50" t="n">
        <f aca="false">SUMIFS(Gautam!$D$7:$D$300,Gautam!$B$7:$B$300,$B57)</f>
        <v>27</v>
      </c>
      <c r="AB57" s="51" t="n">
        <f aca="false">IF(AND(AA57&gt;0,AC57&gt;0),AC57/AA57,"")</f>
        <v>136</v>
      </c>
      <c r="AC57" s="8" t="n">
        <f aca="false">SUMIFS(Gautam!$E$7:$E$300,Gautam!$B$7:$B$300,$B57)</f>
        <v>3672</v>
      </c>
      <c r="AD57" s="8" t="n">
        <f aca="false">SUMIFS(Gautam!$H$7:$H$300,Gautam!$B$7:$B$300,$B57)</f>
        <v>3429</v>
      </c>
      <c r="AE57" s="8" t="n">
        <f aca="false">AD57-AC57</f>
        <v>-243</v>
      </c>
      <c r="AF57" s="9" t="n">
        <f aca="false">IF(AC57&gt;0,AE57/AC57,"")</f>
        <v>-0.0661764705882353</v>
      </c>
      <c r="AG57" s="9" t="n">
        <f aca="false">IF(AD$6=0,"",AD57/AD$6)</f>
        <v>0.000733840404140656</v>
      </c>
      <c r="AH57" s="50" t="n">
        <f aca="false">SUMIFS(DA!$D$7:$D$300,DA!$B$7:$B$300,$B57)</f>
        <v>99</v>
      </c>
      <c r="AI57" s="51" t="n">
        <f aca="false">IF(AND(AH57&gt;0,AJ57&gt;0),AJ57/AH57,"")</f>
        <v>123</v>
      </c>
      <c r="AJ57" s="8" t="n">
        <f aca="false">SUMIFS(DA!$E$7:$E$300,DA!$B$7:$B$300,$B57)</f>
        <v>12177</v>
      </c>
      <c r="AK57" s="8" t="n">
        <f aca="false">SUMIFS(DA!$H$7:$H$300,DA!$B$7:$B$300,$B57)</f>
        <v>12573</v>
      </c>
      <c r="AL57" s="8" t="n">
        <f aca="false">AK57-AJ57</f>
        <v>396</v>
      </c>
      <c r="AM57" s="9" t="n">
        <f aca="false">IF(AJ57&gt;0,AL57/AJ57,"")</f>
        <v>0.032520325203252</v>
      </c>
      <c r="AN57" s="9" t="n">
        <f aca="false">IF(AK$6=0,"",AK57/AK$6)</f>
        <v>0.00324218892915923</v>
      </c>
    </row>
    <row r="58" customFormat="false" ht="15" hidden="false" customHeight="false" outlineLevel="0" collapsed="false">
      <c r="A58" s="5" t="n">
        <v>52</v>
      </c>
      <c r="B58" s="41" t="s">
        <v>114</v>
      </c>
      <c r="C58" s="42" t="n">
        <f aca="false">IFERROR(INDEX(Prices!$C$6:$C$300,MATCH($B58,Prices!$A$6:$A$300,0)),"")</f>
        <v>106.52</v>
      </c>
      <c r="D58" s="43" t="str">
        <f aca="false">IFERROR(INDEX(Prices!$D$6:$D$300,MATCH($B58,Prices!$A$6:$A$300,0)),"")</f>
        <v>Close 08.10.2026 (Screener.in)</v>
      </c>
      <c r="E58" s="6" t="n">
        <f aca="false">(M58&gt;0)+(T58&gt;0)+(AA58&gt;0)+(AH58&gt;0)</f>
        <v>1</v>
      </c>
      <c r="F58" s="44" t="n">
        <f aca="false">M58+T58+AA58+AH58</f>
        <v>150</v>
      </c>
      <c r="G58" s="45" t="n">
        <f aca="false">IF(AND(F58&gt;0,H58&gt;0),H58/F58,"")</f>
        <v>107</v>
      </c>
      <c r="H58" s="46" t="n">
        <f aca="false">O58+V58+AC58+AJ58</f>
        <v>16050</v>
      </c>
      <c r="I58" s="47" t="n">
        <f aca="false">P58+W58+AD58+AK58</f>
        <v>15978</v>
      </c>
      <c r="J58" s="46" t="n">
        <f aca="false">I58-H58</f>
        <v>-72</v>
      </c>
      <c r="K58" s="48" t="n">
        <f aca="false">IF(H58&gt;0,J58/H58,"")</f>
        <v>-0.00448598130841122</v>
      </c>
      <c r="L58" s="49" t="n">
        <f aca="false">IF(I$6=0,"",I58/I$6)</f>
        <v>0.00112496544126653</v>
      </c>
      <c r="M58" s="50" t="n">
        <f aca="false">SUMIFS('Vidushi Malhotra'!$D$7:$D$300,'Vidushi Malhotra'!$B$7:$B$300,$B58)</f>
        <v>0</v>
      </c>
      <c r="N58" s="51" t="str">
        <f aca="false">IF(AND(M58&gt;0,O58&gt;0),O58/M58,"")</f>
        <v/>
      </c>
      <c r="O58" s="8" t="n">
        <f aca="false">SUMIFS('Vidushi Malhotra'!$E$7:$E$300,'Vidushi Malhotra'!$B$7:$B$300,$B58)</f>
        <v>0</v>
      </c>
      <c r="P58" s="8" t="n">
        <f aca="false">SUMIFS('Vidushi Malhotra'!$H$7:$H$300,'Vidushi Malhotra'!$B$7:$B$300,$B58)</f>
        <v>0</v>
      </c>
      <c r="Q58" s="8" t="n">
        <f aca="false">P58-O58</f>
        <v>0</v>
      </c>
      <c r="R58" s="9" t="str">
        <f aca="false">IF(O58&gt;0,Q58/O58,"")</f>
        <v/>
      </c>
      <c r="S58" s="9" t="n">
        <f aca="false">IF(P$6=0,"",P58/P$6)</f>
        <v>0</v>
      </c>
      <c r="T58" s="50" t="n">
        <f aca="false">SUMIFS('Dr Umesh Choudhry'!$D$7:$D$300,'Dr Umesh Choudhry'!$B$7:$B$300,$B58)</f>
        <v>0</v>
      </c>
      <c r="U58" s="51" t="str">
        <f aca="false">IF(AND(T58&gt;0,V58&gt;0),V58/T58,"")</f>
        <v/>
      </c>
      <c r="V58" s="8" t="n">
        <f aca="false">SUMIFS('Dr Umesh Choudhry'!$E$7:$E$300,'Dr Umesh Choudhry'!$B$7:$B$300,$B58)</f>
        <v>0</v>
      </c>
      <c r="W58" s="8" t="n">
        <f aca="false">SUMIFS('Dr Umesh Choudhry'!$H$7:$H$300,'Dr Umesh Choudhry'!$B$7:$B$300,$B58)</f>
        <v>0</v>
      </c>
      <c r="X58" s="8" t="n">
        <f aca="false">W58-V58</f>
        <v>0</v>
      </c>
      <c r="Y58" s="9" t="str">
        <f aca="false">IF(V58&gt;0,X58/V58,"")</f>
        <v/>
      </c>
      <c r="Z58" s="9" t="n">
        <f aca="false">IF(W$6=0,"",W58/W$6)</f>
        <v>0</v>
      </c>
      <c r="AA58" s="50" t="n">
        <f aca="false">SUMIFS(Gautam!$D$7:$D$300,Gautam!$B$7:$B$300,$B58)</f>
        <v>150</v>
      </c>
      <c r="AB58" s="51" t="n">
        <f aca="false">IF(AND(AA58&gt;0,AC58&gt;0),AC58/AA58,"")</f>
        <v>107</v>
      </c>
      <c r="AC58" s="8" t="n">
        <f aca="false">SUMIFS(Gautam!$E$7:$E$300,Gautam!$B$7:$B$300,$B58)</f>
        <v>16050</v>
      </c>
      <c r="AD58" s="8" t="n">
        <f aca="false">SUMIFS(Gautam!$H$7:$H$300,Gautam!$B$7:$B$300,$B58)</f>
        <v>15978</v>
      </c>
      <c r="AE58" s="8" t="n">
        <f aca="false">AD58-AC58</f>
        <v>-72</v>
      </c>
      <c r="AF58" s="9" t="n">
        <f aca="false">IF(AC58&gt;0,AE58/AC58,"")</f>
        <v>-0.00448598130841122</v>
      </c>
      <c r="AG58" s="9" t="n">
        <f aca="false">IF(AD$6=0,"",AD58/AD$6)</f>
        <v>0.00341945231185751</v>
      </c>
      <c r="AH58" s="50" t="n">
        <f aca="false">SUMIFS(DA!$D$7:$D$300,DA!$B$7:$B$300,$B58)</f>
        <v>0</v>
      </c>
      <c r="AI58" s="51" t="str">
        <f aca="false">IF(AND(AH58&gt;0,AJ58&gt;0),AJ58/AH58,"")</f>
        <v/>
      </c>
      <c r="AJ58" s="8" t="n">
        <f aca="false">SUMIFS(DA!$E$7:$E$300,DA!$B$7:$B$300,$B58)</f>
        <v>0</v>
      </c>
      <c r="AK58" s="8" t="n">
        <f aca="false">SUMIFS(DA!$H$7:$H$300,DA!$B$7:$B$300,$B58)</f>
        <v>0</v>
      </c>
      <c r="AL58" s="8" t="n">
        <f aca="false">AK58-AJ58</f>
        <v>0</v>
      </c>
      <c r="AM58" s="9" t="str">
        <f aca="false">IF(AJ58&gt;0,AL58/AJ58,"")</f>
        <v/>
      </c>
      <c r="AN58" s="9" t="n">
        <f aca="false">IF(AK$6=0,"",AK58/AK$6)</f>
        <v>0</v>
      </c>
    </row>
    <row r="59" customFormat="false" ht="15" hidden="false" customHeight="false" outlineLevel="0" collapsed="false">
      <c r="A59" s="5" t="n">
        <v>53</v>
      </c>
      <c r="B59" s="41" t="s">
        <v>115</v>
      </c>
      <c r="C59" s="42" t="n">
        <f aca="false">IFERROR(INDEX(Prices!$C$6:$C$300,MATCH($B59,Prices!$A$6:$A$300,0)),"")</f>
        <v>295</v>
      </c>
      <c r="D59" s="43" t="str">
        <f aca="false">IFERROR(INDEX(Prices!$D$6:$D$300,MATCH($B59,Prices!$A$6:$A$300,0)),"")</f>
        <v>Close 08.10.2026 (Screener.in)</v>
      </c>
      <c r="E59" s="6" t="n">
        <f aca="false">(M59&gt;0)+(T59&gt;0)+(AA59&gt;0)+(AH59&gt;0)</f>
        <v>1</v>
      </c>
      <c r="F59" s="44" t="n">
        <f aca="false">M59+T59+AA59+AH59</f>
        <v>54</v>
      </c>
      <c r="G59" s="45" t="n">
        <f aca="false">IF(AND(F59&gt;0,H59&gt;0),H59/F59,"")</f>
        <v>510</v>
      </c>
      <c r="H59" s="46" t="n">
        <f aca="false">O59+V59+AC59+AJ59</f>
        <v>27540</v>
      </c>
      <c r="I59" s="47" t="n">
        <f aca="false">P59+W59+AD59+AK59</f>
        <v>15930</v>
      </c>
      <c r="J59" s="46" t="n">
        <f aca="false">I59-H59</f>
        <v>-11610</v>
      </c>
      <c r="K59" s="48" t="n">
        <f aca="false">IF(H59&gt;0,J59/H59,"")</f>
        <v>-0.42156862745098</v>
      </c>
      <c r="L59" s="49" t="n">
        <f aca="false">IF(I$6=0,"",I59/I$6)</f>
        <v>0.00112158589807084</v>
      </c>
      <c r="M59" s="50" t="n">
        <f aca="false">SUMIFS('Vidushi Malhotra'!$D$7:$D$300,'Vidushi Malhotra'!$B$7:$B$300,$B59)</f>
        <v>0</v>
      </c>
      <c r="N59" s="51" t="str">
        <f aca="false">IF(AND(M59&gt;0,O59&gt;0),O59/M59,"")</f>
        <v/>
      </c>
      <c r="O59" s="8" t="n">
        <f aca="false">SUMIFS('Vidushi Malhotra'!$E$7:$E$300,'Vidushi Malhotra'!$B$7:$B$300,$B59)</f>
        <v>0</v>
      </c>
      <c r="P59" s="8" t="n">
        <f aca="false">SUMIFS('Vidushi Malhotra'!$H$7:$H$300,'Vidushi Malhotra'!$B$7:$B$300,$B59)</f>
        <v>0</v>
      </c>
      <c r="Q59" s="8" t="n">
        <f aca="false">P59-O59</f>
        <v>0</v>
      </c>
      <c r="R59" s="9" t="str">
        <f aca="false">IF(O59&gt;0,Q59/O59,"")</f>
        <v/>
      </c>
      <c r="S59" s="9" t="n">
        <f aca="false">IF(P$6=0,"",P59/P$6)</f>
        <v>0</v>
      </c>
      <c r="T59" s="50" t="n">
        <f aca="false">SUMIFS('Dr Umesh Choudhry'!$D$7:$D$300,'Dr Umesh Choudhry'!$B$7:$B$300,$B59)</f>
        <v>0</v>
      </c>
      <c r="U59" s="51" t="str">
        <f aca="false">IF(AND(T59&gt;0,V59&gt;0),V59/T59,"")</f>
        <v/>
      </c>
      <c r="V59" s="8" t="n">
        <f aca="false">SUMIFS('Dr Umesh Choudhry'!$E$7:$E$300,'Dr Umesh Choudhry'!$B$7:$B$300,$B59)</f>
        <v>0</v>
      </c>
      <c r="W59" s="8" t="n">
        <f aca="false">SUMIFS('Dr Umesh Choudhry'!$H$7:$H$300,'Dr Umesh Choudhry'!$B$7:$B$300,$B59)</f>
        <v>0</v>
      </c>
      <c r="X59" s="8" t="n">
        <f aca="false">W59-V59</f>
        <v>0</v>
      </c>
      <c r="Y59" s="9" t="str">
        <f aca="false">IF(V59&gt;0,X59/V59,"")</f>
        <v/>
      </c>
      <c r="Z59" s="9" t="n">
        <f aca="false">IF(W$6=0,"",W59/W$6)</f>
        <v>0</v>
      </c>
      <c r="AA59" s="50" t="n">
        <f aca="false">SUMIFS(Gautam!$D$7:$D$300,Gautam!$B$7:$B$300,$B59)</f>
        <v>0</v>
      </c>
      <c r="AB59" s="51" t="str">
        <f aca="false">IF(AND(AA59&gt;0,AC59&gt;0),AC59/AA59,"")</f>
        <v/>
      </c>
      <c r="AC59" s="8" t="n">
        <f aca="false">SUMIFS(Gautam!$E$7:$E$300,Gautam!$B$7:$B$300,$B59)</f>
        <v>0</v>
      </c>
      <c r="AD59" s="8" t="n">
        <f aca="false">SUMIFS(Gautam!$H$7:$H$300,Gautam!$B$7:$B$300,$B59)</f>
        <v>0</v>
      </c>
      <c r="AE59" s="8" t="n">
        <f aca="false">AD59-AC59</f>
        <v>0</v>
      </c>
      <c r="AF59" s="9" t="str">
        <f aca="false">IF(AC59&gt;0,AE59/AC59,"")</f>
        <v/>
      </c>
      <c r="AG59" s="9" t="n">
        <f aca="false">IF(AD$6=0,"",AD59/AD$6)</f>
        <v>0</v>
      </c>
      <c r="AH59" s="50" t="n">
        <f aca="false">SUMIFS(DA!$D$7:$D$300,DA!$B$7:$B$300,$B59)</f>
        <v>54</v>
      </c>
      <c r="AI59" s="51" t="n">
        <f aca="false">IF(AND(AH59&gt;0,AJ59&gt;0),AJ59/AH59,"")</f>
        <v>510</v>
      </c>
      <c r="AJ59" s="8" t="n">
        <f aca="false">SUMIFS(DA!$E$7:$E$300,DA!$B$7:$B$300,$B59)</f>
        <v>27540</v>
      </c>
      <c r="AK59" s="8" t="n">
        <f aca="false">SUMIFS(DA!$H$7:$H$300,DA!$B$7:$B$300,$B59)</f>
        <v>15930</v>
      </c>
      <c r="AL59" s="8" t="n">
        <f aca="false">AK59-AJ59</f>
        <v>-11610</v>
      </c>
      <c r="AM59" s="9" t="n">
        <f aca="false">IF(AJ59&gt;0,AL59/AJ59,"")</f>
        <v>-0.42156862745098</v>
      </c>
      <c r="AN59" s="9" t="n">
        <f aca="false">IF(AK$6=0,"",AK59/AK$6)</f>
        <v>0.00410785569406717</v>
      </c>
    </row>
    <row r="60" customFormat="false" ht="15" hidden="false" customHeight="false" outlineLevel="0" collapsed="false">
      <c r="A60" s="5" t="n">
        <v>54</v>
      </c>
      <c r="B60" s="41" t="s">
        <v>116</v>
      </c>
      <c r="C60" s="42" t="n">
        <f aca="false">IFERROR(INDEX(Prices!$C$6:$C$300,MATCH($B60,Prices!$A$6:$A$300,0)),"")</f>
        <v>330.25</v>
      </c>
      <c r="D60" s="43" t="str">
        <f aca="false">IFERROR(INDEX(Prices!$D$6:$D$300,MATCH($B60,Prices!$A$6:$A$300,0)),"")</f>
        <v>Close 08.10.2026 (Screener.in)</v>
      </c>
      <c r="E60" s="6" t="n">
        <f aca="false">(M60&gt;0)+(T60&gt;0)+(AA60&gt;0)+(AH60&gt;0)</f>
        <v>1</v>
      </c>
      <c r="F60" s="44" t="n">
        <f aca="false">M60+T60+AA60+AH60</f>
        <v>48</v>
      </c>
      <c r="G60" s="45" t="n">
        <f aca="false">IF(AND(F60&gt;0,H60&gt;0),H60/F60,"")</f>
        <v>404</v>
      </c>
      <c r="H60" s="46" t="n">
        <f aca="false">O60+V60+AC60+AJ60</f>
        <v>19392</v>
      </c>
      <c r="I60" s="47" t="n">
        <f aca="false">P60+W60+AD60+AK60</f>
        <v>15852</v>
      </c>
      <c r="J60" s="46" t="n">
        <f aca="false">I60-H60</f>
        <v>-3540</v>
      </c>
      <c r="K60" s="48" t="n">
        <f aca="false">IF(H60&gt;0,J60/H60,"")</f>
        <v>-0.182549504950495</v>
      </c>
      <c r="L60" s="49" t="n">
        <f aca="false">IF(I$6=0,"",I60/I$6)</f>
        <v>0.00111609414037783</v>
      </c>
      <c r="M60" s="50" t="n">
        <f aca="false">SUMIFS('Vidushi Malhotra'!$D$7:$D$300,'Vidushi Malhotra'!$B$7:$B$300,$B60)</f>
        <v>0</v>
      </c>
      <c r="N60" s="51" t="str">
        <f aca="false">IF(AND(M60&gt;0,O60&gt;0),O60/M60,"")</f>
        <v/>
      </c>
      <c r="O60" s="8" t="n">
        <f aca="false">SUMIFS('Vidushi Malhotra'!$E$7:$E$300,'Vidushi Malhotra'!$B$7:$B$300,$B60)</f>
        <v>0</v>
      </c>
      <c r="P60" s="8" t="n">
        <f aca="false">SUMIFS('Vidushi Malhotra'!$H$7:$H$300,'Vidushi Malhotra'!$B$7:$B$300,$B60)</f>
        <v>0</v>
      </c>
      <c r="Q60" s="8" t="n">
        <f aca="false">P60-O60</f>
        <v>0</v>
      </c>
      <c r="R60" s="9" t="str">
        <f aca="false">IF(O60&gt;0,Q60/O60,"")</f>
        <v/>
      </c>
      <c r="S60" s="9" t="n">
        <f aca="false">IF(P$6=0,"",P60/P$6)</f>
        <v>0</v>
      </c>
      <c r="T60" s="50" t="n">
        <f aca="false">SUMIFS('Dr Umesh Choudhry'!$D$7:$D$300,'Dr Umesh Choudhry'!$B$7:$B$300,$B60)</f>
        <v>0</v>
      </c>
      <c r="U60" s="51" t="str">
        <f aca="false">IF(AND(T60&gt;0,V60&gt;0),V60/T60,"")</f>
        <v/>
      </c>
      <c r="V60" s="8" t="n">
        <f aca="false">SUMIFS('Dr Umesh Choudhry'!$E$7:$E$300,'Dr Umesh Choudhry'!$B$7:$B$300,$B60)</f>
        <v>0</v>
      </c>
      <c r="W60" s="8" t="n">
        <f aca="false">SUMIFS('Dr Umesh Choudhry'!$H$7:$H$300,'Dr Umesh Choudhry'!$B$7:$B$300,$B60)</f>
        <v>0</v>
      </c>
      <c r="X60" s="8" t="n">
        <f aca="false">W60-V60</f>
        <v>0</v>
      </c>
      <c r="Y60" s="9" t="str">
        <f aca="false">IF(V60&gt;0,X60/V60,"")</f>
        <v/>
      </c>
      <c r="Z60" s="9" t="n">
        <f aca="false">IF(W$6=0,"",W60/W$6)</f>
        <v>0</v>
      </c>
      <c r="AA60" s="50" t="n">
        <f aca="false">SUMIFS(Gautam!$D$7:$D$300,Gautam!$B$7:$B$300,$B60)</f>
        <v>0</v>
      </c>
      <c r="AB60" s="51" t="str">
        <f aca="false">IF(AND(AA60&gt;0,AC60&gt;0),AC60/AA60,"")</f>
        <v/>
      </c>
      <c r="AC60" s="8" t="n">
        <f aca="false">SUMIFS(Gautam!$E$7:$E$300,Gautam!$B$7:$B$300,$B60)</f>
        <v>0</v>
      </c>
      <c r="AD60" s="8" t="n">
        <f aca="false">SUMIFS(Gautam!$H$7:$H$300,Gautam!$B$7:$B$300,$B60)</f>
        <v>0</v>
      </c>
      <c r="AE60" s="8" t="n">
        <f aca="false">AD60-AC60</f>
        <v>0</v>
      </c>
      <c r="AF60" s="9" t="str">
        <f aca="false">IF(AC60&gt;0,AE60/AC60,"")</f>
        <v/>
      </c>
      <c r="AG60" s="9" t="n">
        <f aca="false">IF(AD$6=0,"",AD60/AD$6)</f>
        <v>0</v>
      </c>
      <c r="AH60" s="50" t="n">
        <f aca="false">SUMIFS(DA!$D$7:$D$300,DA!$B$7:$B$300,$B60)</f>
        <v>48</v>
      </c>
      <c r="AI60" s="51" t="n">
        <f aca="false">IF(AND(AH60&gt;0,AJ60&gt;0),AJ60/AH60,"")</f>
        <v>404</v>
      </c>
      <c r="AJ60" s="8" t="n">
        <f aca="false">SUMIFS(DA!$E$7:$E$300,DA!$B$7:$B$300,$B60)</f>
        <v>19392</v>
      </c>
      <c r="AK60" s="8" t="n">
        <f aca="false">SUMIFS(DA!$H$7:$H$300,DA!$B$7:$B$300,$B60)</f>
        <v>15852</v>
      </c>
      <c r="AL60" s="8" t="n">
        <f aca="false">AK60-AJ60</f>
        <v>-3540</v>
      </c>
      <c r="AM60" s="9" t="n">
        <f aca="false">IF(AJ60&gt;0,AL60/AJ60,"")</f>
        <v>-0.182549504950495</v>
      </c>
      <c r="AN60" s="9" t="n">
        <f aca="false">IF(AK$6=0,"",AK60/AK$6)</f>
        <v>0.00408774189970827</v>
      </c>
    </row>
    <row r="61" customFormat="false" ht="15" hidden="false" customHeight="false" outlineLevel="0" collapsed="false">
      <c r="A61" s="5" t="n">
        <v>55</v>
      </c>
      <c r="B61" s="41" t="s">
        <v>117</v>
      </c>
      <c r="C61" s="42" t="n">
        <f aca="false">IFERROR(INDEX(Prices!$C$6:$C$300,MATCH($B61,Prices!$A$6:$A$300,0)),"")</f>
        <v>103.75</v>
      </c>
      <c r="D61" s="43" t="str">
        <f aca="false">IFERROR(INDEX(Prices!$D$6:$D$300,MATCH($B61,Prices!$A$6:$A$300,0)),"")</f>
        <v>Close 08.10.2026 (Screener.in)</v>
      </c>
      <c r="E61" s="6" t="n">
        <f aca="false">(M61&gt;0)+(T61&gt;0)+(AA61&gt;0)+(AH61&gt;0)</f>
        <v>1</v>
      </c>
      <c r="F61" s="44" t="n">
        <f aca="false">M61+T61+AA61+AH61</f>
        <v>150</v>
      </c>
      <c r="G61" s="45" t="n">
        <f aca="false">IF(AND(F61&gt;0,H61&gt;0),H61/F61,"")</f>
        <v>160</v>
      </c>
      <c r="H61" s="46" t="n">
        <f aca="false">O61+V61+AC61+AJ61</f>
        <v>24000</v>
      </c>
      <c r="I61" s="47" t="n">
        <f aca="false">P61+W61+AD61+AK61</f>
        <v>15562.5</v>
      </c>
      <c r="J61" s="46" t="n">
        <f aca="false">I61-H61</f>
        <v>-8437.5</v>
      </c>
      <c r="K61" s="48" t="n">
        <f aca="false">IF(H61&gt;0,J61/H61,"")</f>
        <v>-0.3515625</v>
      </c>
      <c r="L61" s="49" t="n">
        <f aca="false">IF(I$6=0,"",I61/I$6)</f>
        <v>0.00109571127047881</v>
      </c>
      <c r="M61" s="50" t="n">
        <f aca="false">SUMIFS('Vidushi Malhotra'!$D$7:$D$300,'Vidushi Malhotra'!$B$7:$B$300,$B61)</f>
        <v>0</v>
      </c>
      <c r="N61" s="51" t="str">
        <f aca="false">IF(AND(M61&gt;0,O61&gt;0),O61/M61,"")</f>
        <v/>
      </c>
      <c r="O61" s="8" t="n">
        <f aca="false">SUMIFS('Vidushi Malhotra'!$E$7:$E$300,'Vidushi Malhotra'!$B$7:$B$300,$B61)</f>
        <v>0</v>
      </c>
      <c r="P61" s="8" t="n">
        <f aca="false">SUMIFS('Vidushi Malhotra'!$H$7:$H$300,'Vidushi Malhotra'!$B$7:$B$300,$B61)</f>
        <v>0</v>
      </c>
      <c r="Q61" s="8" t="n">
        <f aca="false">P61-O61</f>
        <v>0</v>
      </c>
      <c r="R61" s="9" t="str">
        <f aca="false">IF(O61&gt;0,Q61/O61,"")</f>
        <v/>
      </c>
      <c r="S61" s="9" t="n">
        <f aca="false">IF(P$6=0,"",P61/P$6)</f>
        <v>0</v>
      </c>
      <c r="T61" s="50" t="n">
        <f aca="false">SUMIFS('Dr Umesh Choudhry'!$D$7:$D$300,'Dr Umesh Choudhry'!$B$7:$B$300,$B61)</f>
        <v>0</v>
      </c>
      <c r="U61" s="51" t="str">
        <f aca="false">IF(AND(T61&gt;0,V61&gt;0),V61/T61,"")</f>
        <v/>
      </c>
      <c r="V61" s="8" t="n">
        <f aca="false">SUMIFS('Dr Umesh Choudhry'!$E$7:$E$300,'Dr Umesh Choudhry'!$B$7:$B$300,$B61)</f>
        <v>0</v>
      </c>
      <c r="W61" s="8" t="n">
        <f aca="false">SUMIFS('Dr Umesh Choudhry'!$H$7:$H$300,'Dr Umesh Choudhry'!$B$7:$B$300,$B61)</f>
        <v>0</v>
      </c>
      <c r="X61" s="8" t="n">
        <f aca="false">W61-V61</f>
        <v>0</v>
      </c>
      <c r="Y61" s="9" t="str">
        <f aca="false">IF(V61&gt;0,X61/V61,"")</f>
        <v/>
      </c>
      <c r="Z61" s="9" t="n">
        <f aca="false">IF(W$6=0,"",W61/W$6)</f>
        <v>0</v>
      </c>
      <c r="AA61" s="50" t="n">
        <f aca="false">SUMIFS(Gautam!$D$7:$D$300,Gautam!$B$7:$B$300,$B61)</f>
        <v>0</v>
      </c>
      <c r="AB61" s="51" t="str">
        <f aca="false">IF(AND(AA61&gt;0,AC61&gt;0),AC61/AA61,"")</f>
        <v/>
      </c>
      <c r="AC61" s="8" t="n">
        <f aca="false">SUMIFS(Gautam!$E$7:$E$300,Gautam!$B$7:$B$300,$B61)</f>
        <v>0</v>
      </c>
      <c r="AD61" s="8" t="n">
        <f aca="false">SUMIFS(Gautam!$H$7:$H$300,Gautam!$B$7:$B$300,$B61)</f>
        <v>0</v>
      </c>
      <c r="AE61" s="8" t="n">
        <f aca="false">AD61-AC61</f>
        <v>0</v>
      </c>
      <c r="AF61" s="9" t="str">
        <f aca="false">IF(AC61&gt;0,AE61/AC61,"")</f>
        <v/>
      </c>
      <c r="AG61" s="9" t="n">
        <f aca="false">IF(AD$6=0,"",AD61/AD$6)</f>
        <v>0</v>
      </c>
      <c r="AH61" s="50" t="n">
        <f aca="false">SUMIFS(DA!$D$7:$D$300,DA!$B$7:$B$300,$B61)</f>
        <v>150</v>
      </c>
      <c r="AI61" s="51" t="n">
        <f aca="false">IF(AND(AH61&gt;0,AJ61&gt;0),AJ61/AH61,"")</f>
        <v>160</v>
      </c>
      <c r="AJ61" s="8" t="n">
        <f aca="false">SUMIFS(DA!$E$7:$E$300,DA!$B$7:$B$300,$B61)</f>
        <v>24000</v>
      </c>
      <c r="AK61" s="8" t="n">
        <f aca="false">SUMIFS(DA!$H$7:$H$300,DA!$B$7:$B$300,$B61)</f>
        <v>15562.5</v>
      </c>
      <c r="AL61" s="8" t="n">
        <f aca="false">AK61-AJ61</f>
        <v>-8437.5</v>
      </c>
      <c r="AM61" s="9" t="n">
        <f aca="false">IF(AJ61&gt;0,AL61/AJ61,"")</f>
        <v>-0.3515625</v>
      </c>
      <c r="AN61" s="9" t="n">
        <f aca="false">IF(AK$6=0,"",AK61/AK$6)</f>
        <v>0.00401308877833775</v>
      </c>
    </row>
    <row r="62" customFormat="false" ht="15" hidden="false" customHeight="false" outlineLevel="0" collapsed="false">
      <c r="A62" s="5" t="n">
        <v>56</v>
      </c>
      <c r="B62" s="41" t="s">
        <v>118</v>
      </c>
      <c r="C62" s="42" t="n">
        <f aca="false">IFERROR(INDEX(Prices!$C$6:$C$300,MATCH($B62,Prices!$A$6:$A$300,0)),"")</f>
        <v>121</v>
      </c>
      <c r="D62" s="43" t="str">
        <f aca="false">IFERROR(INDEX(Prices!$D$6:$D$300,MATCH($B62,Prices!$A$6:$A$300,0)),"")</f>
        <v>Vidushi stmt – LTP 05.10</v>
      </c>
      <c r="E62" s="6" t="n">
        <f aca="false">(M62&gt;0)+(T62&gt;0)+(AA62&gt;0)+(AH62&gt;0)</f>
        <v>2</v>
      </c>
      <c r="F62" s="44" t="n">
        <f aca="false">M62+T62+AA62+AH62</f>
        <v>122</v>
      </c>
      <c r="G62" s="45" t="n">
        <f aca="false">IF(AND(F62&gt;0,H62&gt;0),H62/F62,"")</f>
        <v>109.614754098361</v>
      </c>
      <c r="H62" s="46" t="n">
        <f aca="false">O62+V62+AC62+AJ62</f>
        <v>13373</v>
      </c>
      <c r="I62" s="47" t="n">
        <f aca="false">P62+W62+AD62+AK62</f>
        <v>14762</v>
      </c>
      <c r="J62" s="46" t="n">
        <f aca="false">I62-H62</f>
        <v>1389</v>
      </c>
      <c r="K62" s="48" t="n">
        <f aca="false">IF(H62&gt;0,J62/H62,"")</f>
        <v>0.103865998654004</v>
      </c>
      <c r="L62" s="49" t="n">
        <f aca="false">IF(I$6=0,"",I62/I$6)</f>
        <v>0.00103935034697562</v>
      </c>
      <c r="M62" s="50" t="n">
        <f aca="false">SUMIFS('Vidushi Malhotra'!$D$7:$D$300,'Vidushi Malhotra'!$B$7:$B$300,$B62)</f>
        <v>1</v>
      </c>
      <c r="N62" s="51" t="n">
        <f aca="false">IF(AND(M62&gt;0,O62&gt;0),O62/M62,"")</f>
        <v>63</v>
      </c>
      <c r="O62" s="8" t="n">
        <f aca="false">SUMIFS('Vidushi Malhotra'!$E$7:$E$300,'Vidushi Malhotra'!$B$7:$B$300,$B62)</f>
        <v>63</v>
      </c>
      <c r="P62" s="8" t="n">
        <f aca="false">SUMIFS('Vidushi Malhotra'!$H$7:$H$300,'Vidushi Malhotra'!$B$7:$B$300,$B62)</f>
        <v>121</v>
      </c>
      <c r="Q62" s="8" t="n">
        <f aca="false">P62-O62</f>
        <v>58</v>
      </c>
      <c r="R62" s="9" t="n">
        <f aca="false">IF(O62&gt;0,Q62/O62,"")</f>
        <v>0.920634920634921</v>
      </c>
      <c r="S62" s="9" t="n">
        <f aca="false">IF(P$6=0,"",P62/P$6)</f>
        <v>0.000537772423954535</v>
      </c>
      <c r="T62" s="50" t="n">
        <f aca="false">SUMIFS('Dr Umesh Choudhry'!$D$7:$D$300,'Dr Umesh Choudhry'!$B$7:$B$300,$B62)</f>
        <v>0</v>
      </c>
      <c r="U62" s="51" t="str">
        <f aca="false">IF(AND(T62&gt;0,V62&gt;0),V62/T62,"")</f>
        <v/>
      </c>
      <c r="V62" s="8" t="n">
        <f aca="false">SUMIFS('Dr Umesh Choudhry'!$E$7:$E$300,'Dr Umesh Choudhry'!$B$7:$B$300,$B62)</f>
        <v>0</v>
      </c>
      <c r="W62" s="8" t="n">
        <f aca="false">SUMIFS('Dr Umesh Choudhry'!$H$7:$H$300,'Dr Umesh Choudhry'!$B$7:$B$300,$B62)</f>
        <v>0</v>
      </c>
      <c r="X62" s="8" t="n">
        <f aca="false">W62-V62</f>
        <v>0</v>
      </c>
      <c r="Y62" s="9" t="str">
        <f aca="false">IF(V62&gt;0,X62/V62,"")</f>
        <v/>
      </c>
      <c r="Z62" s="9" t="n">
        <f aca="false">IF(W$6=0,"",W62/W$6)</f>
        <v>0</v>
      </c>
      <c r="AA62" s="50" t="n">
        <f aca="false">SUMIFS(Gautam!$D$7:$D$300,Gautam!$B$7:$B$300,$B62)</f>
        <v>121</v>
      </c>
      <c r="AB62" s="51" t="n">
        <f aca="false">IF(AND(AA62&gt;0,AC62&gt;0),AC62/AA62,"")</f>
        <v>110</v>
      </c>
      <c r="AC62" s="8" t="n">
        <f aca="false">SUMIFS(Gautam!$E$7:$E$300,Gautam!$B$7:$B$300,$B62)</f>
        <v>13310</v>
      </c>
      <c r="AD62" s="8" t="n">
        <f aca="false">SUMIFS(Gautam!$H$7:$H$300,Gautam!$B$7:$B$300,$B62)</f>
        <v>14641</v>
      </c>
      <c r="AE62" s="8" t="n">
        <f aca="false">AD62-AC62</f>
        <v>1331</v>
      </c>
      <c r="AF62" s="9" t="n">
        <f aca="false">IF(AC62&gt;0,AE62/AC62,"")</f>
        <v>0.1</v>
      </c>
      <c r="AG62" s="9" t="n">
        <f aca="false">IF(AD$6=0,"",AD62/AD$6)</f>
        <v>0.00313332089735297</v>
      </c>
      <c r="AH62" s="50" t="n">
        <f aca="false">SUMIFS(DA!$D$7:$D$300,DA!$B$7:$B$300,$B62)</f>
        <v>0</v>
      </c>
      <c r="AI62" s="51" t="str">
        <f aca="false">IF(AND(AH62&gt;0,AJ62&gt;0),AJ62/AH62,"")</f>
        <v/>
      </c>
      <c r="AJ62" s="8" t="n">
        <f aca="false">SUMIFS(DA!$E$7:$E$300,DA!$B$7:$B$300,$B62)</f>
        <v>0</v>
      </c>
      <c r="AK62" s="8" t="n">
        <f aca="false">SUMIFS(DA!$H$7:$H$300,DA!$B$7:$B$300,$B62)</f>
        <v>0</v>
      </c>
      <c r="AL62" s="8" t="n">
        <f aca="false">AK62-AJ62</f>
        <v>0</v>
      </c>
      <c r="AM62" s="9" t="str">
        <f aca="false">IF(AJ62&gt;0,AL62/AJ62,"")</f>
        <v/>
      </c>
      <c r="AN62" s="9" t="n">
        <f aca="false">IF(AK$6=0,"",AK62/AK$6)</f>
        <v>0</v>
      </c>
    </row>
    <row r="63" customFormat="false" ht="15" hidden="false" customHeight="false" outlineLevel="0" collapsed="false">
      <c r="A63" s="5" t="n">
        <v>57</v>
      </c>
      <c r="B63" s="41" t="s">
        <v>119</v>
      </c>
      <c r="C63" s="42" t="n">
        <f aca="false">IFERROR(INDEX(Prices!$C$6:$C$300,MATCH($B63,Prices!$A$6:$A$300,0)),"")</f>
        <v>426.65</v>
      </c>
      <c r="D63" s="43" t="str">
        <f aca="false">IFERROR(INDEX(Prices!$D$6:$D$300,MATCH($B63,Prices!$A$6:$A$300,0)),"")</f>
        <v>Close 08.10.2026 (Screener.in)</v>
      </c>
      <c r="E63" s="6" t="n">
        <f aca="false">(M63&gt;0)+(T63&gt;0)+(AA63&gt;0)+(AH63&gt;0)</f>
        <v>1</v>
      </c>
      <c r="F63" s="44" t="n">
        <f aca="false">M63+T63+AA63+AH63</f>
        <v>33</v>
      </c>
      <c r="G63" s="45" t="n">
        <f aca="false">IF(AND(F63&gt;0,H63&gt;0),H63/F63,"")</f>
        <v>542</v>
      </c>
      <c r="H63" s="46" t="n">
        <f aca="false">O63+V63+AC63+AJ63</f>
        <v>17886</v>
      </c>
      <c r="I63" s="47" t="n">
        <f aca="false">P63+W63+AD63+AK63</f>
        <v>14079.45</v>
      </c>
      <c r="J63" s="46" t="n">
        <f aca="false">I63-H63</f>
        <v>-3806.55</v>
      </c>
      <c r="K63" s="48" t="n">
        <f aca="false">IF(H63&gt;0,J63/H63,"")</f>
        <v>-0.212822878228782</v>
      </c>
      <c r="L63" s="49" t="n">
        <f aca="false">IF(I$6=0,"",I63/I$6)</f>
        <v>0.000991293946804358</v>
      </c>
      <c r="M63" s="50" t="n">
        <f aca="false">SUMIFS('Vidushi Malhotra'!$D$7:$D$300,'Vidushi Malhotra'!$B$7:$B$300,$B63)</f>
        <v>0</v>
      </c>
      <c r="N63" s="51" t="str">
        <f aca="false">IF(AND(M63&gt;0,O63&gt;0),O63/M63,"")</f>
        <v/>
      </c>
      <c r="O63" s="8" t="n">
        <f aca="false">SUMIFS('Vidushi Malhotra'!$E$7:$E$300,'Vidushi Malhotra'!$B$7:$B$300,$B63)</f>
        <v>0</v>
      </c>
      <c r="P63" s="8" t="n">
        <f aca="false">SUMIFS('Vidushi Malhotra'!$H$7:$H$300,'Vidushi Malhotra'!$B$7:$B$300,$B63)</f>
        <v>0</v>
      </c>
      <c r="Q63" s="8" t="n">
        <f aca="false">P63-O63</f>
        <v>0</v>
      </c>
      <c r="R63" s="9" t="str">
        <f aca="false">IF(O63&gt;0,Q63/O63,"")</f>
        <v/>
      </c>
      <c r="S63" s="9" t="n">
        <f aca="false">IF(P$6=0,"",P63/P$6)</f>
        <v>0</v>
      </c>
      <c r="T63" s="50" t="n">
        <f aca="false">SUMIFS('Dr Umesh Choudhry'!$D$7:$D$300,'Dr Umesh Choudhry'!$B$7:$B$300,$B63)</f>
        <v>0</v>
      </c>
      <c r="U63" s="51" t="str">
        <f aca="false">IF(AND(T63&gt;0,V63&gt;0),V63/T63,"")</f>
        <v/>
      </c>
      <c r="V63" s="8" t="n">
        <f aca="false">SUMIFS('Dr Umesh Choudhry'!$E$7:$E$300,'Dr Umesh Choudhry'!$B$7:$B$300,$B63)</f>
        <v>0</v>
      </c>
      <c r="W63" s="8" t="n">
        <f aca="false">SUMIFS('Dr Umesh Choudhry'!$H$7:$H$300,'Dr Umesh Choudhry'!$B$7:$B$300,$B63)</f>
        <v>0</v>
      </c>
      <c r="X63" s="8" t="n">
        <f aca="false">W63-V63</f>
        <v>0</v>
      </c>
      <c r="Y63" s="9" t="str">
        <f aca="false">IF(V63&gt;0,X63/V63,"")</f>
        <v/>
      </c>
      <c r="Z63" s="9" t="n">
        <f aca="false">IF(W$6=0,"",W63/W$6)</f>
        <v>0</v>
      </c>
      <c r="AA63" s="50" t="n">
        <f aca="false">SUMIFS(Gautam!$D$7:$D$300,Gautam!$B$7:$B$300,$B63)</f>
        <v>0</v>
      </c>
      <c r="AB63" s="51" t="str">
        <f aca="false">IF(AND(AA63&gt;0,AC63&gt;0),AC63/AA63,"")</f>
        <v/>
      </c>
      <c r="AC63" s="8" t="n">
        <f aca="false">SUMIFS(Gautam!$E$7:$E$300,Gautam!$B$7:$B$300,$B63)</f>
        <v>0</v>
      </c>
      <c r="AD63" s="8" t="n">
        <f aca="false">SUMIFS(Gautam!$H$7:$H$300,Gautam!$B$7:$B$300,$B63)</f>
        <v>0</v>
      </c>
      <c r="AE63" s="8" t="n">
        <f aca="false">AD63-AC63</f>
        <v>0</v>
      </c>
      <c r="AF63" s="9" t="str">
        <f aca="false">IF(AC63&gt;0,AE63/AC63,"")</f>
        <v/>
      </c>
      <c r="AG63" s="9" t="n">
        <f aca="false">IF(AD$6=0,"",AD63/AD$6)</f>
        <v>0</v>
      </c>
      <c r="AH63" s="50" t="n">
        <f aca="false">SUMIFS(DA!$D$7:$D$300,DA!$B$7:$B$300,$B63)</f>
        <v>33</v>
      </c>
      <c r="AI63" s="51" t="n">
        <f aca="false">IF(AND(AH63&gt;0,AJ63&gt;0),AJ63/AH63,"")</f>
        <v>542</v>
      </c>
      <c r="AJ63" s="8" t="n">
        <f aca="false">SUMIFS(DA!$E$7:$E$300,DA!$B$7:$B$300,$B63)</f>
        <v>17886</v>
      </c>
      <c r="AK63" s="8" t="n">
        <f aca="false">SUMIFS(DA!$H$7:$H$300,DA!$B$7:$B$300,$B63)</f>
        <v>14079.45</v>
      </c>
      <c r="AL63" s="8" t="n">
        <f aca="false">AK63-AJ63</f>
        <v>-3806.55</v>
      </c>
      <c r="AM63" s="9" t="n">
        <f aca="false">IF(AJ63&gt;0,AL63/AJ63,"")</f>
        <v>-0.212822878228782</v>
      </c>
      <c r="AN63" s="9" t="n">
        <f aca="false">IF(AK$6=0,"",AK63/AK$6)</f>
        <v>0.00363065592290232</v>
      </c>
    </row>
    <row r="64" customFormat="false" ht="15" hidden="false" customHeight="false" outlineLevel="0" collapsed="false">
      <c r="A64" s="5" t="n">
        <v>58</v>
      </c>
      <c r="B64" s="41" t="s">
        <v>120</v>
      </c>
      <c r="C64" s="42" t="n">
        <f aca="false">IFERROR(INDEX(Prices!$C$6:$C$300,MATCH($B64,Prices!$A$6:$A$300,0)),"")</f>
        <v>101.4</v>
      </c>
      <c r="D64" s="43" t="str">
        <f aca="false">IFERROR(INDEX(Prices!$D$6:$D$300,MATCH($B64,Prices!$A$6:$A$300,0)),"")</f>
        <v>Close 08.10.2026 (Screener.in)</v>
      </c>
      <c r="E64" s="6" t="n">
        <f aca="false">(M64&gt;0)+(T64&gt;0)+(AA64&gt;0)+(AH64&gt;0)</f>
        <v>1</v>
      </c>
      <c r="F64" s="44" t="n">
        <f aca="false">M64+T64+AA64+AH64</f>
        <v>132</v>
      </c>
      <c r="G64" s="45" t="n">
        <f aca="false">IF(AND(F64&gt;0,H64&gt;0),H64/F64,"")</f>
        <v>178</v>
      </c>
      <c r="H64" s="46" t="n">
        <f aca="false">O64+V64+AC64+AJ64</f>
        <v>23496</v>
      </c>
      <c r="I64" s="47" t="n">
        <f aca="false">P64+W64+AD64+AK64</f>
        <v>13384.8</v>
      </c>
      <c r="J64" s="46" t="n">
        <f aca="false">I64-H64</f>
        <v>-10111.2</v>
      </c>
      <c r="K64" s="48" t="n">
        <f aca="false">IF(H64&gt;0,J64/H64,"")</f>
        <v>-0.430337078651685</v>
      </c>
      <c r="L64" s="49" t="n">
        <f aca="false">IF(I$6=0,"",I64/I$6)</f>
        <v>0.000942385620119179</v>
      </c>
      <c r="M64" s="50" t="n">
        <f aca="false">SUMIFS('Vidushi Malhotra'!$D$7:$D$300,'Vidushi Malhotra'!$B$7:$B$300,$B64)</f>
        <v>0</v>
      </c>
      <c r="N64" s="51" t="str">
        <f aca="false">IF(AND(M64&gt;0,O64&gt;0),O64/M64,"")</f>
        <v/>
      </c>
      <c r="O64" s="8" t="n">
        <f aca="false">SUMIFS('Vidushi Malhotra'!$E$7:$E$300,'Vidushi Malhotra'!$B$7:$B$300,$B64)</f>
        <v>0</v>
      </c>
      <c r="P64" s="8" t="n">
        <f aca="false">SUMIFS('Vidushi Malhotra'!$H$7:$H$300,'Vidushi Malhotra'!$B$7:$B$300,$B64)</f>
        <v>0</v>
      </c>
      <c r="Q64" s="8" t="n">
        <f aca="false">P64-O64</f>
        <v>0</v>
      </c>
      <c r="R64" s="9" t="str">
        <f aca="false">IF(O64&gt;0,Q64/O64,"")</f>
        <v/>
      </c>
      <c r="S64" s="9" t="n">
        <f aca="false">IF(P$6=0,"",P64/P$6)</f>
        <v>0</v>
      </c>
      <c r="T64" s="50" t="n">
        <f aca="false">SUMIFS('Dr Umesh Choudhry'!$D$7:$D$300,'Dr Umesh Choudhry'!$B$7:$B$300,$B64)</f>
        <v>0</v>
      </c>
      <c r="U64" s="51" t="str">
        <f aca="false">IF(AND(T64&gt;0,V64&gt;0),V64/T64,"")</f>
        <v/>
      </c>
      <c r="V64" s="8" t="n">
        <f aca="false">SUMIFS('Dr Umesh Choudhry'!$E$7:$E$300,'Dr Umesh Choudhry'!$B$7:$B$300,$B64)</f>
        <v>0</v>
      </c>
      <c r="W64" s="8" t="n">
        <f aca="false">SUMIFS('Dr Umesh Choudhry'!$H$7:$H$300,'Dr Umesh Choudhry'!$B$7:$B$300,$B64)</f>
        <v>0</v>
      </c>
      <c r="X64" s="8" t="n">
        <f aca="false">W64-V64</f>
        <v>0</v>
      </c>
      <c r="Y64" s="9" t="str">
        <f aca="false">IF(V64&gt;0,X64/V64,"")</f>
        <v/>
      </c>
      <c r="Z64" s="9" t="n">
        <f aca="false">IF(W$6=0,"",W64/W$6)</f>
        <v>0</v>
      </c>
      <c r="AA64" s="50" t="n">
        <f aca="false">SUMIFS(Gautam!$D$7:$D$300,Gautam!$B$7:$B$300,$B64)</f>
        <v>0</v>
      </c>
      <c r="AB64" s="51" t="str">
        <f aca="false">IF(AND(AA64&gt;0,AC64&gt;0),AC64/AA64,"")</f>
        <v/>
      </c>
      <c r="AC64" s="8" t="n">
        <f aca="false">SUMIFS(Gautam!$E$7:$E$300,Gautam!$B$7:$B$300,$B64)</f>
        <v>0</v>
      </c>
      <c r="AD64" s="8" t="n">
        <f aca="false">SUMIFS(Gautam!$H$7:$H$300,Gautam!$B$7:$B$300,$B64)</f>
        <v>0</v>
      </c>
      <c r="AE64" s="8" t="n">
        <f aca="false">AD64-AC64</f>
        <v>0</v>
      </c>
      <c r="AF64" s="9" t="str">
        <f aca="false">IF(AC64&gt;0,AE64/AC64,"")</f>
        <v/>
      </c>
      <c r="AG64" s="9" t="n">
        <f aca="false">IF(AD$6=0,"",AD64/AD$6)</f>
        <v>0</v>
      </c>
      <c r="AH64" s="50" t="n">
        <f aca="false">SUMIFS(DA!$D$7:$D$300,DA!$B$7:$B$300,$B64)</f>
        <v>132</v>
      </c>
      <c r="AI64" s="51" t="n">
        <f aca="false">IF(AND(AH64&gt;0,AJ64&gt;0),AJ64/AH64,"")</f>
        <v>178</v>
      </c>
      <c r="AJ64" s="8" t="n">
        <f aca="false">SUMIFS(DA!$E$7:$E$300,DA!$B$7:$B$300,$B64)</f>
        <v>23496</v>
      </c>
      <c r="AK64" s="8" t="n">
        <f aca="false">SUMIFS(DA!$H$7:$H$300,DA!$B$7:$B$300,$B64)</f>
        <v>13384.8</v>
      </c>
      <c r="AL64" s="8" t="n">
        <f aca="false">AK64-AJ64</f>
        <v>-10111.2</v>
      </c>
      <c r="AM64" s="9" t="n">
        <f aca="false">IF(AJ64&gt;0,AL64/AJ64,"")</f>
        <v>-0.430337078651685</v>
      </c>
      <c r="AN64" s="9" t="n">
        <f aca="false">IF(AK$6=0,"",AK64/AK$6)</f>
        <v>0.00345152711198683</v>
      </c>
    </row>
    <row r="65" customFormat="false" ht="15" hidden="false" customHeight="false" outlineLevel="0" collapsed="false">
      <c r="A65" s="5" t="n">
        <v>59</v>
      </c>
      <c r="B65" s="41" t="s">
        <v>121</v>
      </c>
      <c r="C65" s="42" t="n">
        <f aca="false">IFERROR(INDEX(Prices!$C$6:$C$300,MATCH($B65,Prices!$A$6:$A$300,0)),"")</f>
        <v>1084.7</v>
      </c>
      <c r="D65" s="43" t="str">
        <f aca="false">IFERROR(INDEX(Prices!$D$6:$D$300,MATCH($B65,Prices!$A$6:$A$300,0)),"")</f>
        <v>Close 08.10.2026 (Screener.in)</v>
      </c>
      <c r="E65" s="6" t="n">
        <f aca="false">(M65&gt;0)+(T65&gt;0)+(AA65&gt;0)+(AH65&gt;0)</f>
        <v>1</v>
      </c>
      <c r="F65" s="44" t="n">
        <f aca="false">M65+T65+AA65+AH65</f>
        <v>9</v>
      </c>
      <c r="G65" s="45" t="n">
        <f aca="false">IF(AND(F65&gt;0,H65&gt;0),H65/F65,"")</f>
        <v>1346</v>
      </c>
      <c r="H65" s="46" t="n">
        <f aca="false">O65+V65+AC65+AJ65</f>
        <v>12114</v>
      </c>
      <c r="I65" s="47" t="n">
        <f aca="false">P65+W65+AD65+AK65</f>
        <v>9762.3</v>
      </c>
      <c r="J65" s="46" t="n">
        <f aca="false">I65-H65</f>
        <v>-2351.7</v>
      </c>
      <c r="K65" s="48" t="n">
        <f aca="false">IF(H65&gt;0,J65/H65,"")</f>
        <v>-0.194130757800891</v>
      </c>
      <c r="L65" s="49" t="n">
        <f aca="false">IF(I$6=0,"",I65/I$6)</f>
        <v>0.000687335719569172</v>
      </c>
      <c r="M65" s="50" t="n">
        <f aca="false">SUMIFS('Vidushi Malhotra'!$D$7:$D$300,'Vidushi Malhotra'!$B$7:$B$300,$B65)</f>
        <v>0</v>
      </c>
      <c r="N65" s="51" t="str">
        <f aca="false">IF(AND(M65&gt;0,O65&gt;0),O65/M65,"")</f>
        <v/>
      </c>
      <c r="O65" s="8" t="n">
        <f aca="false">SUMIFS('Vidushi Malhotra'!$E$7:$E$300,'Vidushi Malhotra'!$B$7:$B$300,$B65)</f>
        <v>0</v>
      </c>
      <c r="P65" s="8" t="n">
        <f aca="false">SUMIFS('Vidushi Malhotra'!$H$7:$H$300,'Vidushi Malhotra'!$B$7:$B$300,$B65)</f>
        <v>0</v>
      </c>
      <c r="Q65" s="8" t="n">
        <f aca="false">P65-O65</f>
        <v>0</v>
      </c>
      <c r="R65" s="9" t="str">
        <f aca="false">IF(O65&gt;0,Q65/O65,"")</f>
        <v/>
      </c>
      <c r="S65" s="9" t="n">
        <f aca="false">IF(P$6=0,"",P65/P$6)</f>
        <v>0</v>
      </c>
      <c r="T65" s="50" t="n">
        <f aca="false">SUMIFS('Dr Umesh Choudhry'!$D$7:$D$300,'Dr Umesh Choudhry'!$B$7:$B$300,$B65)</f>
        <v>0</v>
      </c>
      <c r="U65" s="51" t="str">
        <f aca="false">IF(AND(T65&gt;0,V65&gt;0),V65/T65,"")</f>
        <v/>
      </c>
      <c r="V65" s="8" t="n">
        <f aca="false">SUMIFS('Dr Umesh Choudhry'!$E$7:$E$300,'Dr Umesh Choudhry'!$B$7:$B$300,$B65)</f>
        <v>0</v>
      </c>
      <c r="W65" s="8" t="n">
        <f aca="false">SUMIFS('Dr Umesh Choudhry'!$H$7:$H$300,'Dr Umesh Choudhry'!$B$7:$B$300,$B65)</f>
        <v>0</v>
      </c>
      <c r="X65" s="8" t="n">
        <f aca="false">W65-V65</f>
        <v>0</v>
      </c>
      <c r="Y65" s="9" t="str">
        <f aca="false">IF(V65&gt;0,X65/V65,"")</f>
        <v/>
      </c>
      <c r="Z65" s="9" t="n">
        <f aca="false">IF(W$6=0,"",W65/W$6)</f>
        <v>0</v>
      </c>
      <c r="AA65" s="50" t="n">
        <f aca="false">SUMIFS(Gautam!$D$7:$D$300,Gautam!$B$7:$B$300,$B65)</f>
        <v>0</v>
      </c>
      <c r="AB65" s="51" t="str">
        <f aca="false">IF(AND(AA65&gt;0,AC65&gt;0),AC65/AA65,"")</f>
        <v/>
      </c>
      <c r="AC65" s="8" t="n">
        <f aca="false">SUMIFS(Gautam!$E$7:$E$300,Gautam!$B$7:$B$300,$B65)</f>
        <v>0</v>
      </c>
      <c r="AD65" s="8" t="n">
        <f aca="false">SUMIFS(Gautam!$H$7:$H$300,Gautam!$B$7:$B$300,$B65)</f>
        <v>0</v>
      </c>
      <c r="AE65" s="8" t="n">
        <f aca="false">AD65-AC65</f>
        <v>0</v>
      </c>
      <c r="AF65" s="9" t="str">
        <f aca="false">IF(AC65&gt;0,AE65/AC65,"")</f>
        <v/>
      </c>
      <c r="AG65" s="9" t="n">
        <f aca="false">IF(AD$6=0,"",AD65/AD$6)</f>
        <v>0</v>
      </c>
      <c r="AH65" s="50" t="n">
        <f aca="false">SUMIFS(DA!$D$7:$D$300,DA!$B$7:$B$300,$B65)</f>
        <v>9</v>
      </c>
      <c r="AI65" s="51" t="n">
        <f aca="false">IF(AND(AH65&gt;0,AJ65&gt;0),AJ65/AH65,"")</f>
        <v>1346</v>
      </c>
      <c r="AJ65" s="8" t="n">
        <f aca="false">SUMIFS(DA!$E$7:$E$300,DA!$B$7:$B$300,$B65)</f>
        <v>12114</v>
      </c>
      <c r="AK65" s="8" t="n">
        <f aca="false">SUMIFS(DA!$H$7:$H$300,DA!$B$7:$B$300,$B65)</f>
        <v>9762.3</v>
      </c>
      <c r="AL65" s="8" t="n">
        <f aca="false">AK65-AJ65</f>
        <v>-2351.7</v>
      </c>
      <c r="AM65" s="9" t="n">
        <f aca="false">IF(AJ65&gt;0,AL65/AJ65,"")</f>
        <v>-0.194130757800891</v>
      </c>
      <c r="AN65" s="9" t="n">
        <f aca="false">IF(AK$6=0,"",AK65/AK$6)</f>
        <v>0.0025173960855111</v>
      </c>
    </row>
    <row r="66" customFormat="false" ht="15" hidden="false" customHeight="false" outlineLevel="0" collapsed="false">
      <c r="A66" s="5" t="n">
        <v>60</v>
      </c>
      <c r="B66" s="41" t="s">
        <v>122</v>
      </c>
      <c r="C66" s="42" t="n">
        <f aca="false">IFERROR(INDEX(Prices!$C$6:$C$300,MATCH($B66,Prices!$A$6:$A$300,0)),"")</f>
        <v>1804.6</v>
      </c>
      <c r="D66" s="43" t="str">
        <f aca="false">IFERROR(INDEX(Prices!$D$6:$D$300,MATCH($B66,Prices!$A$6:$A$300,0)),"")</f>
        <v>Close 08.10.2026 (Screener.in)</v>
      </c>
      <c r="E66" s="6" t="n">
        <f aca="false">(M66&gt;0)+(T66&gt;0)+(AA66&gt;0)+(AH66&gt;0)</f>
        <v>1</v>
      </c>
      <c r="F66" s="44" t="n">
        <f aca="false">M66+T66+AA66+AH66</f>
        <v>5</v>
      </c>
      <c r="G66" s="45" t="n">
        <f aca="false">IF(AND(F66&gt;0,H66&gt;0),H66/F66,"")</f>
        <v>1922</v>
      </c>
      <c r="H66" s="46" t="n">
        <f aca="false">O66+V66+AC66+AJ66</f>
        <v>9610</v>
      </c>
      <c r="I66" s="47" t="n">
        <f aca="false">P66+W66+AD66+AK66</f>
        <v>9023</v>
      </c>
      <c r="J66" s="46" t="n">
        <f aca="false">I66-H66</f>
        <v>-587</v>
      </c>
      <c r="K66" s="48" t="n">
        <f aca="false">IF(H66&gt;0,J66/H66,"")</f>
        <v>-0.0610822060353798</v>
      </c>
      <c r="L66" s="49" t="n">
        <f aca="false">IF(I$6=0,"",I66/I$6)</f>
        <v>0.000635283713640499</v>
      </c>
      <c r="M66" s="50" t="n">
        <f aca="false">SUMIFS('Vidushi Malhotra'!$D$7:$D$300,'Vidushi Malhotra'!$B$7:$B$300,$B66)</f>
        <v>0</v>
      </c>
      <c r="N66" s="51" t="str">
        <f aca="false">IF(AND(M66&gt;0,O66&gt;0),O66/M66,"")</f>
        <v/>
      </c>
      <c r="O66" s="8" t="n">
        <f aca="false">SUMIFS('Vidushi Malhotra'!$E$7:$E$300,'Vidushi Malhotra'!$B$7:$B$300,$B66)</f>
        <v>0</v>
      </c>
      <c r="P66" s="8" t="n">
        <f aca="false">SUMIFS('Vidushi Malhotra'!$H$7:$H$300,'Vidushi Malhotra'!$B$7:$B$300,$B66)</f>
        <v>0</v>
      </c>
      <c r="Q66" s="8" t="n">
        <f aca="false">P66-O66</f>
        <v>0</v>
      </c>
      <c r="R66" s="9" t="str">
        <f aca="false">IF(O66&gt;0,Q66/O66,"")</f>
        <v/>
      </c>
      <c r="S66" s="9" t="n">
        <f aca="false">IF(P$6=0,"",P66/P$6)</f>
        <v>0</v>
      </c>
      <c r="T66" s="50" t="n">
        <f aca="false">SUMIFS('Dr Umesh Choudhry'!$D$7:$D$300,'Dr Umesh Choudhry'!$B$7:$B$300,$B66)</f>
        <v>0</v>
      </c>
      <c r="U66" s="51" t="str">
        <f aca="false">IF(AND(T66&gt;0,V66&gt;0),V66/T66,"")</f>
        <v/>
      </c>
      <c r="V66" s="8" t="n">
        <f aca="false">SUMIFS('Dr Umesh Choudhry'!$E$7:$E$300,'Dr Umesh Choudhry'!$B$7:$B$300,$B66)</f>
        <v>0</v>
      </c>
      <c r="W66" s="8" t="n">
        <f aca="false">SUMIFS('Dr Umesh Choudhry'!$H$7:$H$300,'Dr Umesh Choudhry'!$B$7:$B$300,$B66)</f>
        <v>0</v>
      </c>
      <c r="X66" s="8" t="n">
        <f aca="false">W66-V66</f>
        <v>0</v>
      </c>
      <c r="Y66" s="9" t="str">
        <f aca="false">IF(V66&gt;0,X66/V66,"")</f>
        <v/>
      </c>
      <c r="Z66" s="9" t="n">
        <f aca="false">IF(W$6=0,"",W66/W$6)</f>
        <v>0</v>
      </c>
      <c r="AA66" s="50" t="n">
        <f aca="false">SUMIFS(Gautam!$D$7:$D$300,Gautam!$B$7:$B$300,$B66)</f>
        <v>5</v>
      </c>
      <c r="AB66" s="51" t="n">
        <f aca="false">IF(AND(AA66&gt;0,AC66&gt;0),AC66/AA66,"")</f>
        <v>1922</v>
      </c>
      <c r="AC66" s="8" t="n">
        <f aca="false">SUMIFS(Gautam!$E$7:$E$300,Gautam!$B$7:$B$300,$B66)</f>
        <v>9610</v>
      </c>
      <c r="AD66" s="8" t="n">
        <f aca="false">SUMIFS(Gautam!$H$7:$H$300,Gautam!$B$7:$B$300,$B66)</f>
        <v>9023</v>
      </c>
      <c r="AE66" s="8" t="n">
        <f aca="false">AD66-AC66</f>
        <v>-587</v>
      </c>
      <c r="AF66" s="9" t="n">
        <f aca="false">IF(AC66&gt;0,AE66/AC66,"")</f>
        <v>-0.0610822060353798</v>
      </c>
      <c r="AG66" s="9" t="n">
        <f aca="false">IF(AD$6=0,"",AD66/AD$6)</f>
        <v>0.00193101253034737</v>
      </c>
      <c r="AH66" s="50" t="n">
        <f aca="false">SUMIFS(DA!$D$7:$D$300,DA!$B$7:$B$300,$B66)</f>
        <v>0</v>
      </c>
      <c r="AI66" s="51" t="str">
        <f aca="false">IF(AND(AH66&gt;0,AJ66&gt;0),AJ66/AH66,"")</f>
        <v/>
      </c>
      <c r="AJ66" s="8" t="n">
        <f aca="false">SUMIFS(DA!$E$7:$E$300,DA!$B$7:$B$300,$B66)</f>
        <v>0</v>
      </c>
      <c r="AK66" s="8" t="n">
        <f aca="false">SUMIFS(DA!$H$7:$H$300,DA!$B$7:$B$300,$B66)</f>
        <v>0</v>
      </c>
      <c r="AL66" s="8" t="n">
        <f aca="false">AK66-AJ66</f>
        <v>0</v>
      </c>
      <c r="AM66" s="9" t="str">
        <f aca="false">IF(AJ66&gt;0,AL66/AJ66,"")</f>
        <v/>
      </c>
      <c r="AN66" s="9" t="n">
        <f aca="false">IF(AK$6=0,"",AK66/AK$6)</f>
        <v>0</v>
      </c>
    </row>
    <row r="67" customFormat="false" ht="15" hidden="false" customHeight="false" outlineLevel="0" collapsed="false">
      <c r="A67" s="5" t="n">
        <v>61</v>
      </c>
      <c r="B67" s="41" t="s">
        <v>123</v>
      </c>
      <c r="C67" s="42" t="n">
        <f aca="false">IFERROR(INDEX(Prices!$C$6:$C$300,MATCH($B67,Prices!$A$6:$A$300,0)),"")</f>
        <v>13.64</v>
      </c>
      <c r="D67" s="43" t="str">
        <f aca="false">IFERROR(INDEX(Prices!$D$6:$D$300,MATCH($B67,Prices!$A$6:$A$300,0)),"")</f>
        <v>Close 08.10.2026 (Screener.in)</v>
      </c>
      <c r="E67" s="6" t="n">
        <f aca="false">(M67&gt;0)+(T67&gt;0)+(AA67&gt;0)+(AH67&gt;0)</f>
        <v>1</v>
      </c>
      <c r="F67" s="44" t="n">
        <f aca="false">M67+T67+AA67+AH67</f>
        <v>560</v>
      </c>
      <c r="G67" s="45" t="n">
        <f aca="false">IF(AND(F67&gt;0,H67&gt;0),H67/F67,"")</f>
        <v>55</v>
      </c>
      <c r="H67" s="46" t="n">
        <f aca="false">O67+V67+AC67+AJ67</f>
        <v>30800</v>
      </c>
      <c r="I67" s="47" t="n">
        <f aca="false">P67+W67+AD67+AK67</f>
        <v>7638.4</v>
      </c>
      <c r="J67" s="46" t="n">
        <f aca="false">I67-H67</f>
        <v>-23161.6</v>
      </c>
      <c r="K67" s="48" t="n">
        <f aca="false">IF(H67&gt;0,J67/H67,"")</f>
        <v>-0.752</v>
      </c>
      <c r="L67" s="49" t="n">
        <f aca="false">IF(I$6=0,"",I67/I$6)</f>
        <v>0.000537797973874719</v>
      </c>
      <c r="M67" s="50" t="n">
        <f aca="false">SUMIFS('Vidushi Malhotra'!$D$7:$D$300,'Vidushi Malhotra'!$B$7:$B$300,$B67)</f>
        <v>0</v>
      </c>
      <c r="N67" s="51" t="str">
        <f aca="false">IF(AND(M67&gt;0,O67&gt;0),O67/M67,"")</f>
        <v/>
      </c>
      <c r="O67" s="8" t="n">
        <f aca="false">SUMIFS('Vidushi Malhotra'!$E$7:$E$300,'Vidushi Malhotra'!$B$7:$B$300,$B67)</f>
        <v>0</v>
      </c>
      <c r="P67" s="8" t="n">
        <f aca="false">SUMIFS('Vidushi Malhotra'!$H$7:$H$300,'Vidushi Malhotra'!$B$7:$B$300,$B67)</f>
        <v>0</v>
      </c>
      <c r="Q67" s="8" t="n">
        <f aca="false">P67-O67</f>
        <v>0</v>
      </c>
      <c r="R67" s="9" t="str">
        <f aca="false">IF(O67&gt;0,Q67/O67,"")</f>
        <v/>
      </c>
      <c r="S67" s="9" t="n">
        <f aca="false">IF(P$6=0,"",P67/P$6)</f>
        <v>0</v>
      </c>
      <c r="T67" s="50" t="n">
        <f aca="false">SUMIFS('Dr Umesh Choudhry'!$D$7:$D$300,'Dr Umesh Choudhry'!$B$7:$B$300,$B67)</f>
        <v>0</v>
      </c>
      <c r="U67" s="51" t="str">
        <f aca="false">IF(AND(T67&gt;0,V67&gt;0),V67/T67,"")</f>
        <v/>
      </c>
      <c r="V67" s="8" t="n">
        <f aca="false">SUMIFS('Dr Umesh Choudhry'!$E$7:$E$300,'Dr Umesh Choudhry'!$B$7:$B$300,$B67)</f>
        <v>0</v>
      </c>
      <c r="W67" s="8" t="n">
        <f aca="false">SUMIFS('Dr Umesh Choudhry'!$H$7:$H$300,'Dr Umesh Choudhry'!$B$7:$B$300,$B67)</f>
        <v>0</v>
      </c>
      <c r="X67" s="8" t="n">
        <f aca="false">W67-V67</f>
        <v>0</v>
      </c>
      <c r="Y67" s="9" t="str">
        <f aca="false">IF(V67&gt;0,X67/V67,"")</f>
        <v/>
      </c>
      <c r="Z67" s="9" t="n">
        <f aca="false">IF(W$6=0,"",W67/W$6)</f>
        <v>0</v>
      </c>
      <c r="AA67" s="50" t="n">
        <f aca="false">SUMIFS(Gautam!$D$7:$D$300,Gautam!$B$7:$B$300,$B67)</f>
        <v>0</v>
      </c>
      <c r="AB67" s="51" t="str">
        <f aca="false">IF(AND(AA67&gt;0,AC67&gt;0),AC67/AA67,"")</f>
        <v/>
      </c>
      <c r="AC67" s="8" t="n">
        <f aca="false">SUMIFS(Gautam!$E$7:$E$300,Gautam!$B$7:$B$300,$B67)</f>
        <v>0</v>
      </c>
      <c r="AD67" s="8" t="n">
        <f aca="false">SUMIFS(Gautam!$H$7:$H$300,Gautam!$B$7:$B$300,$B67)</f>
        <v>0</v>
      </c>
      <c r="AE67" s="8" t="n">
        <f aca="false">AD67-AC67</f>
        <v>0</v>
      </c>
      <c r="AF67" s="9" t="str">
        <f aca="false">IF(AC67&gt;0,AE67/AC67,"")</f>
        <v/>
      </c>
      <c r="AG67" s="9" t="n">
        <f aca="false">IF(AD$6=0,"",AD67/AD$6)</f>
        <v>0</v>
      </c>
      <c r="AH67" s="50" t="n">
        <f aca="false">SUMIFS(DA!$D$7:$D$300,DA!$B$7:$B$300,$B67)</f>
        <v>560</v>
      </c>
      <c r="AI67" s="51" t="n">
        <f aca="false">IF(AND(AH67&gt;0,AJ67&gt;0),AJ67/AH67,"")</f>
        <v>55</v>
      </c>
      <c r="AJ67" s="8" t="n">
        <f aca="false">SUMIFS(DA!$E$7:$E$300,DA!$B$7:$B$300,$B67)</f>
        <v>30800</v>
      </c>
      <c r="AK67" s="8" t="n">
        <f aca="false">SUMIFS(DA!$H$7:$H$300,DA!$B$7:$B$300,$B67)</f>
        <v>7638.4</v>
      </c>
      <c r="AL67" s="8" t="n">
        <f aca="false">AK67-AJ67</f>
        <v>-23161.6</v>
      </c>
      <c r="AM67" s="9" t="n">
        <f aca="false">IF(AJ67&gt;0,AL67/AJ67,"")</f>
        <v>-0.752</v>
      </c>
      <c r="AN67" s="9" t="n">
        <f aca="false">IF(AK$6=0,"",AK67/AK$6)</f>
        <v>0.00196970777988466</v>
      </c>
    </row>
    <row r="68" customFormat="false" ht="15" hidden="false" customHeight="false" outlineLevel="0" collapsed="false">
      <c r="A68" s="5" t="n">
        <v>62</v>
      </c>
      <c r="B68" s="41" t="s">
        <v>124</v>
      </c>
      <c r="C68" s="42" t="n">
        <f aca="false">IFERROR(INDEX(Prices!$C$6:$C$300,MATCH($B68,Prices!$A$6:$A$300,0)),"")</f>
        <v>162.95</v>
      </c>
      <c r="D68" s="43" t="str">
        <f aca="false">IFERROR(INDEX(Prices!$D$6:$D$300,MATCH($B68,Prices!$A$6:$A$300,0)),"")</f>
        <v>Close 08.10.2026 (Screener.in)</v>
      </c>
      <c r="E68" s="6" t="n">
        <f aca="false">(M68&gt;0)+(T68&gt;0)+(AA68&gt;0)+(AH68&gt;0)</f>
        <v>1</v>
      </c>
      <c r="F68" s="44" t="n">
        <f aca="false">M68+T68+AA68+AH68</f>
        <v>25</v>
      </c>
      <c r="G68" s="45" t="n">
        <f aca="false">IF(AND(F68&gt;0,H68&gt;0),H68/F68,"")</f>
        <v>180</v>
      </c>
      <c r="H68" s="46" t="n">
        <f aca="false">O68+V68+AC68+AJ68</f>
        <v>4500</v>
      </c>
      <c r="I68" s="47" t="n">
        <f aca="false">P68+W68+AD68+AK68</f>
        <v>4073.75</v>
      </c>
      <c r="J68" s="46" t="n">
        <f aca="false">I68-H68</f>
        <v>-426.25</v>
      </c>
      <c r="K68" s="48" t="n">
        <f aca="false">IF(H68&gt;0,J68/H68,"")</f>
        <v>-0.0947222222222223</v>
      </c>
      <c r="L68" s="49" t="n">
        <f aca="false">IF(I$6=0,"",I68/I$6)</f>
        <v>0.000286821126947022</v>
      </c>
      <c r="M68" s="50" t="n">
        <f aca="false">SUMIFS('Vidushi Malhotra'!$D$7:$D$300,'Vidushi Malhotra'!$B$7:$B$300,$B68)</f>
        <v>0</v>
      </c>
      <c r="N68" s="51" t="str">
        <f aca="false">IF(AND(M68&gt;0,O68&gt;0),O68/M68,"")</f>
        <v/>
      </c>
      <c r="O68" s="8" t="n">
        <f aca="false">SUMIFS('Vidushi Malhotra'!$E$7:$E$300,'Vidushi Malhotra'!$B$7:$B$300,$B68)</f>
        <v>0</v>
      </c>
      <c r="P68" s="8" t="n">
        <f aca="false">SUMIFS('Vidushi Malhotra'!$H$7:$H$300,'Vidushi Malhotra'!$B$7:$B$300,$B68)</f>
        <v>0</v>
      </c>
      <c r="Q68" s="8" t="n">
        <f aca="false">P68-O68</f>
        <v>0</v>
      </c>
      <c r="R68" s="9" t="str">
        <f aca="false">IF(O68&gt;0,Q68/O68,"")</f>
        <v/>
      </c>
      <c r="S68" s="9" t="n">
        <f aca="false">IF(P$6=0,"",P68/P$6)</f>
        <v>0</v>
      </c>
      <c r="T68" s="50" t="n">
        <f aca="false">SUMIFS('Dr Umesh Choudhry'!$D$7:$D$300,'Dr Umesh Choudhry'!$B$7:$B$300,$B68)</f>
        <v>0</v>
      </c>
      <c r="U68" s="51" t="str">
        <f aca="false">IF(AND(T68&gt;0,V68&gt;0),V68/T68,"")</f>
        <v/>
      </c>
      <c r="V68" s="8" t="n">
        <f aca="false">SUMIFS('Dr Umesh Choudhry'!$E$7:$E$300,'Dr Umesh Choudhry'!$B$7:$B$300,$B68)</f>
        <v>0</v>
      </c>
      <c r="W68" s="8" t="n">
        <f aca="false">SUMIFS('Dr Umesh Choudhry'!$H$7:$H$300,'Dr Umesh Choudhry'!$B$7:$B$300,$B68)</f>
        <v>0</v>
      </c>
      <c r="X68" s="8" t="n">
        <f aca="false">W68-V68</f>
        <v>0</v>
      </c>
      <c r="Y68" s="9" t="str">
        <f aca="false">IF(V68&gt;0,X68/V68,"")</f>
        <v/>
      </c>
      <c r="Z68" s="9" t="n">
        <f aca="false">IF(W$6=0,"",W68/W$6)</f>
        <v>0</v>
      </c>
      <c r="AA68" s="50" t="n">
        <f aca="false">SUMIFS(Gautam!$D$7:$D$300,Gautam!$B$7:$B$300,$B68)</f>
        <v>25</v>
      </c>
      <c r="AB68" s="51" t="n">
        <f aca="false">IF(AND(AA68&gt;0,AC68&gt;0),AC68/AA68,"")</f>
        <v>180</v>
      </c>
      <c r="AC68" s="8" t="n">
        <f aca="false">SUMIFS(Gautam!$E$7:$E$300,Gautam!$B$7:$B$300,$B68)</f>
        <v>4500</v>
      </c>
      <c r="AD68" s="8" t="n">
        <f aca="false">SUMIFS(Gautam!$H$7:$H$300,Gautam!$B$7:$B$300,$B68)</f>
        <v>4073.75</v>
      </c>
      <c r="AE68" s="8" t="n">
        <f aca="false">AD68-AC68</f>
        <v>-426.25</v>
      </c>
      <c r="AF68" s="9" t="n">
        <f aca="false">IF(AC68&gt;0,AE68/AC68,"")</f>
        <v>-0.0947222222222223</v>
      </c>
      <c r="AG68" s="9" t="n">
        <f aca="false">IF(AD$6=0,"",AD68/AD$6)</f>
        <v>0.000871823373102361</v>
      </c>
      <c r="AH68" s="50" t="n">
        <f aca="false">SUMIFS(DA!$D$7:$D$300,DA!$B$7:$B$300,$B68)</f>
        <v>0</v>
      </c>
      <c r="AI68" s="51" t="str">
        <f aca="false">IF(AND(AH68&gt;0,AJ68&gt;0),AJ68/AH68,"")</f>
        <v/>
      </c>
      <c r="AJ68" s="8" t="n">
        <f aca="false">SUMIFS(DA!$E$7:$E$300,DA!$B$7:$B$300,$B68)</f>
        <v>0</v>
      </c>
      <c r="AK68" s="8" t="n">
        <f aca="false">SUMIFS(DA!$H$7:$H$300,DA!$B$7:$B$300,$B68)</f>
        <v>0</v>
      </c>
      <c r="AL68" s="8" t="n">
        <f aca="false">AK68-AJ68</f>
        <v>0</v>
      </c>
      <c r="AM68" s="9" t="str">
        <f aca="false">IF(AJ68&gt;0,AL68/AJ68,"")</f>
        <v/>
      </c>
      <c r="AN68" s="9" t="n">
        <f aca="false">IF(AK$6=0,"",AK68/AK$6)</f>
        <v>0</v>
      </c>
    </row>
    <row r="69" customFormat="false" ht="15" hidden="false" customHeight="false" outlineLevel="0" collapsed="false">
      <c r="A69" s="5" t="n">
        <v>63</v>
      </c>
      <c r="B69" s="41" t="s">
        <v>125</v>
      </c>
      <c r="C69" s="42" t="n">
        <f aca="false">IFERROR(INDEX(Prices!$C$6:$C$300,MATCH($B69,Prices!$A$6:$A$300,0)),"")</f>
        <v>110.08</v>
      </c>
      <c r="D69" s="43" t="str">
        <f aca="false">IFERROR(INDEX(Prices!$D$6:$D$300,MATCH($B69,Prices!$A$6:$A$300,0)),"")</f>
        <v>Close 08.10.2026 (Screener.in)</v>
      </c>
      <c r="E69" s="6" t="n">
        <f aca="false">(M69&gt;0)+(T69&gt;0)+(AA69&gt;0)+(AH69&gt;0)</f>
        <v>1</v>
      </c>
      <c r="F69" s="44" t="n">
        <f aca="false">M69+T69+AA69+AH69</f>
        <v>20</v>
      </c>
      <c r="G69" s="45" t="n">
        <f aca="false">IF(AND(F69&gt;0,H69&gt;0),H69/F69,"")</f>
        <v>316</v>
      </c>
      <c r="H69" s="46" t="n">
        <f aca="false">O69+V69+AC69+AJ69</f>
        <v>6320</v>
      </c>
      <c r="I69" s="47" t="n">
        <f aca="false">P69+W69+AD69+AK69</f>
        <v>2201.6</v>
      </c>
      <c r="J69" s="46" t="n">
        <f aca="false">I69-H69</f>
        <v>-4118.4</v>
      </c>
      <c r="K69" s="48" t="n">
        <f aca="false">IF(H69&gt;0,J69/H69,"")</f>
        <v>-0.651645569620253</v>
      </c>
      <c r="L69" s="49" t="n">
        <f aca="false">IF(I$6=0,"",I69/I$6)</f>
        <v>0.000155008381242483</v>
      </c>
      <c r="M69" s="50" t="n">
        <f aca="false">SUMIFS('Vidushi Malhotra'!$D$7:$D$300,'Vidushi Malhotra'!$B$7:$B$300,$B69)</f>
        <v>0</v>
      </c>
      <c r="N69" s="51" t="str">
        <f aca="false">IF(AND(M69&gt;0,O69&gt;0),O69/M69,"")</f>
        <v/>
      </c>
      <c r="O69" s="8" t="n">
        <f aca="false">SUMIFS('Vidushi Malhotra'!$E$7:$E$300,'Vidushi Malhotra'!$B$7:$B$300,$B69)</f>
        <v>0</v>
      </c>
      <c r="P69" s="8" t="n">
        <f aca="false">SUMIFS('Vidushi Malhotra'!$H$7:$H$300,'Vidushi Malhotra'!$B$7:$B$300,$B69)</f>
        <v>0</v>
      </c>
      <c r="Q69" s="8" t="n">
        <f aca="false">P69-O69</f>
        <v>0</v>
      </c>
      <c r="R69" s="9" t="str">
        <f aca="false">IF(O69&gt;0,Q69/O69,"")</f>
        <v/>
      </c>
      <c r="S69" s="9" t="n">
        <f aca="false">IF(P$6=0,"",P69/P$6)</f>
        <v>0</v>
      </c>
      <c r="T69" s="50" t="n">
        <f aca="false">SUMIFS('Dr Umesh Choudhry'!$D$7:$D$300,'Dr Umesh Choudhry'!$B$7:$B$300,$B69)</f>
        <v>0</v>
      </c>
      <c r="U69" s="51" t="str">
        <f aca="false">IF(AND(T69&gt;0,V69&gt;0),V69/T69,"")</f>
        <v/>
      </c>
      <c r="V69" s="8" t="n">
        <f aca="false">SUMIFS('Dr Umesh Choudhry'!$E$7:$E$300,'Dr Umesh Choudhry'!$B$7:$B$300,$B69)</f>
        <v>0</v>
      </c>
      <c r="W69" s="8" t="n">
        <f aca="false">SUMIFS('Dr Umesh Choudhry'!$H$7:$H$300,'Dr Umesh Choudhry'!$B$7:$B$300,$B69)</f>
        <v>0</v>
      </c>
      <c r="X69" s="8" t="n">
        <f aca="false">W69-V69</f>
        <v>0</v>
      </c>
      <c r="Y69" s="9" t="str">
        <f aca="false">IF(V69&gt;0,X69/V69,"")</f>
        <v/>
      </c>
      <c r="Z69" s="9" t="n">
        <f aca="false">IF(W$6=0,"",W69/W$6)</f>
        <v>0</v>
      </c>
      <c r="AA69" s="50" t="n">
        <f aca="false">SUMIFS(Gautam!$D$7:$D$300,Gautam!$B$7:$B$300,$B69)</f>
        <v>0</v>
      </c>
      <c r="AB69" s="51" t="str">
        <f aca="false">IF(AND(AA69&gt;0,AC69&gt;0),AC69/AA69,"")</f>
        <v/>
      </c>
      <c r="AC69" s="8" t="n">
        <f aca="false">SUMIFS(Gautam!$E$7:$E$300,Gautam!$B$7:$B$300,$B69)</f>
        <v>0</v>
      </c>
      <c r="AD69" s="8" t="n">
        <f aca="false">SUMIFS(Gautam!$H$7:$H$300,Gautam!$B$7:$B$300,$B69)</f>
        <v>0</v>
      </c>
      <c r="AE69" s="8" t="n">
        <f aca="false">AD69-AC69</f>
        <v>0</v>
      </c>
      <c r="AF69" s="9" t="str">
        <f aca="false">IF(AC69&gt;0,AE69/AC69,"")</f>
        <v/>
      </c>
      <c r="AG69" s="9" t="n">
        <f aca="false">IF(AD$6=0,"",AD69/AD$6)</f>
        <v>0</v>
      </c>
      <c r="AH69" s="50" t="n">
        <f aca="false">SUMIFS(DA!$D$7:$D$300,DA!$B$7:$B$300,$B69)</f>
        <v>20</v>
      </c>
      <c r="AI69" s="51" t="n">
        <f aca="false">IF(AND(AH69&gt;0,AJ69&gt;0),AJ69/AH69,"")</f>
        <v>316</v>
      </c>
      <c r="AJ69" s="8" t="n">
        <f aca="false">SUMIFS(DA!$E$7:$E$300,DA!$B$7:$B$300,$B69)</f>
        <v>6320</v>
      </c>
      <c r="AK69" s="8" t="n">
        <f aca="false">SUMIFS(DA!$H$7:$H$300,DA!$B$7:$B$300,$B69)</f>
        <v>2201.6</v>
      </c>
      <c r="AL69" s="8" t="n">
        <f aca="false">AK69-AJ69</f>
        <v>-4118.4</v>
      </c>
      <c r="AM69" s="9" t="n">
        <f aca="false">IF(AJ69&gt;0,AL69/AJ69,"")</f>
        <v>-0.651645569620253</v>
      </c>
      <c r="AN69" s="9" t="n">
        <f aca="false">IF(AK$6=0,"",AK69/AK$6)</f>
        <v>0.000567724739237807</v>
      </c>
    </row>
    <row r="70" customFormat="false" ht="15" hidden="false" customHeight="false" outlineLevel="0" collapsed="false">
      <c r="A70" s="5" t="n">
        <v>64</v>
      </c>
      <c r="B70" s="41" t="s">
        <v>126</v>
      </c>
      <c r="C70" s="42" t="n">
        <f aca="false">IFERROR(INDEX(Prices!$C$6:$C$300,MATCH($B70,Prices!$A$6:$A$300,0)),"")</f>
        <v>4</v>
      </c>
      <c r="D70" s="43" t="str">
        <f aca="false">IFERROR(INDEX(Prices!$D$6:$D$300,MATCH($B70,Prices!$A$6:$A$300,0)),"")</f>
        <v>DA stmt – older (stale)</v>
      </c>
      <c r="E70" s="6" t="n">
        <f aca="false">(M70&gt;0)+(T70&gt;0)+(AA70&gt;0)+(AH70&gt;0)</f>
        <v>1</v>
      </c>
      <c r="F70" s="44" t="n">
        <f aca="false">M70+T70+AA70+AH70</f>
        <v>344</v>
      </c>
      <c r="G70" s="45" t="str">
        <f aca="false">IF(AND(F70&gt;0,H70&gt;0),H70/F70,"")</f>
        <v/>
      </c>
      <c r="H70" s="46" t="n">
        <f aca="false">O70+V70+AC70+AJ70</f>
        <v>0</v>
      </c>
      <c r="I70" s="47" t="n">
        <f aca="false">P70+W70+AD70+AK70</f>
        <v>1376</v>
      </c>
      <c r="J70" s="46" t="n">
        <f aca="false">I70-H70</f>
        <v>1376</v>
      </c>
      <c r="K70" s="48" t="str">
        <f aca="false">IF(H70&gt;0,J70/H70,"")</f>
        <v/>
      </c>
      <c r="L70" s="49" t="n">
        <f aca="false">IF(I$6=0,"",I70/I$6)</f>
        <v>9.68802382765518E-005</v>
      </c>
      <c r="M70" s="50" t="n">
        <f aca="false">SUMIFS('Vidushi Malhotra'!$D$7:$D$300,'Vidushi Malhotra'!$B$7:$B$300,$B70)</f>
        <v>0</v>
      </c>
      <c r="N70" s="51" t="str">
        <f aca="false">IF(AND(M70&gt;0,O70&gt;0),O70/M70,"")</f>
        <v/>
      </c>
      <c r="O70" s="8" t="n">
        <f aca="false">SUMIFS('Vidushi Malhotra'!$E$7:$E$300,'Vidushi Malhotra'!$B$7:$B$300,$B70)</f>
        <v>0</v>
      </c>
      <c r="P70" s="8" t="n">
        <f aca="false">SUMIFS('Vidushi Malhotra'!$H$7:$H$300,'Vidushi Malhotra'!$B$7:$B$300,$B70)</f>
        <v>0</v>
      </c>
      <c r="Q70" s="8" t="n">
        <f aca="false">P70-O70</f>
        <v>0</v>
      </c>
      <c r="R70" s="9" t="str">
        <f aca="false">IF(O70&gt;0,Q70/O70,"")</f>
        <v/>
      </c>
      <c r="S70" s="9" t="n">
        <f aca="false">IF(P$6=0,"",P70/P$6)</f>
        <v>0</v>
      </c>
      <c r="T70" s="50" t="n">
        <f aca="false">SUMIFS('Dr Umesh Choudhry'!$D$7:$D$300,'Dr Umesh Choudhry'!$B$7:$B$300,$B70)</f>
        <v>0</v>
      </c>
      <c r="U70" s="51" t="str">
        <f aca="false">IF(AND(T70&gt;0,V70&gt;0),V70/T70,"")</f>
        <v/>
      </c>
      <c r="V70" s="8" t="n">
        <f aca="false">SUMIFS('Dr Umesh Choudhry'!$E$7:$E$300,'Dr Umesh Choudhry'!$B$7:$B$300,$B70)</f>
        <v>0</v>
      </c>
      <c r="W70" s="8" t="n">
        <f aca="false">SUMIFS('Dr Umesh Choudhry'!$H$7:$H$300,'Dr Umesh Choudhry'!$B$7:$B$300,$B70)</f>
        <v>0</v>
      </c>
      <c r="X70" s="8" t="n">
        <f aca="false">W70-V70</f>
        <v>0</v>
      </c>
      <c r="Y70" s="9" t="str">
        <f aca="false">IF(V70&gt;0,X70/V70,"")</f>
        <v/>
      </c>
      <c r="Z70" s="9" t="n">
        <f aca="false">IF(W$6=0,"",W70/W$6)</f>
        <v>0</v>
      </c>
      <c r="AA70" s="50" t="n">
        <f aca="false">SUMIFS(Gautam!$D$7:$D$300,Gautam!$B$7:$B$300,$B70)</f>
        <v>0</v>
      </c>
      <c r="AB70" s="51" t="str">
        <f aca="false">IF(AND(AA70&gt;0,AC70&gt;0),AC70/AA70,"")</f>
        <v/>
      </c>
      <c r="AC70" s="8" t="n">
        <f aca="false">SUMIFS(Gautam!$E$7:$E$300,Gautam!$B$7:$B$300,$B70)</f>
        <v>0</v>
      </c>
      <c r="AD70" s="8" t="n">
        <f aca="false">SUMIFS(Gautam!$H$7:$H$300,Gautam!$B$7:$B$300,$B70)</f>
        <v>0</v>
      </c>
      <c r="AE70" s="8" t="n">
        <f aca="false">AD70-AC70</f>
        <v>0</v>
      </c>
      <c r="AF70" s="9" t="str">
        <f aca="false">IF(AC70&gt;0,AE70/AC70,"")</f>
        <v/>
      </c>
      <c r="AG70" s="9" t="n">
        <f aca="false">IF(AD$6=0,"",AD70/AD$6)</f>
        <v>0</v>
      </c>
      <c r="AH70" s="50" t="n">
        <f aca="false">SUMIFS(DA!$D$7:$D$300,DA!$B$7:$B$300,$B70)</f>
        <v>344</v>
      </c>
      <c r="AI70" s="51" t="str">
        <f aca="false">IF(AND(AH70&gt;0,AJ70&gt;0),AJ70/AH70,"")</f>
        <v/>
      </c>
      <c r="AJ70" s="8" t="n">
        <f aca="false">SUMIFS(DA!$E$7:$E$300,DA!$B$7:$B$300,$B70)</f>
        <v>0</v>
      </c>
      <c r="AK70" s="8" t="n">
        <f aca="false">SUMIFS(DA!$H$7:$H$300,DA!$B$7:$B$300,$B70)</f>
        <v>1376</v>
      </c>
      <c r="AL70" s="8" t="n">
        <f aca="false">AK70-AJ70</f>
        <v>1376</v>
      </c>
      <c r="AM70" s="9" t="str">
        <f aca="false">IF(AJ70&gt;0,AL70/AJ70,"")</f>
        <v/>
      </c>
      <c r="AN70" s="9" t="n">
        <f aca="false">IF(AK$6=0,"",AK70/AK$6)</f>
        <v>0.00035482796202363</v>
      </c>
    </row>
    <row r="71" customFormat="false" ht="15" hidden="false" customHeight="false" outlineLevel="0" collapsed="false">
      <c r="A71" s="5" t="n">
        <v>65</v>
      </c>
      <c r="B71" s="41" t="s">
        <v>127</v>
      </c>
      <c r="C71" s="42" t="n">
        <f aca="false">IFERROR(INDEX(Prices!$C$6:$C$300,MATCH($B71,Prices!$A$6:$A$300,0)),"")</f>
        <v>257</v>
      </c>
      <c r="D71" s="43" t="str">
        <f aca="false">IFERROR(INDEX(Prices!$D$6:$D$300,MATCH($B71,Prices!$A$6:$A$300,0)),"")</f>
        <v>Vidushi stmt – LTP 05.10</v>
      </c>
      <c r="E71" s="6" t="n">
        <f aca="false">(M71&gt;0)+(T71&gt;0)+(AA71&gt;0)+(AH71&gt;0)</f>
        <v>1</v>
      </c>
      <c r="F71" s="44" t="n">
        <f aca="false">M71+T71+AA71+AH71</f>
        <v>1</v>
      </c>
      <c r="G71" s="45" t="n">
        <f aca="false">IF(AND(F71&gt;0,H71&gt;0),H71/F71,"")</f>
        <v>251</v>
      </c>
      <c r="H71" s="46" t="n">
        <f aca="false">O71+V71+AC71+AJ71</f>
        <v>251</v>
      </c>
      <c r="I71" s="47" t="n">
        <f aca="false">P71+W71+AD71+AK71</f>
        <v>257</v>
      </c>
      <c r="J71" s="46" t="n">
        <f aca="false">I71-H71</f>
        <v>6</v>
      </c>
      <c r="K71" s="48" t="n">
        <f aca="false">IF(H71&gt;0,J71/H71,"")</f>
        <v>0.0239043824701195</v>
      </c>
      <c r="L71" s="49" t="n">
        <f aca="false">IF(I$6=0,"",I71/I$6)</f>
        <v>1.80946375269432E-005</v>
      </c>
      <c r="M71" s="50" t="n">
        <f aca="false">SUMIFS('Vidushi Malhotra'!$D$7:$D$300,'Vidushi Malhotra'!$B$7:$B$300,$B71)</f>
        <v>1</v>
      </c>
      <c r="N71" s="51" t="n">
        <f aca="false">IF(AND(M71&gt;0,O71&gt;0),O71/M71,"")</f>
        <v>251</v>
      </c>
      <c r="O71" s="8" t="n">
        <f aca="false">SUMIFS('Vidushi Malhotra'!$E$7:$E$300,'Vidushi Malhotra'!$B$7:$B$300,$B71)</f>
        <v>251</v>
      </c>
      <c r="P71" s="8" t="n">
        <f aca="false">SUMIFS('Vidushi Malhotra'!$H$7:$H$300,'Vidushi Malhotra'!$B$7:$B$300,$B71)</f>
        <v>257</v>
      </c>
      <c r="Q71" s="8" t="n">
        <f aca="false">P71-O71</f>
        <v>6</v>
      </c>
      <c r="R71" s="9" t="n">
        <f aca="false">IF(O71&gt;0,Q71/O71,"")</f>
        <v>0.0239043824701195</v>
      </c>
      <c r="S71" s="9" t="n">
        <f aca="false">IF(P$6=0,"",P71/P$6)</f>
        <v>0.00114221085087864</v>
      </c>
      <c r="T71" s="50" t="n">
        <f aca="false">SUMIFS('Dr Umesh Choudhry'!$D$7:$D$300,'Dr Umesh Choudhry'!$B$7:$B$300,$B71)</f>
        <v>0</v>
      </c>
      <c r="U71" s="51" t="str">
        <f aca="false">IF(AND(T71&gt;0,V71&gt;0),V71/T71,"")</f>
        <v/>
      </c>
      <c r="V71" s="8" t="n">
        <f aca="false">SUMIFS('Dr Umesh Choudhry'!$E$7:$E$300,'Dr Umesh Choudhry'!$B$7:$B$300,$B71)</f>
        <v>0</v>
      </c>
      <c r="W71" s="8" t="n">
        <f aca="false">SUMIFS('Dr Umesh Choudhry'!$H$7:$H$300,'Dr Umesh Choudhry'!$B$7:$B$300,$B71)</f>
        <v>0</v>
      </c>
      <c r="X71" s="8" t="n">
        <f aca="false">W71-V71</f>
        <v>0</v>
      </c>
      <c r="Y71" s="9" t="str">
        <f aca="false">IF(V71&gt;0,X71/V71,"")</f>
        <v/>
      </c>
      <c r="Z71" s="9" t="n">
        <f aca="false">IF(W$6=0,"",W71/W$6)</f>
        <v>0</v>
      </c>
      <c r="AA71" s="50" t="n">
        <f aca="false">SUMIFS(Gautam!$D$7:$D$300,Gautam!$B$7:$B$300,$B71)</f>
        <v>0</v>
      </c>
      <c r="AB71" s="51" t="str">
        <f aca="false">IF(AND(AA71&gt;0,AC71&gt;0),AC71/AA71,"")</f>
        <v/>
      </c>
      <c r="AC71" s="8" t="n">
        <f aca="false">SUMIFS(Gautam!$E$7:$E$300,Gautam!$B$7:$B$300,$B71)</f>
        <v>0</v>
      </c>
      <c r="AD71" s="8" t="n">
        <f aca="false">SUMIFS(Gautam!$H$7:$H$300,Gautam!$B$7:$B$300,$B71)</f>
        <v>0</v>
      </c>
      <c r="AE71" s="8" t="n">
        <f aca="false">AD71-AC71</f>
        <v>0</v>
      </c>
      <c r="AF71" s="9" t="str">
        <f aca="false">IF(AC71&gt;0,AE71/AC71,"")</f>
        <v/>
      </c>
      <c r="AG71" s="9" t="n">
        <f aca="false">IF(AD$6=0,"",AD71/AD$6)</f>
        <v>0</v>
      </c>
      <c r="AH71" s="50" t="n">
        <f aca="false">SUMIFS(DA!$D$7:$D$300,DA!$B$7:$B$300,$B71)</f>
        <v>0</v>
      </c>
      <c r="AI71" s="51" t="str">
        <f aca="false">IF(AND(AH71&gt;0,AJ71&gt;0),AJ71/AH71,"")</f>
        <v/>
      </c>
      <c r="AJ71" s="8" t="n">
        <f aca="false">SUMIFS(DA!$E$7:$E$300,DA!$B$7:$B$300,$B71)</f>
        <v>0</v>
      </c>
      <c r="AK71" s="8" t="n">
        <f aca="false">SUMIFS(DA!$H$7:$H$300,DA!$B$7:$B$300,$B71)</f>
        <v>0</v>
      </c>
      <c r="AL71" s="8" t="n">
        <f aca="false">AK71-AJ71</f>
        <v>0</v>
      </c>
      <c r="AM71" s="9" t="str">
        <f aca="false">IF(AJ71&gt;0,AL71/AJ71,"")</f>
        <v/>
      </c>
      <c r="AN71" s="9" t="n">
        <f aca="false">IF(AK$6=0,"",AK71/AK$6)</f>
        <v>0</v>
      </c>
    </row>
    <row r="72" customFormat="false" ht="15" hidden="false" customHeight="false" outlineLevel="0" collapsed="false">
      <c r="A72" s="5" t="n">
        <v>66</v>
      </c>
      <c r="B72" s="41" t="s">
        <v>128</v>
      </c>
      <c r="C72" s="42" t="str">
        <f aca="false">IFERROR(INDEX(Prices!$C$6:$C$300,MATCH($B72,Prices!$A$6:$A$300,0)),"")</f>
        <v/>
      </c>
      <c r="D72" s="43" t="str">
        <f aca="false">IFERROR(INDEX(Prices!$D$6:$D$300,MATCH($B72,Prices!$A$6:$A$300,0)),"")</f>
        <v>No price on any statement</v>
      </c>
      <c r="E72" s="6" t="n">
        <f aca="false">(M72&gt;0)+(T72&gt;0)+(AA72&gt;0)+(AH72&gt;0)</f>
        <v>1</v>
      </c>
      <c r="F72" s="44" t="n">
        <f aca="false">M72+T72+AA72+AH72</f>
        <v>144</v>
      </c>
      <c r="G72" s="45" t="str">
        <f aca="false">IF(AND(F72&gt;0,H72&gt;0),H72/F72,"")</f>
        <v/>
      </c>
      <c r="H72" s="46" t="n">
        <f aca="false">O72+V72+AC72+AJ72</f>
        <v>0</v>
      </c>
      <c r="I72" s="47" t="n">
        <f aca="false">P72+W72+AD72+AK72</f>
        <v>0</v>
      </c>
      <c r="J72" s="46" t="n">
        <f aca="false">I72-H72</f>
        <v>0</v>
      </c>
      <c r="K72" s="48" t="str">
        <f aca="false">IF(H72&gt;0,J72/H72,"")</f>
        <v/>
      </c>
      <c r="L72" s="49" t="n">
        <f aca="false">IF(I$6=0,"",I72/I$6)</f>
        <v>0</v>
      </c>
      <c r="M72" s="50" t="n">
        <f aca="false">SUMIFS('Vidushi Malhotra'!$D$7:$D$300,'Vidushi Malhotra'!$B$7:$B$300,$B72)</f>
        <v>0</v>
      </c>
      <c r="N72" s="51" t="str">
        <f aca="false">IF(AND(M72&gt;0,O72&gt;0),O72/M72,"")</f>
        <v/>
      </c>
      <c r="O72" s="8" t="n">
        <f aca="false">SUMIFS('Vidushi Malhotra'!$E$7:$E$300,'Vidushi Malhotra'!$B$7:$B$300,$B72)</f>
        <v>0</v>
      </c>
      <c r="P72" s="8" t="n">
        <f aca="false">SUMIFS('Vidushi Malhotra'!$H$7:$H$300,'Vidushi Malhotra'!$B$7:$B$300,$B72)</f>
        <v>0</v>
      </c>
      <c r="Q72" s="8" t="n">
        <f aca="false">P72-O72</f>
        <v>0</v>
      </c>
      <c r="R72" s="9" t="str">
        <f aca="false">IF(O72&gt;0,Q72/O72,"")</f>
        <v/>
      </c>
      <c r="S72" s="9" t="n">
        <f aca="false">IF(P$6=0,"",P72/P$6)</f>
        <v>0</v>
      </c>
      <c r="T72" s="50" t="n">
        <f aca="false">SUMIFS('Dr Umesh Choudhry'!$D$7:$D$300,'Dr Umesh Choudhry'!$B$7:$B$300,$B72)</f>
        <v>0</v>
      </c>
      <c r="U72" s="51" t="str">
        <f aca="false">IF(AND(T72&gt;0,V72&gt;0),V72/T72,"")</f>
        <v/>
      </c>
      <c r="V72" s="8" t="n">
        <f aca="false">SUMIFS('Dr Umesh Choudhry'!$E$7:$E$300,'Dr Umesh Choudhry'!$B$7:$B$300,$B72)</f>
        <v>0</v>
      </c>
      <c r="W72" s="8" t="n">
        <f aca="false">SUMIFS('Dr Umesh Choudhry'!$H$7:$H$300,'Dr Umesh Choudhry'!$B$7:$B$300,$B72)</f>
        <v>0</v>
      </c>
      <c r="X72" s="8" t="n">
        <f aca="false">W72-V72</f>
        <v>0</v>
      </c>
      <c r="Y72" s="9" t="str">
        <f aca="false">IF(V72&gt;0,X72/V72,"")</f>
        <v/>
      </c>
      <c r="Z72" s="9" t="n">
        <f aca="false">IF(W$6=0,"",W72/W$6)</f>
        <v>0</v>
      </c>
      <c r="AA72" s="50" t="n">
        <f aca="false">SUMIFS(Gautam!$D$7:$D$300,Gautam!$B$7:$B$300,$B72)</f>
        <v>144</v>
      </c>
      <c r="AB72" s="51" t="str">
        <f aca="false">IF(AND(AA72&gt;0,AC72&gt;0),AC72/AA72,"")</f>
        <v/>
      </c>
      <c r="AC72" s="8" t="n">
        <f aca="false">SUMIFS(Gautam!$E$7:$E$300,Gautam!$B$7:$B$300,$B72)</f>
        <v>0</v>
      </c>
      <c r="AD72" s="8" t="n">
        <f aca="false">SUMIFS(Gautam!$H$7:$H$300,Gautam!$B$7:$B$300,$B72)</f>
        <v>0</v>
      </c>
      <c r="AE72" s="8" t="n">
        <f aca="false">AD72-AC72</f>
        <v>0</v>
      </c>
      <c r="AF72" s="9" t="str">
        <f aca="false">IF(AC72&gt;0,AE72/AC72,"")</f>
        <v/>
      </c>
      <c r="AG72" s="9" t="n">
        <f aca="false">IF(AD$6=0,"",AD72/AD$6)</f>
        <v>0</v>
      </c>
      <c r="AH72" s="50" t="n">
        <f aca="false">SUMIFS(DA!$D$7:$D$300,DA!$B$7:$B$300,$B72)</f>
        <v>0</v>
      </c>
      <c r="AI72" s="51" t="str">
        <f aca="false">IF(AND(AH72&gt;0,AJ72&gt;0),AJ72/AH72,"")</f>
        <v/>
      </c>
      <c r="AJ72" s="8" t="n">
        <f aca="false">SUMIFS(DA!$E$7:$E$300,DA!$B$7:$B$300,$B72)</f>
        <v>0</v>
      </c>
      <c r="AK72" s="8" t="n">
        <f aca="false">SUMIFS(DA!$H$7:$H$300,DA!$B$7:$B$300,$B72)</f>
        <v>0</v>
      </c>
      <c r="AL72" s="8" t="n">
        <f aca="false">AK72-AJ72</f>
        <v>0</v>
      </c>
      <c r="AM72" s="9" t="str">
        <f aca="false">IF(AJ72&gt;0,AL72/AJ72,"")</f>
        <v/>
      </c>
      <c r="AN72" s="9" t="n">
        <f aca="false">IF(AK$6=0,"",AK72/AK$6)</f>
        <v>0</v>
      </c>
    </row>
    <row r="73" customFormat="false" ht="15" hidden="false" customHeight="false" outlineLevel="0" collapsed="false">
      <c r="A73" s="5" t="n">
        <v>67</v>
      </c>
      <c r="B73" s="41" t="s">
        <v>129</v>
      </c>
      <c r="C73" s="42" t="str">
        <f aca="false">IFERROR(INDEX(Prices!$C$6:$C$300,MATCH($B73,Prices!$A$6:$A$300,0)),"")</f>
        <v/>
      </c>
      <c r="D73" s="43" t="str">
        <f aca="false">IFERROR(INDEX(Prices!$D$6:$D$300,MATCH($B73,Prices!$A$6:$A$300,0)),"")</f>
        <v>No price on any statement</v>
      </c>
      <c r="E73" s="6" t="n">
        <f aca="false">(M73&gt;0)+(T73&gt;0)+(AA73&gt;0)+(AH73&gt;0)</f>
        <v>1</v>
      </c>
      <c r="F73" s="44" t="n">
        <f aca="false">M73+T73+AA73+AH73</f>
        <v>1000</v>
      </c>
      <c r="G73" s="45" t="str">
        <f aca="false">IF(AND(F73&gt;0,H73&gt;0),H73/F73,"")</f>
        <v/>
      </c>
      <c r="H73" s="46" t="n">
        <f aca="false">O73+V73+AC73+AJ73</f>
        <v>0</v>
      </c>
      <c r="I73" s="47" t="n">
        <f aca="false">P73+W73+AD73+AK73</f>
        <v>0</v>
      </c>
      <c r="J73" s="46" t="n">
        <f aca="false">I73-H73</f>
        <v>0</v>
      </c>
      <c r="K73" s="48" t="str">
        <f aca="false">IF(H73&gt;0,J73/H73,"")</f>
        <v/>
      </c>
      <c r="L73" s="49" t="n">
        <f aca="false">IF(I$6=0,"",I73/I$6)</f>
        <v>0</v>
      </c>
      <c r="M73" s="50" t="n">
        <f aca="false">SUMIFS('Vidushi Malhotra'!$D$7:$D$300,'Vidushi Malhotra'!$B$7:$B$300,$B73)</f>
        <v>0</v>
      </c>
      <c r="N73" s="51" t="str">
        <f aca="false">IF(AND(M73&gt;0,O73&gt;0),O73/M73,"")</f>
        <v/>
      </c>
      <c r="O73" s="8" t="n">
        <f aca="false">SUMIFS('Vidushi Malhotra'!$E$7:$E$300,'Vidushi Malhotra'!$B$7:$B$300,$B73)</f>
        <v>0</v>
      </c>
      <c r="P73" s="8" t="n">
        <f aca="false">SUMIFS('Vidushi Malhotra'!$H$7:$H$300,'Vidushi Malhotra'!$B$7:$B$300,$B73)</f>
        <v>0</v>
      </c>
      <c r="Q73" s="8" t="n">
        <f aca="false">P73-O73</f>
        <v>0</v>
      </c>
      <c r="R73" s="9" t="str">
        <f aca="false">IF(O73&gt;0,Q73/O73,"")</f>
        <v/>
      </c>
      <c r="S73" s="9" t="n">
        <f aca="false">IF(P$6=0,"",P73/P$6)</f>
        <v>0</v>
      </c>
      <c r="T73" s="50" t="n">
        <f aca="false">SUMIFS('Dr Umesh Choudhry'!$D$7:$D$300,'Dr Umesh Choudhry'!$B$7:$B$300,$B73)</f>
        <v>0</v>
      </c>
      <c r="U73" s="51" t="str">
        <f aca="false">IF(AND(T73&gt;0,V73&gt;0),V73/T73,"")</f>
        <v/>
      </c>
      <c r="V73" s="8" t="n">
        <f aca="false">SUMIFS('Dr Umesh Choudhry'!$E$7:$E$300,'Dr Umesh Choudhry'!$B$7:$B$300,$B73)</f>
        <v>0</v>
      </c>
      <c r="W73" s="8" t="n">
        <f aca="false">SUMIFS('Dr Umesh Choudhry'!$H$7:$H$300,'Dr Umesh Choudhry'!$B$7:$B$300,$B73)</f>
        <v>0</v>
      </c>
      <c r="X73" s="8" t="n">
        <f aca="false">W73-V73</f>
        <v>0</v>
      </c>
      <c r="Y73" s="9" t="str">
        <f aca="false">IF(V73&gt;0,X73/V73,"")</f>
        <v/>
      </c>
      <c r="Z73" s="9" t="n">
        <f aca="false">IF(W$6=0,"",W73/W$6)</f>
        <v>0</v>
      </c>
      <c r="AA73" s="50" t="n">
        <f aca="false">SUMIFS(Gautam!$D$7:$D$300,Gautam!$B$7:$B$300,$B73)</f>
        <v>1000</v>
      </c>
      <c r="AB73" s="51" t="str">
        <f aca="false">IF(AND(AA73&gt;0,AC73&gt;0),AC73/AA73,"")</f>
        <v/>
      </c>
      <c r="AC73" s="8" t="n">
        <f aca="false">SUMIFS(Gautam!$E$7:$E$300,Gautam!$B$7:$B$300,$B73)</f>
        <v>0</v>
      </c>
      <c r="AD73" s="8" t="n">
        <f aca="false">SUMIFS(Gautam!$H$7:$H$300,Gautam!$B$7:$B$300,$B73)</f>
        <v>0</v>
      </c>
      <c r="AE73" s="8" t="n">
        <f aca="false">AD73-AC73</f>
        <v>0</v>
      </c>
      <c r="AF73" s="9" t="str">
        <f aca="false">IF(AC73&gt;0,AE73/AC73,"")</f>
        <v/>
      </c>
      <c r="AG73" s="9" t="n">
        <f aca="false">IF(AD$6=0,"",AD73/AD$6)</f>
        <v>0</v>
      </c>
      <c r="AH73" s="50" t="n">
        <f aca="false">SUMIFS(DA!$D$7:$D$300,DA!$B$7:$B$300,$B73)</f>
        <v>0</v>
      </c>
      <c r="AI73" s="51" t="str">
        <f aca="false">IF(AND(AH73&gt;0,AJ73&gt;0),AJ73/AH73,"")</f>
        <v/>
      </c>
      <c r="AJ73" s="8" t="n">
        <f aca="false">SUMIFS(DA!$E$7:$E$300,DA!$B$7:$B$300,$B73)</f>
        <v>0</v>
      </c>
      <c r="AK73" s="8" t="n">
        <f aca="false">SUMIFS(DA!$H$7:$H$300,DA!$B$7:$B$300,$B73)</f>
        <v>0</v>
      </c>
      <c r="AL73" s="8" t="n">
        <f aca="false">AK73-AJ73</f>
        <v>0</v>
      </c>
      <c r="AM73" s="9" t="str">
        <f aca="false">IF(AJ73&gt;0,AL73/AJ73,"")</f>
        <v/>
      </c>
      <c r="AN73" s="9" t="n">
        <f aca="false">IF(AK$6=0,"",AK73/AK$6)</f>
        <v>0</v>
      </c>
    </row>
  </sheetData>
  <mergeCells count="5">
    <mergeCell ref="F4:L4"/>
    <mergeCell ref="M4:S4"/>
    <mergeCell ref="T4:Z4"/>
    <mergeCell ref="AA4:AG4"/>
    <mergeCell ref="AH4:AN4"/>
  </mergeCells>
  <conditionalFormatting sqref="C7:C73">
    <cfRule type="expression" priority="2" aboveAverage="0" equalAverage="0" bottom="0" percent="0" rank="0" text="" dxfId="0">
      <formula>ISNUMBER(SEARCH("stale",$D7))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3"/>
    <col collapsed="false" customWidth="true" hidden="false" outlineLevel="0" max="4" min="4" style="0" width="30"/>
    <col collapsed="false" customWidth="true" hidden="false" outlineLevel="0" max="8" min="5" style="0" width="12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9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3" customFormat="false" ht="15" hidden="false" customHeight="false" outlineLevel="0" collapsed="false">
      <c r="A3" s="52" t="s">
        <v>132</v>
      </c>
    </row>
    <row r="5" customFormat="false" ht="31.5" hidden="false" customHeight="true" outlineLevel="0" collapsed="false">
      <c r="A5" s="3" t="s">
        <v>35</v>
      </c>
      <c r="B5" s="3" t="s">
        <v>133</v>
      </c>
      <c r="C5" s="3" t="s">
        <v>134</v>
      </c>
      <c r="D5" s="3" t="s">
        <v>55</v>
      </c>
      <c r="E5" s="3" t="s">
        <v>135</v>
      </c>
      <c r="F5" s="3" t="s">
        <v>136</v>
      </c>
      <c r="G5" s="3" t="s">
        <v>137</v>
      </c>
      <c r="H5" s="3" t="s">
        <v>138</v>
      </c>
      <c r="I5" s="3" t="s">
        <v>139</v>
      </c>
      <c r="J5" s="3" t="s">
        <v>140</v>
      </c>
      <c r="K5" s="3" t="s">
        <v>141</v>
      </c>
    </row>
    <row r="6" customFormat="false" ht="15" hidden="false" customHeight="false" outlineLevel="0" collapsed="false">
      <c r="A6" s="5" t="s">
        <v>67</v>
      </c>
      <c r="B6" s="53" t="n">
        <v>1432.05</v>
      </c>
      <c r="C6" s="54" t="n">
        <f aca="false">IF(ISNUMBER(B6),B6,IF(ISNUMBER(E6),E6,IF(ISNUMBER(F6),F6,IF(ISNUMBER(G6),G6,IF(ISNUMBER(H6),H6,"")))))</f>
        <v>1432.05</v>
      </c>
      <c r="D6" s="55" t="str">
        <f aca="false">IF(ISNUMBER(B6),IF(I6&lt;&gt;"",I6,"Manual override"),IF(ISNUMBER(E6),"Vidushi stmt – LTP 05.10",IF(ISNUMBER(F6),"Umesh stmt – NSE live 09.10",IF(ISNUMBER(G6),"Gautam stmt – 05.10",IF(ISNUMBER(H6),"DA stmt – older (stale)","No price on any statement")))))</f>
        <v>Close 08.10.2026 (Screener.in)</v>
      </c>
      <c r="E6" s="42" t="str">
        <f aca="false">IFERROR(INDEX('Vidushi Malhotra'!$M$7:$M$300,MATCH($A6,'Vidushi Malhotra'!$B$7:$B$300,0)),"")</f>
        <v/>
      </c>
      <c r="F6" s="42" t="n">
        <f aca="false">IFERROR(INDEX('Dr Umesh Choudhry'!$M$7:$M$300,MATCH($A6,'Dr Umesh Choudhry'!$B$7:$B$300,0)),"")</f>
        <v>1425</v>
      </c>
      <c r="G6" s="42" t="n">
        <f aca="false">IFERROR(INDEX(Gautam!$M$7:$M$300,MATCH($A6,Gautam!$B$7:$B$300,0)),"")</f>
        <v>1481</v>
      </c>
      <c r="H6" s="42" t="n">
        <f aca="false">IFERROR(INDEX(DA!$M$7:$M$300,MATCH($A6,DA!$B$7:$B$300,0)),"")</f>
        <v>1540</v>
      </c>
      <c r="I6" s="56" t="s">
        <v>142</v>
      </c>
      <c r="J6" s="57" t="n">
        <v>1499.4</v>
      </c>
      <c r="K6" s="9" t="n">
        <f aca="false">IF(AND(ISNUMBER(B6),ISNUMBER(J6),N(J6)&gt;0),B6/J6-1,"")</f>
        <v>-0.0449179671868748</v>
      </c>
    </row>
    <row r="7" customFormat="false" ht="15" hidden="false" customHeight="false" outlineLevel="0" collapsed="false">
      <c r="A7" s="5" t="s">
        <v>77</v>
      </c>
      <c r="B7" s="53" t="n">
        <v>1401.4</v>
      </c>
      <c r="C7" s="54" t="n">
        <f aca="false">IF(ISNUMBER(B7),B7,IF(ISNUMBER(E7),E7,IF(ISNUMBER(F7),F7,IF(ISNUMBER(G7),G7,IF(ISNUMBER(H7),H7,"")))))</f>
        <v>1401.4</v>
      </c>
      <c r="D7" s="55" t="str">
        <f aca="false">IF(ISNUMBER(B7),IF(I7&lt;&gt;"",I7,"Manual override"),IF(ISNUMBER(E7),"Vidushi stmt – LTP 05.10",IF(ISNUMBER(F7),"Umesh stmt – NSE live 09.10",IF(ISNUMBER(G7),"Gautam stmt – 05.10",IF(ISNUMBER(H7),"DA stmt – older (stale)","No price on any statement")))))</f>
        <v>Close 08.10.2026 (Screener.in)</v>
      </c>
      <c r="E7" s="42" t="n">
        <f aca="false">IFERROR(INDEX('Vidushi Malhotra'!$M$7:$M$300,MATCH($A7,'Vidushi Malhotra'!$B$7:$B$300,0)),"")</f>
        <v>1456.66666666667</v>
      </c>
      <c r="F7" s="42" t="n">
        <f aca="false">IFERROR(INDEX('Dr Umesh Choudhry'!$M$7:$M$300,MATCH($A7,'Dr Umesh Choudhry'!$B$7:$B$300,0)),"")</f>
        <v>1422.89361702128</v>
      </c>
      <c r="G7" s="42" t="n">
        <f aca="false">IFERROR(INDEX(Gautam!$M$7:$M$300,MATCH($A7,Gautam!$B$7:$B$300,0)),"")</f>
        <v>1450</v>
      </c>
      <c r="H7" s="42" t="n">
        <f aca="false">IFERROR(INDEX(DA!$M$7:$M$300,MATCH($A7,DA!$B$7:$B$300,0)),"")</f>
        <v>1568</v>
      </c>
      <c r="I7" s="56" t="s">
        <v>142</v>
      </c>
      <c r="J7" s="57" t="n">
        <v>1436</v>
      </c>
      <c r="K7" s="9" t="n">
        <f aca="false">IF(AND(ISNUMBER(B7),ISNUMBER(J7),N(J7)&gt;0),B7/J7-1,"")</f>
        <v>-0.0240947075208913</v>
      </c>
    </row>
    <row r="8" customFormat="false" ht="15" hidden="false" customHeight="false" outlineLevel="0" collapsed="false">
      <c r="A8" s="5" t="s">
        <v>109</v>
      </c>
      <c r="B8" s="53" t="n">
        <v>341</v>
      </c>
      <c r="C8" s="54" t="n">
        <f aca="false">IF(ISNUMBER(B8),B8,IF(ISNUMBER(E8),E8,IF(ISNUMBER(F8),F8,IF(ISNUMBER(G8),G8,IF(ISNUMBER(H8),H8,"")))))</f>
        <v>341</v>
      </c>
      <c r="D8" s="55" t="str">
        <f aca="false">IF(ISNUMBER(B8),IF(I8&lt;&gt;"",I8,"Manual override"),IF(ISNUMBER(E8),"Vidushi stmt – LTP 05.10",IF(ISNUMBER(F8),"Umesh stmt – NSE live 09.10",IF(ISNUMBER(G8),"Gautam stmt – 05.10",IF(ISNUMBER(H8),"DA stmt – older (stale)","No price on any statement")))))</f>
        <v>Close 08.10.2026 (Screener.in)</v>
      </c>
      <c r="E8" s="42" t="str">
        <f aca="false">IFERROR(INDEX('Vidushi Malhotra'!$M$7:$M$300,MATCH($A8,'Vidushi Malhotra'!$B$7:$B$300,0)),"")</f>
        <v/>
      </c>
      <c r="F8" s="42" t="str">
        <f aca="false">IFERROR(INDEX('Dr Umesh Choudhry'!$M$7:$M$300,MATCH($A8,'Dr Umesh Choudhry'!$B$7:$B$300,0)),"")</f>
        <v/>
      </c>
      <c r="G8" s="42" t="str">
        <f aca="false">IFERROR(INDEX(Gautam!$M$7:$M$300,MATCH($A8,Gautam!$B$7:$B$300,0)),"")</f>
        <v/>
      </c>
      <c r="H8" s="42" t="n">
        <f aca="false">IFERROR(INDEX(DA!$M$7:$M$300,MATCH($A8,DA!$B$7:$B$300,0)),"")</f>
        <v>392</v>
      </c>
      <c r="I8" s="56" t="s">
        <v>142</v>
      </c>
      <c r="J8" s="57" t="n">
        <v>356.9</v>
      </c>
      <c r="K8" s="9" t="n">
        <f aca="false">IF(AND(ISNUMBER(B8),ISNUMBER(J8),N(J8)&gt;0),B8/J8-1,"")</f>
        <v>-0.044550294200056</v>
      </c>
    </row>
    <row r="9" customFormat="false" ht="15" hidden="false" customHeight="false" outlineLevel="0" collapsed="false">
      <c r="A9" s="5" t="s">
        <v>120</v>
      </c>
      <c r="B9" s="53" t="n">
        <v>101.4</v>
      </c>
      <c r="C9" s="54" t="n">
        <f aca="false">IF(ISNUMBER(B9),B9,IF(ISNUMBER(E9),E9,IF(ISNUMBER(F9),F9,IF(ISNUMBER(G9),G9,IF(ISNUMBER(H9),H9,"")))))</f>
        <v>101.4</v>
      </c>
      <c r="D9" s="55" t="str">
        <f aca="false">IF(ISNUMBER(B9),IF(I9&lt;&gt;"",I9,"Manual override"),IF(ISNUMBER(E9),"Vidushi stmt – LTP 05.10",IF(ISNUMBER(F9),"Umesh stmt – NSE live 09.10",IF(ISNUMBER(G9),"Gautam stmt – 05.10",IF(ISNUMBER(H9),"DA stmt – older (stale)","No price on any statement")))))</f>
        <v>Close 08.10.2026 (Screener.in)</v>
      </c>
      <c r="E9" s="42" t="str">
        <f aca="false">IFERROR(INDEX('Vidushi Malhotra'!$M$7:$M$300,MATCH($A9,'Vidushi Malhotra'!$B$7:$B$300,0)),"")</f>
        <v/>
      </c>
      <c r="F9" s="42" t="str">
        <f aca="false">IFERROR(INDEX('Dr Umesh Choudhry'!$M$7:$M$300,MATCH($A9,'Dr Umesh Choudhry'!$B$7:$B$300,0)),"")</f>
        <v/>
      </c>
      <c r="G9" s="42" t="str">
        <f aca="false">IFERROR(INDEX(Gautam!$M$7:$M$300,MATCH($A9,Gautam!$B$7:$B$300,0)),"")</f>
        <v/>
      </c>
      <c r="H9" s="42" t="n">
        <f aca="false">IFERROR(INDEX(DA!$M$7:$M$300,MATCH($A9,DA!$B$7:$B$300,0)),"")</f>
        <v>114</v>
      </c>
      <c r="I9" s="56" t="s">
        <v>142</v>
      </c>
      <c r="J9" s="57" t="n">
        <v>104.03</v>
      </c>
      <c r="K9" s="9" t="n">
        <f aca="false">IF(AND(ISNUMBER(B9),ISNUMBER(J9),N(J9)&gt;0),B9/J9-1,"")</f>
        <v>-0.0252811688935883</v>
      </c>
    </row>
    <row r="10" customFormat="false" ht="15" hidden="false" customHeight="false" outlineLevel="0" collapsed="false">
      <c r="A10" s="5" t="s">
        <v>100</v>
      </c>
      <c r="B10" s="53" t="n">
        <v>714.75</v>
      </c>
      <c r="C10" s="54" t="n">
        <f aca="false">IF(ISNUMBER(B10),B10,IF(ISNUMBER(E10),E10,IF(ISNUMBER(F10),F10,IF(ISNUMBER(G10),G10,IF(ISNUMBER(H10),H10,"")))))</f>
        <v>714.75</v>
      </c>
      <c r="D10" s="55" t="str">
        <f aca="false">IF(ISNUMBER(B10),IF(I10&lt;&gt;"",I10,"Manual override"),IF(ISNUMBER(E10),"Vidushi stmt – LTP 05.10",IF(ISNUMBER(F10),"Umesh stmt – NSE live 09.10",IF(ISNUMBER(G10),"Gautam stmt – 05.10",IF(ISNUMBER(H10),"DA stmt – older (stale)","No price on any statement")))))</f>
        <v>Close 08.10.2026 (Screener.in)</v>
      </c>
      <c r="E10" s="42" t="str">
        <f aca="false">IFERROR(INDEX('Vidushi Malhotra'!$M$7:$M$300,MATCH($A10,'Vidushi Malhotra'!$B$7:$B$300,0)),"")</f>
        <v/>
      </c>
      <c r="F10" s="42" t="str">
        <f aca="false">IFERROR(INDEX('Dr Umesh Choudhry'!$M$7:$M$300,MATCH($A10,'Dr Umesh Choudhry'!$B$7:$B$300,0)),"")</f>
        <v/>
      </c>
      <c r="G10" s="42" t="str">
        <f aca="false">IFERROR(INDEX(Gautam!$M$7:$M$300,MATCH($A10,Gautam!$B$7:$B$300,0)),"")</f>
        <v/>
      </c>
      <c r="H10" s="42" t="n">
        <f aca="false">IFERROR(INDEX(DA!$M$7:$M$300,MATCH($A10,DA!$B$7:$B$300,0)),"")</f>
        <v>700</v>
      </c>
      <c r="I10" s="56" t="s">
        <v>142</v>
      </c>
      <c r="J10" s="57" t="n">
        <v>748.2</v>
      </c>
      <c r="K10" s="9" t="n">
        <f aca="false">IF(AND(ISNUMBER(B10),ISNUMBER(J10),N(J10)&gt;0),B10/J10-1,"")</f>
        <v>-0.0447072975140337</v>
      </c>
    </row>
    <row r="11" customFormat="false" ht="15" hidden="false" customHeight="false" outlineLevel="0" collapsed="false">
      <c r="A11" s="5" t="s">
        <v>81</v>
      </c>
      <c r="B11" s="53" t="n">
        <v>3585</v>
      </c>
      <c r="C11" s="54" t="n">
        <f aca="false">IF(ISNUMBER(B11),B11,IF(ISNUMBER(E11),E11,IF(ISNUMBER(F11),F11,IF(ISNUMBER(G11),G11,IF(ISNUMBER(H11),H11,"")))))</f>
        <v>3585</v>
      </c>
      <c r="D11" s="55" t="str">
        <f aca="false">IF(ISNUMBER(B11),IF(I11&lt;&gt;"",I11,"Manual override"),IF(ISNUMBER(E11),"Vidushi stmt – LTP 05.10",IF(ISNUMBER(F11),"Umesh stmt – NSE live 09.10",IF(ISNUMBER(G11),"Gautam stmt – 05.10",IF(ISNUMBER(H11),"DA stmt – older (stale)","No price on any statement")))))</f>
        <v>Close 08.10.2026 (Screener.in)</v>
      </c>
      <c r="E11" s="42" t="str">
        <f aca="false">IFERROR(INDEX('Vidushi Malhotra'!$M$7:$M$300,MATCH($A11,'Vidushi Malhotra'!$B$7:$B$300,0)),"")</f>
        <v/>
      </c>
      <c r="F11" s="42" t="n">
        <f aca="false">IFERROR(INDEX('Dr Umesh Choudhry'!$M$7:$M$300,MATCH($A11,'Dr Umesh Choudhry'!$B$7:$B$300,0)),"")</f>
        <v>3567.5</v>
      </c>
      <c r="G11" s="42" t="n">
        <f aca="false">IFERROR(INDEX(Gautam!$M$7:$M$300,MATCH($A11,Gautam!$B$7:$B$300,0)),"")</f>
        <v>3813</v>
      </c>
      <c r="H11" s="42" t="n">
        <f aca="false">IFERROR(INDEX(DA!$M$7:$M$300,MATCH($A11,DA!$B$7:$B$300,0)),"")</f>
        <v>3688</v>
      </c>
      <c r="I11" s="56" t="s">
        <v>142</v>
      </c>
      <c r="J11" s="57" t="n">
        <v>3636</v>
      </c>
      <c r="K11" s="9" t="n">
        <f aca="false">IF(AND(ISNUMBER(B11),ISNUMBER(J11),N(J11)&gt;0),B11/J11-1,"")</f>
        <v>-0.014026402640264</v>
      </c>
    </row>
    <row r="12" customFormat="false" ht="15" hidden="false" customHeight="false" outlineLevel="0" collapsed="false">
      <c r="A12" s="5" t="s">
        <v>114</v>
      </c>
      <c r="B12" s="53" t="n">
        <v>106.52</v>
      </c>
      <c r="C12" s="54" t="n">
        <f aca="false">IF(ISNUMBER(B12),B12,IF(ISNUMBER(E12),E12,IF(ISNUMBER(F12),F12,IF(ISNUMBER(G12),G12,IF(ISNUMBER(H12),H12,"")))))</f>
        <v>106.52</v>
      </c>
      <c r="D12" s="55" t="str">
        <f aca="false">IF(ISNUMBER(B12),IF(I12&lt;&gt;"",I12,"Manual override"),IF(ISNUMBER(E12),"Vidushi stmt – LTP 05.10",IF(ISNUMBER(F12),"Umesh stmt – NSE live 09.10",IF(ISNUMBER(G12),"Gautam stmt – 05.10",IF(ISNUMBER(H12),"DA stmt – older (stale)","No price on any statement")))))</f>
        <v>Close 08.10.2026 (Screener.in)</v>
      </c>
      <c r="E12" s="42" t="str">
        <f aca="false">IFERROR(INDEX('Vidushi Malhotra'!$M$7:$M$300,MATCH($A12,'Vidushi Malhotra'!$B$7:$B$300,0)),"")</f>
        <v/>
      </c>
      <c r="F12" s="42" t="str">
        <f aca="false">IFERROR(INDEX('Dr Umesh Choudhry'!$M$7:$M$300,MATCH($A12,'Dr Umesh Choudhry'!$B$7:$B$300,0)),"")</f>
        <v/>
      </c>
      <c r="G12" s="42" t="n">
        <f aca="false">IFERROR(INDEX(Gautam!$M$7:$M$300,MATCH($A12,Gautam!$B$7:$B$300,0)),"")</f>
        <v>107</v>
      </c>
      <c r="H12" s="42" t="str">
        <f aca="false">IFERROR(INDEX(DA!$M$7:$M$300,MATCH($A12,DA!$B$7:$B$300,0)),"")</f>
        <v/>
      </c>
      <c r="I12" s="56" t="s">
        <v>142</v>
      </c>
      <c r="J12" s="57" t="n">
        <v>106.62</v>
      </c>
      <c r="K12" s="9" t="n">
        <f aca="false">IF(AND(ISNUMBER(B12),ISNUMBER(J12),N(J12)&gt;0),B12/J12-1,"")</f>
        <v>-0.000937910335771952</v>
      </c>
    </row>
    <row r="13" customFormat="false" ht="15" hidden="false" customHeight="false" outlineLevel="0" collapsed="false">
      <c r="A13" s="5" t="s">
        <v>63</v>
      </c>
      <c r="B13" s="53" t="n">
        <v>955.95</v>
      </c>
      <c r="C13" s="54" t="n">
        <f aca="false">IF(ISNUMBER(B13),B13,IF(ISNUMBER(E13),E13,IF(ISNUMBER(F13),F13,IF(ISNUMBER(G13),G13,IF(ISNUMBER(H13),H13,"")))))</f>
        <v>955.95</v>
      </c>
      <c r="D13" s="55" t="str">
        <f aca="false">IF(ISNUMBER(B13),IF(I13&lt;&gt;"",I13,"Manual override"),IF(ISNUMBER(E13),"Vidushi stmt – LTP 05.10",IF(ISNUMBER(F13),"Umesh stmt – NSE live 09.10",IF(ISNUMBER(G13),"Gautam stmt – 05.10",IF(ISNUMBER(H13),"DA stmt – older (stale)","No price on any statement")))))</f>
        <v>Close 08.10.2026 (Screener.in)</v>
      </c>
      <c r="E13" s="42" t="n">
        <f aca="false">IFERROR(INDEX('Vidushi Malhotra'!$M$7:$M$300,MATCH($A13,'Vidushi Malhotra'!$B$7:$B$300,0)),"")</f>
        <v>973.900826446281</v>
      </c>
      <c r="F13" s="42" t="n">
        <f aca="false">IFERROR(INDEX('Dr Umesh Choudhry'!$M$7:$M$300,MATCH($A13,'Dr Umesh Choudhry'!$B$7:$B$300,0)),"")</f>
        <v>961.34991708126</v>
      </c>
      <c r="G13" s="42" t="n">
        <f aca="false">IFERROR(INDEX(Gautam!$M$7:$M$300,MATCH($A13,Gautam!$B$7:$B$300,0)),"")</f>
        <v>981</v>
      </c>
      <c r="H13" s="42" t="n">
        <f aca="false">IFERROR(INDEX(DA!$M$7:$M$300,MATCH($A13,DA!$B$7:$B$300,0)),"")</f>
        <v>1034</v>
      </c>
      <c r="I13" s="56" t="s">
        <v>142</v>
      </c>
      <c r="J13" s="57" t="n">
        <v>963.85</v>
      </c>
      <c r="K13" s="9" t="n">
        <f aca="false">IF(AND(ISNUMBER(B13),ISNUMBER(J13),N(J13)&gt;0),B13/J13-1,"")</f>
        <v>-0.00819629610416561</v>
      </c>
    </row>
    <row r="14" customFormat="false" ht="15" hidden="false" customHeight="false" outlineLevel="0" collapsed="false">
      <c r="A14" s="5" t="s">
        <v>69</v>
      </c>
      <c r="B14" s="53" t="n">
        <v>82.14</v>
      </c>
      <c r="C14" s="54" t="n">
        <f aca="false">IF(ISNUMBER(B14),B14,IF(ISNUMBER(E14),E14,IF(ISNUMBER(F14),F14,IF(ISNUMBER(G14),G14,IF(ISNUMBER(H14),H14,"")))))</f>
        <v>82.14</v>
      </c>
      <c r="D14" s="55" t="str">
        <f aca="false">IF(ISNUMBER(B14),IF(I14&lt;&gt;"",I14,"Manual override"),IF(ISNUMBER(E14),"Vidushi stmt – LTP 05.10",IF(ISNUMBER(F14),"Umesh stmt – NSE live 09.10",IF(ISNUMBER(G14),"Gautam stmt – 05.10",IF(ISNUMBER(H14),"DA stmt – older (stale)","No price on any statement")))))</f>
        <v>Close 08.10.2026 (Screener.in)</v>
      </c>
      <c r="E14" s="42" t="n">
        <f aca="false">IFERROR(INDEX('Vidushi Malhotra'!$M$7:$M$300,MATCH($A14,'Vidushi Malhotra'!$B$7:$B$300,0)),"")</f>
        <v>81.801652892562</v>
      </c>
      <c r="F14" s="42" t="n">
        <f aca="false">IFERROR(INDEX('Dr Umesh Choudhry'!$M$7:$M$300,MATCH($A14,'Dr Umesh Choudhry'!$B$7:$B$300,0)),"")</f>
        <v>82.2101910828026</v>
      </c>
      <c r="G14" s="42" t="n">
        <f aca="false">IFERROR(INDEX(Gautam!$M$7:$M$300,MATCH($A14,Gautam!$B$7:$B$300,0)),"")</f>
        <v>82.6003016591252</v>
      </c>
      <c r="H14" s="42" t="n">
        <f aca="false">IFERROR(INDEX(DA!$M$7:$M$300,MATCH($A14,DA!$B$7:$B$300,0)),"")</f>
        <v>84</v>
      </c>
      <c r="I14" s="56" t="s">
        <v>142</v>
      </c>
      <c r="J14" s="57" t="n">
        <v>84.08</v>
      </c>
      <c r="K14" s="9" t="n">
        <f aca="false">IF(AND(ISNUMBER(B14),ISNUMBER(J14),N(J14)&gt;0),B14/J14-1,"")</f>
        <v>-0.0230732635585157</v>
      </c>
    </row>
    <row r="15" customFormat="false" ht="15" hidden="false" customHeight="false" outlineLevel="0" collapsed="false">
      <c r="A15" s="5" t="s">
        <v>122</v>
      </c>
      <c r="B15" s="53" t="n">
        <v>1804.6</v>
      </c>
      <c r="C15" s="54" t="n">
        <f aca="false">IF(ISNUMBER(B15),B15,IF(ISNUMBER(E15),E15,IF(ISNUMBER(F15),F15,IF(ISNUMBER(G15),G15,IF(ISNUMBER(H15),H15,"")))))</f>
        <v>1804.6</v>
      </c>
      <c r="D15" s="55" t="str">
        <f aca="false">IF(ISNUMBER(B15),IF(I15&lt;&gt;"",I15,"Manual override"),IF(ISNUMBER(E15),"Vidushi stmt – LTP 05.10",IF(ISNUMBER(F15),"Umesh stmt – NSE live 09.10",IF(ISNUMBER(G15),"Gautam stmt – 05.10",IF(ISNUMBER(H15),"DA stmt – older (stale)","No price on any statement")))))</f>
        <v>Close 08.10.2026 (Screener.in)</v>
      </c>
      <c r="E15" s="42" t="str">
        <f aca="false">IFERROR(INDEX('Vidushi Malhotra'!$M$7:$M$300,MATCH($A15,'Vidushi Malhotra'!$B$7:$B$300,0)),"")</f>
        <v/>
      </c>
      <c r="F15" s="42" t="str">
        <f aca="false">IFERROR(INDEX('Dr Umesh Choudhry'!$M$7:$M$300,MATCH($A15,'Dr Umesh Choudhry'!$B$7:$B$300,0)),"")</f>
        <v/>
      </c>
      <c r="G15" s="42" t="n">
        <f aca="false">IFERROR(INDEX(Gautam!$M$7:$M$300,MATCH($A15,Gautam!$B$7:$B$300,0)),"")</f>
        <v>1741</v>
      </c>
      <c r="H15" s="42" t="str">
        <f aca="false">IFERROR(INDEX(DA!$M$7:$M$300,MATCH($A15,DA!$B$7:$B$300,0)),"")</f>
        <v/>
      </c>
      <c r="I15" s="56" t="s">
        <v>142</v>
      </c>
      <c r="J15" s="57" t="n">
        <v>1833.9</v>
      </c>
      <c r="K15" s="9" t="n">
        <f aca="false">IF(AND(ISNUMBER(B15),ISNUMBER(J15),N(J15)&gt;0),B15/J15-1,"")</f>
        <v>-0.0159768798734937</v>
      </c>
    </row>
    <row r="16" customFormat="false" ht="15" hidden="false" customHeight="false" outlineLevel="0" collapsed="false">
      <c r="A16" s="5" t="s">
        <v>107</v>
      </c>
      <c r="B16" s="53" t="n">
        <v>547.2</v>
      </c>
      <c r="C16" s="54" t="n">
        <f aca="false">IF(ISNUMBER(B16),B16,IF(ISNUMBER(E16),E16,IF(ISNUMBER(F16),F16,IF(ISNUMBER(G16),G16,IF(ISNUMBER(H16),H16,"")))))</f>
        <v>547.2</v>
      </c>
      <c r="D16" s="55" t="str">
        <f aca="false">IF(ISNUMBER(B16),IF(I16&lt;&gt;"",I16,"Manual override"),IF(ISNUMBER(E16),"Vidushi stmt – LTP 05.10",IF(ISNUMBER(F16),"Umesh stmt – NSE live 09.10",IF(ISNUMBER(G16),"Gautam stmt – 05.10",IF(ISNUMBER(H16),"DA stmt – older (stale)","No price on any statement")))))</f>
        <v>Close 08.10.2026 (Screener.in)</v>
      </c>
      <c r="E16" s="42" t="str">
        <f aca="false">IFERROR(INDEX('Vidushi Malhotra'!$M$7:$M$300,MATCH($A16,'Vidushi Malhotra'!$B$7:$B$300,0)),"")</f>
        <v/>
      </c>
      <c r="F16" s="42" t="str">
        <f aca="false">IFERROR(INDEX('Dr Umesh Choudhry'!$M$7:$M$300,MATCH($A16,'Dr Umesh Choudhry'!$B$7:$B$300,0)),"")</f>
        <v/>
      </c>
      <c r="G16" s="42" t="str">
        <f aca="false">IFERROR(INDEX(Gautam!$M$7:$M$300,MATCH($A16,Gautam!$B$7:$B$300,0)),"")</f>
        <v/>
      </c>
      <c r="H16" s="42" t="n">
        <f aca="false">IFERROR(INDEX(DA!$M$7:$M$300,MATCH($A16,DA!$B$7:$B$300,0)),"")</f>
        <v>639</v>
      </c>
      <c r="I16" s="56" t="s">
        <v>142</v>
      </c>
      <c r="J16" s="57" t="n">
        <v>554.2</v>
      </c>
      <c r="K16" s="9" t="n">
        <f aca="false">IF(AND(ISNUMBER(B16),ISNUMBER(J16),N(J16)&gt;0),B16/J16-1,"")</f>
        <v>-0.0126308191988452</v>
      </c>
    </row>
    <row r="17" customFormat="false" ht="15" hidden="false" customHeight="false" outlineLevel="0" collapsed="false">
      <c r="A17" s="5" t="s">
        <v>91</v>
      </c>
      <c r="B17" s="53" t="n">
        <v>177.19</v>
      </c>
      <c r="C17" s="54" t="n">
        <f aca="false">IF(ISNUMBER(B17),B17,IF(ISNUMBER(E17),E17,IF(ISNUMBER(F17),F17,IF(ISNUMBER(G17),G17,IF(ISNUMBER(H17),H17,"")))))</f>
        <v>177.19</v>
      </c>
      <c r="D17" s="55" t="str">
        <f aca="false">IF(ISNUMBER(B17),IF(I17&lt;&gt;"",I17,"Manual override"),IF(ISNUMBER(E17),"Vidushi stmt – LTP 05.10",IF(ISNUMBER(F17),"Umesh stmt – NSE live 09.10",IF(ISNUMBER(G17),"Gautam stmt – 05.10",IF(ISNUMBER(H17),"DA stmt – older (stale)","No price on any statement")))))</f>
        <v>Close 08.10.2026 (Screener.in)</v>
      </c>
      <c r="E17" s="42" t="str">
        <f aca="false">IFERROR(INDEX('Vidushi Malhotra'!$M$7:$M$300,MATCH($A17,'Vidushi Malhotra'!$B$7:$B$300,0)),"")</f>
        <v/>
      </c>
      <c r="F17" s="42" t="str">
        <f aca="false">IFERROR(INDEX('Dr Umesh Choudhry'!$M$7:$M$300,MATCH($A17,'Dr Umesh Choudhry'!$B$7:$B$300,0)),"")</f>
        <v/>
      </c>
      <c r="G17" s="42" t="str">
        <f aca="false">IFERROR(INDEX(Gautam!$M$7:$M$300,MATCH($A17,Gautam!$B$7:$B$300,0)),"")</f>
        <v/>
      </c>
      <c r="H17" s="42" t="n">
        <f aca="false">IFERROR(INDEX(DA!$M$7:$M$300,MATCH($A17,DA!$B$7:$B$300,0)),"")</f>
        <v>192</v>
      </c>
      <c r="I17" s="56" t="s">
        <v>142</v>
      </c>
      <c r="J17" s="57" t="n">
        <v>181.72</v>
      </c>
      <c r="K17" s="9" t="n">
        <f aca="false">IF(AND(ISNUMBER(B17),ISNUMBER(J17),N(J17)&gt;0),B17/J17-1,"")</f>
        <v>-0.0249284613691393</v>
      </c>
    </row>
    <row r="18" customFormat="false" ht="15" hidden="false" customHeight="false" outlineLevel="0" collapsed="false">
      <c r="A18" s="5" t="s">
        <v>92</v>
      </c>
      <c r="B18" s="53" t="n">
        <v>1</v>
      </c>
      <c r="C18" s="54" t="n">
        <f aca="false">IF(ISNUMBER(B18),B18,IF(ISNUMBER(E18),E18,IF(ISNUMBER(F18),F18,IF(ISNUMBER(G18),G18,IF(ISNUMBER(H18),H18,"")))))</f>
        <v>1</v>
      </c>
      <c r="D18" s="55" t="str">
        <f aca="false">IF(ISNUMBER(B18),IF(I18&lt;&gt;"",I18,"Manual override"),IF(ISNUMBER(E18),"Vidushi stmt – LTP 05.10",IF(ISNUMBER(F18),"Umesh stmt – NSE live 09.10",IF(ISNUMBER(G18),"Gautam stmt – 05.10",IF(ISNUMBER(H18),"DA stmt – older (stale)","No price on any statement")))))</f>
        <v>Cash at par (₹1)</v>
      </c>
      <c r="E18" s="42" t="str">
        <f aca="false">IFERROR(INDEX('Vidushi Malhotra'!$M$7:$M$300,MATCH($A18,'Vidushi Malhotra'!$B$7:$B$300,0)),"")</f>
        <v/>
      </c>
      <c r="F18" s="42" t="n">
        <f aca="false">IFERROR(INDEX('Dr Umesh Choudhry'!$M$7:$M$300,MATCH($A18,'Dr Umesh Choudhry'!$B$7:$B$300,0)),"")</f>
        <v>1</v>
      </c>
      <c r="G18" s="42" t="str">
        <f aca="false">IFERROR(INDEX(Gautam!$M$7:$M$300,MATCH($A18,Gautam!$B$7:$B$300,0)),"")</f>
        <v/>
      </c>
      <c r="H18" s="42" t="str">
        <f aca="false">IFERROR(INDEX(DA!$M$7:$M$300,MATCH($A18,DA!$B$7:$B$300,0)),"")</f>
        <v/>
      </c>
      <c r="I18" s="56" t="s">
        <v>143</v>
      </c>
      <c r="J18" s="57"/>
      <c r="K18" s="9" t="str">
        <f aca="false">IF(AND(ISNUMBER(B18),ISNUMBER(J18),N(J18)&gt;0),B18/J18-1,"")</f>
        <v/>
      </c>
    </row>
    <row r="19" customFormat="false" ht="15" hidden="false" customHeight="false" outlineLevel="0" collapsed="false">
      <c r="A19" s="5" t="s">
        <v>68</v>
      </c>
      <c r="B19" s="53" t="n">
        <v>245</v>
      </c>
      <c r="C19" s="54" t="n">
        <f aca="false">IF(ISNUMBER(B19),B19,IF(ISNUMBER(E19),E19,IF(ISNUMBER(F19),F19,IF(ISNUMBER(G19),G19,IF(ISNUMBER(H19),H19,"")))))</f>
        <v>245</v>
      </c>
      <c r="D19" s="55" t="str">
        <f aca="false">IF(ISNUMBER(B19),IF(I19&lt;&gt;"",I19,"Manual override"),IF(ISNUMBER(E19),"Vidushi stmt – LTP 05.10",IF(ISNUMBER(F19),"Umesh stmt – NSE live 09.10",IF(ISNUMBER(G19),"Gautam stmt – 05.10",IF(ISNUMBER(H19),"DA stmt – older (stale)","No price on any statement")))))</f>
        <v>Close 08.10.2026 (Screener.in)</v>
      </c>
      <c r="E19" s="42" t="str">
        <f aca="false">IFERROR(INDEX('Vidushi Malhotra'!$M$7:$M$300,MATCH($A19,'Vidushi Malhotra'!$B$7:$B$300,0)),"")</f>
        <v/>
      </c>
      <c r="F19" s="42" t="n">
        <f aca="false">IFERROR(INDEX('Dr Umesh Choudhry'!$M$7:$M$300,MATCH($A19,'Dr Umesh Choudhry'!$B$7:$B$300,0)),"")</f>
        <v>245</v>
      </c>
      <c r="G19" s="42" t="n">
        <f aca="false">IFERROR(INDEX(Gautam!$M$7:$M$300,MATCH($A19,Gautam!$B$7:$B$300,0)),"")</f>
        <v>246</v>
      </c>
      <c r="H19" s="42" t="n">
        <f aca="false">IFERROR(INDEX(DA!$M$7:$M$300,MATCH($A19,DA!$B$7:$B$300,0)),"")</f>
        <v>265</v>
      </c>
      <c r="I19" s="56" t="s">
        <v>142</v>
      </c>
      <c r="J19" s="57" t="n">
        <v>256.65</v>
      </c>
      <c r="K19" s="9" t="n">
        <f aca="false">IF(AND(ISNUMBER(B19),ISNUMBER(J19),N(J19)&gt;0),B19/J19-1,"")</f>
        <v>-0.0453925579583089</v>
      </c>
    </row>
    <row r="20" customFormat="false" ht="15" hidden="false" customHeight="false" outlineLevel="0" collapsed="false">
      <c r="A20" s="5" t="s">
        <v>121</v>
      </c>
      <c r="B20" s="53" t="n">
        <v>1084.7</v>
      </c>
      <c r="C20" s="54" t="n">
        <f aca="false">IF(ISNUMBER(B20),B20,IF(ISNUMBER(E20),E20,IF(ISNUMBER(F20),F20,IF(ISNUMBER(G20),G20,IF(ISNUMBER(H20),H20,"")))))</f>
        <v>1084.7</v>
      </c>
      <c r="D20" s="55" t="str">
        <f aca="false">IF(ISNUMBER(B20),IF(I20&lt;&gt;"",I20,"Manual override"),IF(ISNUMBER(E20),"Vidushi stmt – LTP 05.10",IF(ISNUMBER(F20),"Umesh stmt – NSE live 09.10",IF(ISNUMBER(G20),"Gautam stmt – 05.10",IF(ISNUMBER(H20),"DA stmt – older (stale)","No price on any statement")))))</f>
        <v>Close 08.10.2026 (Screener.in)</v>
      </c>
      <c r="E20" s="42" t="str">
        <f aca="false">IFERROR(INDEX('Vidushi Malhotra'!$M$7:$M$300,MATCH($A20,'Vidushi Malhotra'!$B$7:$B$300,0)),"")</f>
        <v/>
      </c>
      <c r="F20" s="42" t="str">
        <f aca="false">IFERROR(INDEX('Dr Umesh Choudhry'!$M$7:$M$300,MATCH($A20,'Dr Umesh Choudhry'!$B$7:$B$300,0)),"")</f>
        <v/>
      </c>
      <c r="G20" s="42" t="str">
        <f aca="false">IFERROR(INDEX(Gautam!$M$7:$M$300,MATCH($A20,Gautam!$B$7:$B$300,0)),"")</f>
        <v/>
      </c>
      <c r="H20" s="42" t="n">
        <f aca="false">IFERROR(INDEX(DA!$M$7:$M$300,MATCH($A20,DA!$B$7:$B$300,0)),"")</f>
        <v>1059</v>
      </c>
      <c r="I20" s="56" t="s">
        <v>142</v>
      </c>
      <c r="J20" s="57" t="n">
        <v>1115</v>
      </c>
      <c r="K20" s="9" t="n">
        <f aca="false">IF(AND(ISNUMBER(B20),ISNUMBER(J20),N(J20)&gt;0),B20/J20-1,"")</f>
        <v>-0.0271748878923767</v>
      </c>
    </row>
    <row r="21" customFormat="false" ht="15" hidden="false" customHeight="false" outlineLevel="0" collapsed="false">
      <c r="A21" s="5" t="s">
        <v>78</v>
      </c>
      <c r="B21" s="53" t="n">
        <v>6767.5</v>
      </c>
      <c r="C21" s="54" t="n">
        <f aca="false">IF(ISNUMBER(B21),B21,IF(ISNUMBER(E21),E21,IF(ISNUMBER(F21),F21,IF(ISNUMBER(G21),G21,IF(ISNUMBER(H21),H21,"")))))</f>
        <v>6767.5</v>
      </c>
      <c r="D21" s="55" t="str">
        <f aca="false">IF(ISNUMBER(B21),IF(I21&lt;&gt;"",I21,"Manual override"),IF(ISNUMBER(E21),"Vidushi stmt – LTP 05.10",IF(ISNUMBER(F21),"Umesh stmt – NSE live 09.10",IF(ISNUMBER(G21),"Gautam stmt – 05.10",IF(ISNUMBER(H21),"DA stmt – older (stale)","No price on any statement")))))</f>
        <v>Close 08.10.2026 (Screener.in)</v>
      </c>
      <c r="E21" s="42" t="str">
        <f aca="false">IFERROR(INDEX('Vidushi Malhotra'!$M$7:$M$300,MATCH($A21,'Vidushi Malhotra'!$B$7:$B$300,0)),"")</f>
        <v/>
      </c>
      <c r="F21" s="42" t="n">
        <f aca="false">IFERROR(INDEX('Dr Umesh Choudhry'!$M$7:$M$300,MATCH($A21,'Dr Umesh Choudhry'!$B$7:$B$300,0)),"")</f>
        <v>6935</v>
      </c>
      <c r="G21" s="42" t="n">
        <f aca="false">IFERROR(INDEX(Gautam!$M$7:$M$300,MATCH($A21,Gautam!$B$7:$B$300,0)),"")</f>
        <v>6920</v>
      </c>
      <c r="H21" s="42" t="n">
        <f aca="false">IFERROR(INDEX(DA!$M$7:$M$300,MATCH($A21,DA!$B$7:$B$300,0)),"")</f>
        <v>7530</v>
      </c>
      <c r="I21" s="56" t="s">
        <v>142</v>
      </c>
      <c r="J21" s="57" t="n">
        <v>6960</v>
      </c>
      <c r="K21" s="9" t="n">
        <f aca="false">IF(AND(ISNUMBER(B21),ISNUMBER(J21),N(J21)&gt;0),B21/J21-1,"")</f>
        <v>-0.0276580459770115</v>
      </c>
    </row>
    <row r="22" customFormat="false" ht="15" hidden="false" customHeight="false" outlineLevel="0" collapsed="false">
      <c r="A22" s="5" t="s">
        <v>72</v>
      </c>
      <c r="B22" s="53" t="n">
        <v>55.99</v>
      </c>
      <c r="C22" s="54" t="n">
        <f aca="false">IF(ISNUMBER(B22),B22,IF(ISNUMBER(E22),E22,IF(ISNUMBER(F22),F22,IF(ISNUMBER(G22),G22,IF(ISNUMBER(H22),H22,"")))))</f>
        <v>55.99</v>
      </c>
      <c r="D22" s="55" t="str">
        <f aca="false">IF(ISNUMBER(B22),IF(I22&lt;&gt;"",I22,"Manual override"),IF(ISNUMBER(E22),"Vidushi stmt – LTP 05.10",IF(ISNUMBER(F22),"Umesh stmt – NSE live 09.10",IF(ISNUMBER(G22),"Gautam stmt – 05.10",IF(ISNUMBER(H22),"DA stmt – older (stale)","No price on any statement")))))</f>
        <v>Close 08.10.2026 (Screener.in)</v>
      </c>
      <c r="E22" s="42" t="n">
        <f aca="false">IFERROR(INDEX('Vidushi Malhotra'!$M$7:$M$300,MATCH($A22,'Vidushi Malhotra'!$B$7:$B$300,0)),"")</f>
        <v>54.22</v>
      </c>
      <c r="F22" s="42" t="n">
        <f aca="false">IFERROR(INDEX('Dr Umesh Choudhry'!$M$7:$M$300,MATCH($A22,'Dr Umesh Choudhry'!$B$7:$B$300,0)),"")</f>
        <v>56.3299578059072</v>
      </c>
      <c r="G22" s="42" t="n">
        <f aca="false">IFERROR(INDEX(Gautam!$M$7:$M$300,MATCH($A22,Gautam!$B$7:$B$300,0)),"")</f>
        <v>55.6994219653179</v>
      </c>
      <c r="H22" s="42" t="n">
        <f aca="false">IFERROR(INDEX(DA!$M$7:$M$300,MATCH($A22,DA!$B$7:$B$300,0)),"")</f>
        <v>57.7</v>
      </c>
      <c r="I22" s="56" t="s">
        <v>142</v>
      </c>
      <c r="J22" s="57" t="n">
        <v>57.8</v>
      </c>
      <c r="K22" s="9" t="n">
        <f aca="false">IF(AND(ISNUMBER(B22),ISNUMBER(J22),N(J22)&gt;0),B22/J22-1,"")</f>
        <v>-0.0313148788927334</v>
      </c>
    </row>
    <row r="23" customFormat="false" ht="15" hidden="false" customHeight="false" outlineLevel="0" collapsed="false">
      <c r="A23" s="5" t="s">
        <v>105</v>
      </c>
      <c r="B23" s="53" t="n">
        <v>54.91</v>
      </c>
      <c r="C23" s="54" t="n">
        <f aca="false">IF(ISNUMBER(B23),B23,IF(ISNUMBER(E23),E23,IF(ISNUMBER(F23),F23,IF(ISNUMBER(G23),G23,IF(ISNUMBER(H23),H23,"")))))</f>
        <v>54.91</v>
      </c>
      <c r="D23" s="55" t="str">
        <f aca="false">IF(ISNUMBER(B23),IF(I23&lt;&gt;"",I23,"Manual override"),IF(ISNUMBER(E23),"Vidushi stmt – LTP 05.10",IF(ISNUMBER(F23),"Umesh stmt – NSE live 09.10",IF(ISNUMBER(G23),"Gautam stmt – 05.10",IF(ISNUMBER(H23),"DA stmt – older (stale)","No price on any statement")))))</f>
        <v>Close 08.10.2026 (Screener.in)</v>
      </c>
      <c r="E23" s="42" t="str">
        <f aca="false">IFERROR(INDEX('Vidushi Malhotra'!$M$7:$M$300,MATCH($A23,'Vidushi Malhotra'!$B$7:$B$300,0)),"")</f>
        <v/>
      </c>
      <c r="F23" s="42" t="str">
        <f aca="false">IFERROR(INDEX('Dr Umesh Choudhry'!$M$7:$M$300,MATCH($A23,'Dr Umesh Choudhry'!$B$7:$B$300,0)),"")</f>
        <v/>
      </c>
      <c r="G23" s="42" t="str">
        <f aca="false">IFERROR(INDEX(Gautam!$M$7:$M$300,MATCH($A23,Gautam!$B$7:$B$300,0)),"")</f>
        <v/>
      </c>
      <c r="H23" s="42" t="n">
        <f aca="false">IFERROR(INDEX(DA!$M$7:$M$300,MATCH($A23,DA!$B$7:$B$300,0)),"")</f>
        <v>58</v>
      </c>
      <c r="I23" s="56" t="s">
        <v>142</v>
      </c>
      <c r="J23" s="57" t="n">
        <v>57.83</v>
      </c>
      <c r="K23" s="9" t="n">
        <f aca="false">IF(AND(ISNUMBER(B23),ISNUMBER(J23),N(J23)&gt;0),B23/J23-1,"")</f>
        <v>-0.0504928237938787</v>
      </c>
    </row>
    <row r="24" customFormat="false" ht="15" hidden="false" customHeight="false" outlineLevel="0" collapsed="false">
      <c r="A24" s="5" t="s">
        <v>94</v>
      </c>
      <c r="B24" s="53" t="n">
        <v>865</v>
      </c>
      <c r="C24" s="54" t="n">
        <f aca="false">IF(ISNUMBER(B24),B24,IF(ISNUMBER(E24),E24,IF(ISNUMBER(F24),F24,IF(ISNUMBER(G24),G24,IF(ISNUMBER(H24),H24,"")))))</f>
        <v>865</v>
      </c>
      <c r="D24" s="55" t="str">
        <f aca="false">IF(ISNUMBER(B24),IF(I24&lt;&gt;"",I24,"Manual override"),IF(ISNUMBER(E24),"Vidushi stmt – LTP 05.10",IF(ISNUMBER(F24),"Umesh stmt – NSE live 09.10",IF(ISNUMBER(G24),"Gautam stmt – 05.10",IF(ISNUMBER(H24),"DA stmt – older (stale)","No price on any statement")))))</f>
        <v>Close 08.10.2026 (Screener.in)</v>
      </c>
      <c r="E24" s="42" t="str">
        <f aca="false">IFERROR(INDEX('Vidushi Malhotra'!$M$7:$M$300,MATCH($A24,'Vidushi Malhotra'!$B$7:$B$300,0)),"")</f>
        <v/>
      </c>
      <c r="F24" s="42" t="str">
        <f aca="false">IFERROR(INDEX('Dr Umesh Choudhry'!$M$7:$M$300,MATCH($A24,'Dr Umesh Choudhry'!$B$7:$B$300,0)),"")</f>
        <v/>
      </c>
      <c r="G24" s="42" t="str">
        <f aca="false">IFERROR(INDEX(Gautam!$M$7:$M$300,MATCH($A24,Gautam!$B$7:$B$300,0)),"")</f>
        <v/>
      </c>
      <c r="H24" s="42" t="n">
        <f aca="false">IFERROR(INDEX(DA!$M$7:$M$300,MATCH($A24,DA!$B$7:$B$300,0)),"")</f>
        <v>865</v>
      </c>
      <c r="I24" s="56" t="s">
        <v>142</v>
      </c>
      <c r="J24" s="57" t="n">
        <v>865.55</v>
      </c>
      <c r="K24" s="9" t="n">
        <f aca="false">IF(AND(ISNUMBER(B24),ISNUMBER(J24),N(J24)&gt;0),B24/J24-1,"")</f>
        <v>-0.000635434117035372</v>
      </c>
    </row>
    <row r="25" customFormat="false" ht="15" hidden="false" customHeight="false" outlineLevel="0" collapsed="false">
      <c r="A25" s="5" t="s">
        <v>97</v>
      </c>
      <c r="B25" s="53" t="n">
        <v>1529.7</v>
      </c>
      <c r="C25" s="54" t="n">
        <f aca="false">IF(ISNUMBER(B25),B25,IF(ISNUMBER(E25),E25,IF(ISNUMBER(F25),F25,IF(ISNUMBER(G25),G25,IF(ISNUMBER(H25),H25,"")))))</f>
        <v>1529.7</v>
      </c>
      <c r="D25" s="55" t="str">
        <f aca="false">IF(ISNUMBER(B25),IF(I25&lt;&gt;"",I25,"Manual override"),IF(ISNUMBER(E25),"Vidushi stmt – LTP 05.10",IF(ISNUMBER(F25),"Umesh stmt – NSE live 09.10",IF(ISNUMBER(G25),"Gautam stmt – 05.10",IF(ISNUMBER(H25),"DA stmt – older (stale)","No price on any statement")))))</f>
        <v>Close 08.10.2026 (Screener.in)</v>
      </c>
      <c r="E25" s="42" t="str">
        <f aca="false">IFERROR(INDEX('Vidushi Malhotra'!$M$7:$M$300,MATCH($A25,'Vidushi Malhotra'!$B$7:$B$300,0)),"")</f>
        <v/>
      </c>
      <c r="F25" s="42" t="str">
        <f aca="false">IFERROR(INDEX('Dr Umesh Choudhry'!$M$7:$M$300,MATCH($A25,'Dr Umesh Choudhry'!$B$7:$B$300,0)),"")</f>
        <v/>
      </c>
      <c r="G25" s="42" t="str">
        <f aca="false">IFERROR(INDEX(Gautam!$M$7:$M$300,MATCH($A25,Gautam!$B$7:$B$300,0)),"")</f>
        <v/>
      </c>
      <c r="H25" s="42" t="n">
        <f aca="false">IFERROR(INDEX(DA!$M$7:$M$300,MATCH($A25,DA!$B$7:$B$300,0)),"")</f>
        <v>1412</v>
      </c>
      <c r="I25" s="56" t="s">
        <v>142</v>
      </c>
      <c r="J25" s="57" t="n">
        <v>1567.9</v>
      </c>
      <c r="K25" s="9" t="n">
        <f aca="false">IF(AND(ISNUMBER(B25),ISNUMBER(J25),N(J25)&gt;0),B25/J25-1,"")</f>
        <v>-0.0243637987116525</v>
      </c>
    </row>
    <row r="26" customFormat="false" ht="15" hidden="false" customHeight="false" outlineLevel="0" collapsed="false">
      <c r="A26" s="5" t="s">
        <v>99</v>
      </c>
      <c r="B26" s="53" t="n">
        <v>219.86</v>
      </c>
      <c r="C26" s="54" t="n">
        <f aca="false">IF(ISNUMBER(B26),B26,IF(ISNUMBER(E26),E26,IF(ISNUMBER(F26),F26,IF(ISNUMBER(G26),G26,IF(ISNUMBER(H26),H26,"")))))</f>
        <v>219.86</v>
      </c>
      <c r="D26" s="55" t="str">
        <f aca="false">IF(ISNUMBER(B26),IF(I26&lt;&gt;"",I26,"Manual override"),IF(ISNUMBER(E26),"Vidushi stmt – LTP 05.10",IF(ISNUMBER(F26),"Umesh stmt – NSE live 09.10",IF(ISNUMBER(G26),"Gautam stmt – 05.10",IF(ISNUMBER(H26),"DA stmt – older (stale)","No price on any statement")))))</f>
        <v>Close 08.10.2026 (Screener.in)</v>
      </c>
      <c r="E26" s="42" t="str">
        <f aca="false">IFERROR(INDEX('Vidushi Malhotra'!$M$7:$M$300,MATCH($A26,'Vidushi Malhotra'!$B$7:$B$300,0)),"")</f>
        <v/>
      </c>
      <c r="F26" s="42" t="str">
        <f aca="false">IFERROR(INDEX('Dr Umesh Choudhry'!$M$7:$M$300,MATCH($A26,'Dr Umesh Choudhry'!$B$7:$B$300,0)),"")</f>
        <v/>
      </c>
      <c r="G26" s="42" t="str">
        <f aca="false">IFERROR(INDEX(Gautam!$M$7:$M$300,MATCH($A26,Gautam!$B$7:$B$300,0)),"")</f>
        <v/>
      </c>
      <c r="H26" s="42" t="n">
        <f aca="false">IFERROR(INDEX(DA!$M$7:$M$300,MATCH($A26,DA!$B$7:$B$300,0)),"")</f>
        <v>242</v>
      </c>
      <c r="I26" s="56" t="s">
        <v>142</v>
      </c>
      <c r="J26" s="57" t="n">
        <v>228.48</v>
      </c>
      <c r="K26" s="9" t="n">
        <f aca="false">IF(AND(ISNUMBER(B26),ISNUMBER(J26),N(J26)&gt;0),B26/J26-1,"")</f>
        <v>-0.0377275910364144</v>
      </c>
    </row>
    <row r="27" customFormat="false" ht="15" hidden="false" customHeight="false" outlineLevel="0" collapsed="false">
      <c r="A27" s="5" t="s">
        <v>88</v>
      </c>
      <c r="B27" s="53" t="n">
        <v>1176.9</v>
      </c>
      <c r="C27" s="54" t="n">
        <f aca="false">IF(ISNUMBER(B27),B27,IF(ISNUMBER(E27),E27,IF(ISNUMBER(F27),F27,IF(ISNUMBER(G27),G27,IF(ISNUMBER(H27),H27,"")))))</f>
        <v>1176.9</v>
      </c>
      <c r="D27" s="55" t="str">
        <f aca="false">IF(ISNUMBER(B27),IF(I27&lt;&gt;"",I27,"Manual override"),IF(ISNUMBER(E27),"Vidushi stmt – LTP 05.10",IF(ISNUMBER(F27),"Umesh stmt – NSE live 09.10",IF(ISNUMBER(G27),"Gautam stmt – 05.10",IF(ISNUMBER(H27),"DA stmt – older (stale)","No price on any statement")))))</f>
        <v>Close 08.10.2026 (Screener.in)</v>
      </c>
      <c r="E27" s="42" t="n">
        <f aca="false">IFERROR(INDEX('Vidushi Malhotra'!$M$7:$M$300,MATCH($A27,'Vidushi Malhotra'!$B$7:$B$300,0)),"")</f>
        <v>1201.66666666667</v>
      </c>
      <c r="F27" s="42" t="str">
        <f aca="false">IFERROR(INDEX('Dr Umesh Choudhry'!$M$7:$M$300,MATCH($A27,'Dr Umesh Choudhry'!$B$7:$B$300,0)),"")</f>
        <v/>
      </c>
      <c r="G27" s="42" t="str">
        <f aca="false">IFERROR(INDEX(Gautam!$M$7:$M$300,MATCH($A27,Gautam!$B$7:$B$300,0)),"")</f>
        <v/>
      </c>
      <c r="H27" s="42" t="n">
        <f aca="false">IFERROR(INDEX(DA!$M$7:$M$300,MATCH($A27,DA!$B$7:$B$300,0)),"")</f>
        <v>1206</v>
      </c>
      <c r="I27" s="56" t="s">
        <v>142</v>
      </c>
      <c r="J27" s="57" t="n">
        <v>1185</v>
      </c>
      <c r="K27" s="9" t="n">
        <f aca="false">IF(AND(ISNUMBER(B27),ISNUMBER(J27),N(J27)&gt;0),B27/J27-1,"")</f>
        <v>-0.00683544303797456</v>
      </c>
    </row>
    <row r="28" customFormat="false" ht="15" hidden="false" customHeight="false" outlineLevel="0" collapsed="false">
      <c r="A28" s="5" t="s">
        <v>66</v>
      </c>
      <c r="B28" s="53" t="n">
        <v>692.25</v>
      </c>
      <c r="C28" s="54" t="n">
        <f aca="false">IF(ISNUMBER(B28),B28,IF(ISNUMBER(E28),E28,IF(ISNUMBER(F28),F28,IF(ISNUMBER(G28),G28,IF(ISNUMBER(H28),H28,"")))))</f>
        <v>692.25</v>
      </c>
      <c r="D28" s="55" t="str">
        <f aca="false">IF(ISNUMBER(B28),IF(I28&lt;&gt;"",I28,"Manual override"),IF(ISNUMBER(E28),"Vidushi stmt – LTP 05.10",IF(ISNUMBER(F28),"Umesh stmt – NSE live 09.10",IF(ISNUMBER(G28),"Gautam stmt – 05.10",IF(ISNUMBER(H28),"DA stmt – older (stale)","No price on any statement")))))</f>
        <v>Close 08.10.2026 (Screener.in)</v>
      </c>
      <c r="E28" s="42" t="n">
        <f aca="false">IFERROR(INDEX('Vidushi Malhotra'!$M$7:$M$300,MATCH($A28,'Vidushi Malhotra'!$B$7:$B$300,0)),"")</f>
        <v>707.761904761905</v>
      </c>
      <c r="F28" s="42" t="n">
        <f aca="false">IFERROR(INDEX('Dr Umesh Choudhry'!$M$7:$M$300,MATCH($A28,'Dr Umesh Choudhry'!$B$7:$B$300,0)),"")</f>
        <v>702.150074294205</v>
      </c>
      <c r="G28" s="42" t="n">
        <f aca="false">IFERROR(INDEX(Gautam!$M$7:$M$300,MATCH($A28,Gautam!$B$7:$B$300,0)),"")</f>
        <v>707</v>
      </c>
      <c r="H28" s="42" t="n">
        <f aca="false">IFERROR(INDEX(DA!$M$7:$M$300,MATCH($A28,DA!$B$7:$B$300,0)),"")</f>
        <v>708</v>
      </c>
      <c r="I28" s="56" t="s">
        <v>142</v>
      </c>
      <c r="J28" s="57" t="n">
        <v>702.75</v>
      </c>
      <c r="K28" s="9" t="n">
        <f aca="false">IF(AND(ISNUMBER(B28),ISNUMBER(J28),N(J28)&gt;0),B28/J28-1,"")</f>
        <v>-0.0149413020277481</v>
      </c>
    </row>
    <row r="29" customFormat="false" ht="15" hidden="false" customHeight="false" outlineLevel="0" collapsed="false">
      <c r="A29" s="5" t="s">
        <v>113</v>
      </c>
      <c r="B29" s="53"/>
      <c r="C29" s="54" t="n">
        <f aca="false">IF(ISNUMBER(B29),B29,IF(ISNUMBER(E29),E29,IF(ISNUMBER(F29),F29,IF(ISNUMBER(G29),G29,IF(ISNUMBER(H29),H29,"")))))</f>
        <v>127</v>
      </c>
      <c r="D29" s="55" t="str">
        <f aca="false">IF(ISNUMBER(B29),IF(I29&lt;&gt;"",I29,"Manual override"),IF(ISNUMBER(E29),"Vidushi stmt – LTP 05.10",IF(ISNUMBER(F29),"Umesh stmt – NSE live 09.10",IF(ISNUMBER(G29),"Gautam stmt – 05.10",IF(ISNUMBER(H29),"DA stmt – older (stale)","No price on any statement")))))</f>
        <v>Gautam stmt – 05.10</v>
      </c>
      <c r="E29" s="42" t="str">
        <f aca="false">IFERROR(INDEX('Vidushi Malhotra'!$M$7:$M$300,MATCH($A29,'Vidushi Malhotra'!$B$7:$B$300,0)),"")</f>
        <v/>
      </c>
      <c r="F29" s="42" t="str">
        <f aca="false">IFERROR(INDEX('Dr Umesh Choudhry'!$M$7:$M$300,MATCH($A29,'Dr Umesh Choudhry'!$B$7:$B$300,0)),"")</f>
        <v/>
      </c>
      <c r="G29" s="42" t="n">
        <f aca="false">IFERROR(INDEX(Gautam!$M$7:$M$300,MATCH($A29,Gautam!$B$7:$B$300,0)),"")</f>
        <v>127</v>
      </c>
      <c r="H29" s="42" t="n">
        <f aca="false">IFERROR(INDEX(DA!$M$7:$M$300,MATCH($A29,DA!$B$7:$B$300,0)),"")</f>
        <v>129</v>
      </c>
      <c r="I29" s="56" t="s">
        <v>144</v>
      </c>
      <c r="J29" s="57"/>
      <c r="K29" s="9" t="str">
        <f aca="false">IF(AND(ISNUMBER(B29),ISNUMBER(J29),N(J29)&gt;0),B29/J29-1,"")</f>
        <v/>
      </c>
    </row>
    <row r="30" customFormat="false" ht="15" hidden="false" customHeight="false" outlineLevel="0" collapsed="false">
      <c r="A30" s="5" t="s">
        <v>106</v>
      </c>
      <c r="B30" s="53" t="n">
        <v>156.99</v>
      </c>
      <c r="C30" s="54" t="n">
        <f aca="false">IF(ISNUMBER(B30),B30,IF(ISNUMBER(E30),E30,IF(ISNUMBER(F30),F30,IF(ISNUMBER(G30),G30,IF(ISNUMBER(H30),H30,"")))))</f>
        <v>156.99</v>
      </c>
      <c r="D30" s="55" t="str">
        <f aca="false">IF(ISNUMBER(B30),IF(I30&lt;&gt;"",I30,"Manual override"),IF(ISNUMBER(E30),"Vidushi stmt – LTP 05.10",IF(ISNUMBER(F30),"Umesh stmt – NSE live 09.10",IF(ISNUMBER(G30),"Gautam stmt – 05.10",IF(ISNUMBER(H30),"DA stmt – older (stale)","No price on any statement")))))</f>
        <v>Close 08.10.2026 (Screener.in)</v>
      </c>
      <c r="E30" s="42" t="str">
        <f aca="false">IFERROR(INDEX('Vidushi Malhotra'!$M$7:$M$300,MATCH($A30,'Vidushi Malhotra'!$B$7:$B$300,0)),"")</f>
        <v/>
      </c>
      <c r="F30" s="42" t="str">
        <f aca="false">IFERROR(INDEX('Dr Umesh Choudhry'!$M$7:$M$300,MATCH($A30,'Dr Umesh Choudhry'!$B$7:$B$300,0)),"")</f>
        <v/>
      </c>
      <c r="G30" s="42" t="str">
        <f aca="false">IFERROR(INDEX(Gautam!$M$7:$M$300,MATCH($A30,Gautam!$B$7:$B$300,0)),"")</f>
        <v/>
      </c>
      <c r="H30" s="42" t="n">
        <f aca="false">IFERROR(INDEX(DA!$M$7:$M$300,MATCH($A30,DA!$B$7:$B$300,0)),"")</f>
        <v>173</v>
      </c>
      <c r="I30" s="56" t="s">
        <v>142</v>
      </c>
      <c r="J30" s="57" t="n">
        <v>161.79</v>
      </c>
      <c r="K30" s="9" t="n">
        <f aca="false">IF(AND(ISNUMBER(B30),ISNUMBER(J30),N(J30)&gt;0),B30/J30-1,"")</f>
        <v>-0.0296680882625625</v>
      </c>
    </row>
    <row r="31" customFormat="false" ht="15" hidden="false" customHeight="false" outlineLevel="0" collapsed="false">
      <c r="A31" s="5" t="s">
        <v>117</v>
      </c>
      <c r="B31" s="53" t="n">
        <v>103.75</v>
      </c>
      <c r="C31" s="54" t="n">
        <f aca="false">IF(ISNUMBER(B31),B31,IF(ISNUMBER(E31),E31,IF(ISNUMBER(F31),F31,IF(ISNUMBER(G31),G31,IF(ISNUMBER(H31),H31,"")))))</f>
        <v>103.75</v>
      </c>
      <c r="D31" s="55" t="str">
        <f aca="false">IF(ISNUMBER(B31),IF(I31&lt;&gt;"",I31,"Manual override"),IF(ISNUMBER(E31),"Vidushi stmt – LTP 05.10",IF(ISNUMBER(F31),"Umesh stmt – NSE live 09.10",IF(ISNUMBER(G31),"Gautam stmt – 05.10",IF(ISNUMBER(H31),"DA stmt – older (stale)","No price on any statement")))))</f>
        <v>Close 08.10.2026 (Screener.in)</v>
      </c>
      <c r="E31" s="42" t="str">
        <f aca="false">IFERROR(INDEX('Vidushi Malhotra'!$M$7:$M$300,MATCH($A31,'Vidushi Malhotra'!$B$7:$B$300,0)),"")</f>
        <v/>
      </c>
      <c r="F31" s="42" t="str">
        <f aca="false">IFERROR(INDEX('Dr Umesh Choudhry'!$M$7:$M$300,MATCH($A31,'Dr Umesh Choudhry'!$B$7:$B$300,0)),"")</f>
        <v/>
      </c>
      <c r="G31" s="42" t="str">
        <f aca="false">IFERROR(INDEX(Gautam!$M$7:$M$300,MATCH($A31,Gautam!$B$7:$B$300,0)),"")</f>
        <v/>
      </c>
      <c r="H31" s="42" t="n">
        <f aca="false">IFERROR(INDEX(DA!$M$7:$M$300,MATCH($A31,DA!$B$7:$B$300,0)),"")</f>
        <v>114</v>
      </c>
      <c r="I31" s="56" t="s">
        <v>142</v>
      </c>
      <c r="J31" s="57" t="n">
        <v>105.85</v>
      </c>
      <c r="K31" s="9" t="n">
        <f aca="false">IF(AND(ISNUMBER(B31),ISNUMBER(J31),N(J31)&gt;0),B31/J31-1,"")</f>
        <v>-0.0198393953708077</v>
      </c>
    </row>
    <row r="32" customFormat="false" ht="15" hidden="false" customHeight="false" outlineLevel="0" collapsed="false">
      <c r="A32" s="5" t="s">
        <v>103</v>
      </c>
      <c r="B32" s="53" t="n">
        <v>74.3</v>
      </c>
      <c r="C32" s="54" t="n">
        <f aca="false">IF(ISNUMBER(B32),B32,IF(ISNUMBER(E32),E32,IF(ISNUMBER(F32),F32,IF(ISNUMBER(G32),G32,IF(ISNUMBER(H32),H32,"")))))</f>
        <v>74.3</v>
      </c>
      <c r="D32" s="55" t="str">
        <f aca="false">IF(ISNUMBER(B32),IF(I32&lt;&gt;"",I32,"Manual override"),IF(ISNUMBER(E32),"Vidushi stmt – LTP 05.10",IF(ISNUMBER(F32),"Umesh stmt – NSE live 09.10",IF(ISNUMBER(G32),"Gautam stmt – 05.10",IF(ISNUMBER(H32),"DA stmt – older (stale)","No price on any statement")))))</f>
        <v>Close 08.10.2026 (Screener.in)</v>
      </c>
      <c r="E32" s="42" t="str">
        <f aca="false">IFERROR(INDEX('Vidushi Malhotra'!$M$7:$M$300,MATCH($A32,'Vidushi Malhotra'!$B$7:$B$300,0)),"")</f>
        <v/>
      </c>
      <c r="F32" s="42" t="str">
        <f aca="false">IFERROR(INDEX('Dr Umesh Choudhry'!$M$7:$M$300,MATCH($A32,'Dr Umesh Choudhry'!$B$7:$B$300,0)),"")</f>
        <v/>
      </c>
      <c r="G32" s="42" t="str">
        <f aca="false">IFERROR(INDEX(Gautam!$M$7:$M$300,MATCH($A32,Gautam!$B$7:$B$300,0)),"")</f>
        <v/>
      </c>
      <c r="H32" s="42" t="n">
        <f aca="false">IFERROR(INDEX(DA!$M$7:$M$300,MATCH($A32,DA!$B$7:$B$300,0)),"")</f>
        <v>81</v>
      </c>
      <c r="I32" s="56" t="s">
        <v>142</v>
      </c>
      <c r="J32" s="57" t="n">
        <v>76.15</v>
      </c>
      <c r="K32" s="9" t="n">
        <f aca="false">IF(AND(ISNUMBER(B32),ISNUMBER(J32),N(J32)&gt;0),B32/J32-1,"")</f>
        <v>-0.0242941562705188</v>
      </c>
    </row>
    <row r="33" customFormat="false" ht="15" hidden="false" customHeight="false" outlineLevel="0" collapsed="false">
      <c r="A33" s="5" t="s">
        <v>101</v>
      </c>
      <c r="B33" s="53" t="n">
        <v>142.03</v>
      </c>
      <c r="C33" s="54" t="n">
        <f aca="false">IF(ISNUMBER(B33),B33,IF(ISNUMBER(E33),E33,IF(ISNUMBER(F33),F33,IF(ISNUMBER(G33),G33,IF(ISNUMBER(H33),H33,"")))))</f>
        <v>142.03</v>
      </c>
      <c r="D33" s="55" t="str">
        <f aca="false">IF(ISNUMBER(B33),IF(I33&lt;&gt;"",I33,"Manual override"),IF(ISNUMBER(E33),"Vidushi stmt – LTP 05.10",IF(ISNUMBER(F33),"Umesh stmt – NSE live 09.10",IF(ISNUMBER(G33),"Gautam stmt – 05.10",IF(ISNUMBER(H33),"DA stmt – older (stale)","No price on any statement")))))</f>
        <v>Close 08.10.2026 (Screener.in)</v>
      </c>
      <c r="E33" s="42" t="str">
        <f aca="false">IFERROR(INDEX('Vidushi Malhotra'!$M$7:$M$300,MATCH($A33,'Vidushi Malhotra'!$B$7:$B$300,0)),"")</f>
        <v/>
      </c>
      <c r="F33" s="42" t="str">
        <f aca="false">IFERROR(INDEX('Dr Umesh Choudhry'!$M$7:$M$300,MATCH($A33,'Dr Umesh Choudhry'!$B$7:$B$300,0)),"")</f>
        <v/>
      </c>
      <c r="G33" s="42" t="str">
        <f aca="false">IFERROR(INDEX(Gautam!$M$7:$M$300,MATCH($A33,Gautam!$B$7:$B$300,0)),"")</f>
        <v/>
      </c>
      <c r="H33" s="42" t="n">
        <f aca="false">IFERROR(INDEX(DA!$M$7:$M$300,MATCH($A33,DA!$B$7:$B$300,0)),"")</f>
        <v>152</v>
      </c>
      <c r="I33" s="56" t="s">
        <v>142</v>
      </c>
      <c r="J33" s="57" t="n">
        <v>146.35</v>
      </c>
      <c r="K33" s="9" t="n">
        <f aca="false">IF(AND(ISNUMBER(B33),ISNUMBER(J33),N(J33)&gt;0),B33/J33-1,"")</f>
        <v>-0.0295182781004441</v>
      </c>
    </row>
    <row r="34" customFormat="false" ht="15" hidden="false" customHeight="false" outlineLevel="0" collapsed="false">
      <c r="A34" s="5" t="s">
        <v>90</v>
      </c>
      <c r="B34" s="53" t="n">
        <v>373</v>
      </c>
      <c r="C34" s="54" t="n">
        <f aca="false">IF(ISNUMBER(B34),B34,IF(ISNUMBER(E34),E34,IF(ISNUMBER(F34),F34,IF(ISNUMBER(G34),G34,IF(ISNUMBER(H34),H34,"")))))</f>
        <v>373</v>
      </c>
      <c r="D34" s="55" t="str">
        <f aca="false">IF(ISNUMBER(B34),IF(I34&lt;&gt;"",I34,"Manual override"),IF(ISNUMBER(E34),"Vidushi stmt – LTP 05.10",IF(ISNUMBER(F34),"Umesh stmt – NSE live 09.10",IF(ISNUMBER(G34),"Gautam stmt – 05.10",IF(ISNUMBER(H34),"DA stmt – older (stale)","No price on any statement")))))</f>
        <v>Close 08.10.2026 (Screener.in)</v>
      </c>
      <c r="E34" s="42" t="str">
        <f aca="false">IFERROR(INDEX('Vidushi Malhotra'!$M$7:$M$300,MATCH($A34,'Vidushi Malhotra'!$B$7:$B$300,0)),"")</f>
        <v/>
      </c>
      <c r="F34" s="42" t="str">
        <f aca="false">IFERROR(INDEX('Dr Umesh Choudhry'!$M$7:$M$300,MATCH($A34,'Dr Umesh Choudhry'!$B$7:$B$300,0)),"")</f>
        <v/>
      </c>
      <c r="G34" s="42" t="str">
        <f aca="false">IFERROR(INDEX(Gautam!$M$7:$M$300,MATCH($A34,Gautam!$B$7:$B$300,0)),"")</f>
        <v/>
      </c>
      <c r="H34" s="42" t="n">
        <f aca="false">IFERROR(INDEX(DA!$M$7:$M$300,MATCH($A34,DA!$B$7:$B$300,0)),"")</f>
        <v>388</v>
      </c>
      <c r="I34" s="56" t="s">
        <v>142</v>
      </c>
      <c r="J34" s="57" t="n">
        <v>385.05</v>
      </c>
      <c r="K34" s="9" t="n">
        <f aca="false">IF(AND(ISNUMBER(B34),ISNUMBER(J34),N(J34)&gt;0),B34/J34-1,"")</f>
        <v>-0.0312946370601221</v>
      </c>
    </row>
    <row r="35" customFormat="false" ht="15" hidden="false" customHeight="false" outlineLevel="0" collapsed="false">
      <c r="A35" s="5" t="s">
        <v>84</v>
      </c>
      <c r="B35" s="53" t="n">
        <v>4813.1</v>
      </c>
      <c r="C35" s="54" t="n">
        <f aca="false">IF(ISNUMBER(B35),B35,IF(ISNUMBER(E35),E35,IF(ISNUMBER(F35),F35,IF(ISNUMBER(G35),G35,IF(ISNUMBER(H35),H35,"")))))</f>
        <v>4813.1</v>
      </c>
      <c r="D35" s="55" t="str">
        <f aca="false">IF(ISNUMBER(B35),IF(I35&lt;&gt;"",I35,"Manual override"),IF(ISNUMBER(E35),"Vidushi stmt – LTP 05.10",IF(ISNUMBER(F35),"Umesh stmt – NSE live 09.10",IF(ISNUMBER(G35),"Gautam stmt – 05.10",IF(ISNUMBER(H35),"DA stmt – older (stale)","No price on any statement")))))</f>
        <v>Close 08.10.2026 (Screener.in)</v>
      </c>
      <c r="E35" s="42" t="str">
        <f aca="false">IFERROR(INDEX('Vidushi Malhotra'!$M$7:$M$300,MATCH($A35,'Vidushi Malhotra'!$B$7:$B$300,0)),"")</f>
        <v/>
      </c>
      <c r="F35" s="42" t="str">
        <f aca="false">IFERROR(INDEX('Dr Umesh Choudhry'!$M$7:$M$300,MATCH($A35,'Dr Umesh Choudhry'!$B$7:$B$300,0)),"")</f>
        <v/>
      </c>
      <c r="G35" s="42" t="n">
        <f aca="false">IFERROR(INDEX(Gautam!$M$7:$M$300,MATCH($A35,Gautam!$B$7:$B$300,0)),"")</f>
        <v>4930</v>
      </c>
      <c r="H35" s="42" t="str">
        <f aca="false">IFERROR(INDEX(DA!$M$7:$M$300,MATCH($A35,DA!$B$7:$B$300,0)),"")</f>
        <v/>
      </c>
      <c r="I35" s="56" t="s">
        <v>142</v>
      </c>
      <c r="J35" s="57" t="n">
        <v>4990</v>
      </c>
      <c r="K35" s="9" t="n">
        <f aca="false">IF(AND(ISNUMBER(B35),ISNUMBER(J35),N(J35)&gt;0),B35/J35-1,"")</f>
        <v>-0.0354509018036071</v>
      </c>
    </row>
    <row r="36" customFormat="false" ht="15" hidden="false" customHeight="false" outlineLevel="0" collapsed="false">
      <c r="A36" s="5" t="s">
        <v>98</v>
      </c>
      <c r="B36" s="53" t="n">
        <v>307.05</v>
      </c>
      <c r="C36" s="54" t="n">
        <f aca="false">IF(ISNUMBER(B36),B36,IF(ISNUMBER(E36),E36,IF(ISNUMBER(F36),F36,IF(ISNUMBER(G36),G36,IF(ISNUMBER(H36),H36,"")))))</f>
        <v>307.05</v>
      </c>
      <c r="D36" s="55" t="str">
        <f aca="false">IF(ISNUMBER(B36),IF(I36&lt;&gt;"",I36,"Manual override"),IF(ISNUMBER(E36),"Vidushi stmt – LTP 05.10",IF(ISNUMBER(F36),"Umesh stmt – NSE live 09.10",IF(ISNUMBER(G36),"Gautam stmt – 05.10",IF(ISNUMBER(H36),"DA stmt – older (stale)","No price on any statement")))))</f>
        <v>Close 08.10.2026 (Screener.in)</v>
      </c>
      <c r="E36" s="42" t="str">
        <f aca="false">IFERROR(INDEX('Vidushi Malhotra'!$M$7:$M$300,MATCH($A36,'Vidushi Malhotra'!$B$7:$B$300,0)),"")</f>
        <v/>
      </c>
      <c r="F36" s="42" t="str">
        <f aca="false">IFERROR(INDEX('Dr Umesh Choudhry'!$M$7:$M$300,MATCH($A36,'Dr Umesh Choudhry'!$B$7:$B$300,0)),"")</f>
        <v/>
      </c>
      <c r="G36" s="42" t="n">
        <f aca="false">IFERROR(INDEX(Gautam!$M$7:$M$300,MATCH($A36,Gautam!$B$7:$B$300,0)),"")</f>
        <v>314</v>
      </c>
      <c r="H36" s="42" t="str">
        <f aca="false">IFERROR(INDEX(DA!$M$7:$M$300,MATCH($A36,DA!$B$7:$B$300,0)),"")</f>
        <v/>
      </c>
      <c r="I36" s="56" t="s">
        <v>142</v>
      </c>
      <c r="J36" s="57" t="n">
        <v>317.05</v>
      </c>
      <c r="K36" s="9" t="n">
        <f aca="false">IF(AND(ISNUMBER(B36),ISNUMBER(J36),N(J36)&gt;0),B36/J36-1,"")</f>
        <v>-0.0315407664406245</v>
      </c>
    </row>
    <row r="37" customFormat="false" ht="15" hidden="false" customHeight="false" outlineLevel="0" collapsed="false">
      <c r="A37" s="5" t="s">
        <v>85</v>
      </c>
      <c r="B37" s="53" t="n">
        <v>211</v>
      </c>
      <c r="C37" s="54" t="n">
        <f aca="false">IF(ISNUMBER(B37),B37,IF(ISNUMBER(E37),E37,IF(ISNUMBER(F37),F37,IF(ISNUMBER(G37),G37,IF(ISNUMBER(H37),H37,"")))))</f>
        <v>211</v>
      </c>
      <c r="D37" s="55" t="str">
        <f aca="false">IF(ISNUMBER(B37),IF(I37&lt;&gt;"",I37,"Manual override"),IF(ISNUMBER(E37),"Vidushi stmt – LTP 05.10",IF(ISNUMBER(F37),"Umesh stmt – NSE live 09.10",IF(ISNUMBER(G37),"Gautam stmt – 05.10",IF(ISNUMBER(H37),"DA stmt – older (stale)","No price on any statement")))))</f>
        <v>Close 08.10.2026 (Screener.in)</v>
      </c>
      <c r="E37" s="42" t="str">
        <f aca="false">IFERROR(INDEX('Vidushi Malhotra'!$M$7:$M$300,MATCH($A37,'Vidushi Malhotra'!$B$7:$B$300,0)),"")</f>
        <v/>
      </c>
      <c r="F37" s="42" t="str">
        <f aca="false">IFERROR(INDEX('Dr Umesh Choudhry'!$M$7:$M$300,MATCH($A37,'Dr Umesh Choudhry'!$B$7:$B$300,0)),"")</f>
        <v/>
      </c>
      <c r="G37" s="42" t="str">
        <f aca="false">IFERROR(INDEX(Gautam!$M$7:$M$300,MATCH($A37,Gautam!$B$7:$B$300,0)),"")</f>
        <v/>
      </c>
      <c r="H37" s="42" t="n">
        <f aca="false">IFERROR(INDEX(DA!$M$7:$M$300,MATCH($A37,DA!$B$7:$B$300,0)),"")</f>
        <v>230</v>
      </c>
      <c r="I37" s="56" t="s">
        <v>142</v>
      </c>
      <c r="J37" s="57" t="n">
        <v>216.44</v>
      </c>
      <c r="K37" s="9" t="n">
        <f aca="false">IF(AND(ISNUMBER(B37),ISNUMBER(J37),N(J37)&gt;0),B37/J37-1,"")</f>
        <v>-0.0251339863241545</v>
      </c>
    </row>
    <row r="38" customFormat="false" ht="15" hidden="false" customHeight="false" outlineLevel="0" collapsed="false">
      <c r="A38" s="5" t="s">
        <v>116</v>
      </c>
      <c r="B38" s="53" t="n">
        <v>330.25</v>
      </c>
      <c r="C38" s="54" t="n">
        <f aca="false">IF(ISNUMBER(B38),B38,IF(ISNUMBER(E38),E38,IF(ISNUMBER(F38),F38,IF(ISNUMBER(G38),G38,IF(ISNUMBER(H38),H38,"")))))</f>
        <v>330.25</v>
      </c>
      <c r="D38" s="55" t="str">
        <f aca="false">IF(ISNUMBER(B38),IF(I38&lt;&gt;"",I38,"Manual override"),IF(ISNUMBER(E38),"Vidushi stmt – LTP 05.10",IF(ISNUMBER(F38),"Umesh stmt – NSE live 09.10",IF(ISNUMBER(G38),"Gautam stmt – 05.10",IF(ISNUMBER(H38),"DA stmt – older (stale)","No price on any statement")))))</f>
        <v>Close 08.10.2026 (Screener.in)</v>
      </c>
      <c r="E38" s="42" t="str">
        <f aca="false">IFERROR(INDEX('Vidushi Malhotra'!$M$7:$M$300,MATCH($A38,'Vidushi Malhotra'!$B$7:$B$300,0)),"")</f>
        <v/>
      </c>
      <c r="F38" s="42" t="str">
        <f aca="false">IFERROR(INDEX('Dr Umesh Choudhry'!$M$7:$M$300,MATCH($A38,'Dr Umesh Choudhry'!$B$7:$B$300,0)),"")</f>
        <v/>
      </c>
      <c r="G38" s="42" t="str">
        <f aca="false">IFERROR(INDEX(Gautam!$M$7:$M$300,MATCH($A38,Gautam!$B$7:$B$300,0)),"")</f>
        <v/>
      </c>
      <c r="H38" s="42" t="n">
        <f aca="false">IFERROR(INDEX(DA!$M$7:$M$300,MATCH($A38,DA!$B$7:$B$300,0)),"")</f>
        <v>354</v>
      </c>
      <c r="I38" s="56" t="s">
        <v>142</v>
      </c>
      <c r="J38" s="57" t="n">
        <v>333.4</v>
      </c>
      <c r="K38" s="9" t="n">
        <f aca="false">IF(AND(ISNUMBER(B38),ISNUMBER(J38),N(J38)&gt;0),B38/J38-1,"")</f>
        <v>-0.00944811037792437</v>
      </c>
    </row>
    <row r="39" customFormat="false" ht="15" hidden="false" customHeight="false" outlineLevel="0" collapsed="false">
      <c r="A39" s="5" t="s">
        <v>75</v>
      </c>
      <c r="B39" s="53" t="n">
        <v>3176.6</v>
      </c>
      <c r="C39" s="54" t="n">
        <f aca="false">IF(ISNUMBER(B39),B39,IF(ISNUMBER(E39),E39,IF(ISNUMBER(F39),F39,IF(ISNUMBER(G39),G39,IF(ISNUMBER(H39),H39,"")))))</f>
        <v>3176.6</v>
      </c>
      <c r="D39" s="55" t="str">
        <f aca="false">IF(ISNUMBER(B39),IF(I39&lt;&gt;"",I39,"Manual override"),IF(ISNUMBER(E39),"Vidushi stmt – LTP 05.10",IF(ISNUMBER(F39),"Umesh stmt – NSE live 09.10",IF(ISNUMBER(G39),"Gautam stmt – 05.10",IF(ISNUMBER(H39),"DA stmt – older (stale)","No price on any statement")))))</f>
        <v>Close 08.10.2026 (Screener.in)</v>
      </c>
      <c r="E39" s="42" t="n">
        <f aca="false">IFERROR(INDEX('Vidushi Malhotra'!$M$7:$M$300,MATCH($A39,'Vidushi Malhotra'!$B$7:$B$300,0)),"")</f>
        <v>3219</v>
      </c>
      <c r="F39" s="42" t="n">
        <f aca="false">IFERROR(INDEX('Dr Umesh Choudhry'!$M$7:$M$300,MATCH($A39,'Dr Umesh Choudhry'!$B$7:$B$300,0)),"")</f>
        <v>3202.5</v>
      </c>
      <c r="G39" s="42" t="n">
        <f aca="false">IFERROR(INDEX(Gautam!$M$7:$M$300,MATCH($A39,Gautam!$B$7:$B$300,0)),"")</f>
        <v>3268</v>
      </c>
      <c r="H39" s="42" t="n">
        <f aca="false">IFERROR(INDEX(DA!$M$7:$M$300,MATCH($A39,DA!$B$7:$B$300,0)),"")</f>
        <v>3337</v>
      </c>
      <c r="I39" s="56" t="s">
        <v>142</v>
      </c>
      <c r="J39" s="57" t="n">
        <v>3252.1</v>
      </c>
      <c r="K39" s="9" t="n">
        <f aca="false">IF(AND(ISNUMBER(B39),ISNUMBER(J39),N(J39)&gt;0),B39/J39-1,"")</f>
        <v>-0.0232157682728084</v>
      </c>
    </row>
    <row r="40" customFormat="false" ht="15" hidden="false" customHeight="false" outlineLevel="0" collapsed="false">
      <c r="A40" s="5" t="s">
        <v>70</v>
      </c>
      <c r="B40" s="53" t="n">
        <v>3915</v>
      </c>
      <c r="C40" s="54" t="n">
        <f aca="false">IF(ISNUMBER(B40),B40,IF(ISNUMBER(E40),E40,IF(ISNUMBER(F40),F40,IF(ISNUMBER(G40),G40,IF(ISNUMBER(H40),H40,"")))))</f>
        <v>3915</v>
      </c>
      <c r="D40" s="55" t="str">
        <f aca="false">IF(ISNUMBER(B40),IF(I40&lt;&gt;"",I40,"Manual override"),IF(ISNUMBER(E40),"Vidushi stmt – LTP 05.10",IF(ISNUMBER(F40),"Umesh stmt – NSE live 09.10",IF(ISNUMBER(G40),"Gautam stmt – 05.10",IF(ISNUMBER(H40),"DA stmt – older (stale)","No price on any statement")))))</f>
        <v>Close 08.10.2026 (Screener.in)</v>
      </c>
      <c r="E40" s="42" t="n">
        <f aca="false">IFERROR(INDEX('Vidushi Malhotra'!$M$7:$M$300,MATCH($A40,'Vidushi Malhotra'!$B$7:$B$300,0)),"")</f>
        <v>3986</v>
      </c>
      <c r="F40" s="42" t="n">
        <f aca="false">IFERROR(INDEX('Dr Umesh Choudhry'!$M$7:$M$300,MATCH($A40,'Dr Umesh Choudhry'!$B$7:$B$300,0)),"")</f>
        <v>4036.89189189189</v>
      </c>
      <c r="G40" s="42" t="n">
        <f aca="false">IFERROR(INDEX(Gautam!$M$7:$M$300,MATCH($A40,Gautam!$B$7:$B$300,0)),"")</f>
        <v>4007</v>
      </c>
      <c r="H40" s="42" t="n">
        <f aca="false">IFERROR(INDEX(DA!$M$7:$M$300,MATCH($A40,DA!$B$7:$B$300,0)),"")</f>
        <v>4275</v>
      </c>
      <c r="I40" s="56" t="s">
        <v>142</v>
      </c>
      <c r="J40" s="57" t="n">
        <v>3930</v>
      </c>
      <c r="K40" s="9" t="n">
        <f aca="false">IF(AND(ISNUMBER(B40),ISNUMBER(J40),N(J40)&gt;0),B40/J40-1,"")</f>
        <v>-0.00381679389312972</v>
      </c>
    </row>
    <row r="41" customFormat="false" ht="15" hidden="false" customHeight="false" outlineLevel="0" collapsed="false">
      <c r="A41" s="5" t="s">
        <v>93</v>
      </c>
      <c r="B41" s="53" t="n">
        <v>186.71</v>
      </c>
      <c r="C41" s="54" t="n">
        <f aca="false">IF(ISNUMBER(B41),B41,IF(ISNUMBER(E41),E41,IF(ISNUMBER(F41),F41,IF(ISNUMBER(G41),G41,IF(ISNUMBER(H41),H41,"")))))</f>
        <v>186.71</v>
      </c>
      <c r="D41" s="55" t="str">
        <f aca="false">IF(ISNUMBER(B41),IF(I41&lt;&gt;"",I41,"Manual override"),IF(ISNUMBER(E41),"Vidushi stmt – LTP 05.10",IF(ISNUMBER(F41),"Umesh stmt – NSE live 09.10",IF(ISNUMBER(G41),"Gautam stmt – 05.10",IF(ISNUMBER(H41),"DA stmt – older (stale)","No price on any statement")))))</f>
        <v>Close 08.10.2026 (Screener.in)</v>
      </c>
      <c r="E41" s="42" t="str">
        <f aca="false">IFERROR(INDEX('Vidushi Malhotra'!$M$7:$M$300,MATCH($A41,'Vidushi Malhotra'!$B$7:$B$300,0)),"")</f>
        <v/>
      </c>
      <c r="F41" s="42" t="str">
        <f aca="false">IFERROR(INDEX('Dr Umesh Choudhry'!$M$7:$M$300,MATCH($A41,'Dr Umesh Choudhry'!$B$7:$B$300,0)),"")</f>
        <v/>
      </c>
      <c r="G41" s="42" t="str">
        <f aca="false">IFERROR(INDEX(Gautam!$M$7:$M$300,MATCH($A41,Gautam!$B$7:$B$300,0)),"")</f>
        <v/>
      </c>
      <c r="H41" s="42" t="n">
        <f aca="false">IFERROR(INDEX(DA!$M$7:$M$300,MATCH($A41,DA!$B$7:$B$300,0)),"")</f>
        <v>210</v>
      </c>
      <c r="I41" s="56" t="s">
        <v>142</v>
      </c>
      <c r="J41" s="57" t="n">
        <v>195.2</v>
      </c>
      <c r="K41" s="9" t="n">
        <f aca="false">IF(AND(ISNUMBER(B41),ISNUMBER(J41),N(J41)&gt;0),B41/J41-1,"")</f>
        <v>-0.0434938524590163</v>
      </c>
    </row>
    <row r="42" customFormat="false" ht="15" hidden="false" customHeight="false" outlineLevel="0" collapsed="false">
      <c r="A42" s="5" t="s">
        <v>89</v>
      </c>
      <c r="B42" s="53" t="n">
        <v>119.93</v>
      </c>
      <c r="C42" s="54" t="n">
        <f aca="false">IF(ISNUMBER(B42),B42,IF(ISNUMBER(E42),E42,IF(ISNUMBER(F42),F42,IF(ISNUMBER(G42),G42,IF(ISNUMBER(H42),H42,"")))))</f>
        <v>119.93</v>
      </c>
      <c r="D42" s="55" t="str">
        <f aca="false">IF(ISNUMBER(B42),IF(I42&lt;&gt;"",I42,"Manual override"),IF(ISNUMBER(E42),"Vidushi stmt – LTP 05.10",IF(ISNUMBER(F42),"Umesh stmt – NSE live 09.10",IF(ISNUMBER(G42),"Gautam stmt – 05.10",IF(ISNUMBER(H42),"DA stmt – older (stale)","No price on any statement")))))</f>
        <v>Close 08.10.2026 (Screener.in)</v>
      </c>
      <c r="E42" s="42" t="str">
        <f aca="false">IFERROR(INDEX('Vidushi Malhotra'!$M$7:$M$300,MATCH($A42,'Vidushi Malhotra'!$B$7:$B$300,0)),"")</f>
        <v/>
      </c>
      <c r="F42" s="42" t="str">
        <f aca="false">IFERROR(INDEX('Dr Umesh Choudhry'!$M$7:$M$300,MATCH($A42,'Dr Umesh Choudhry'!$B$7:$B$300,0)),"")</f>
        <v/>
      </c>
      <c r="G42" s="42" t="str">
        <f aca="false">IFERROR(INDEX(Gautam!$M$7:$M$300,MATCH($A42,Gautam!$B$7:$B$300,0)),"")</f>
        <v/>
      </c>
      <c r="H42" s="42" t="n">
        <f aca="false">IFERROR(INDEX(DA!$M$7:$M$300,MATCH($A42,DA!$B$7:$B$300,0)),"")</f>
        <v>141</v>
      </c>
      <c r="I42" s="56" t="s">
        <v>142</v>
      </c>
      <c r="J42" s="57" t="n">
        <v>126.88</v>
      </c>
      <c r="K42" s="9" t="n">
        <f aca="false">IF(AND(ISNUMBER(B42),ISNUMBER(J42),N(J42)&gt;0),B42/J42-1,"")</f>
        <v>-0.0547761664564942</v>
      </c>
    </row>
    <row r="43" customFormat="false" ht="15" hidden="false" customHeight="false" outlineLevel="0" collapsed="false">
      <c r="A43" s="5" t="s">
        <v>128</v>
      </c>
      <c r="B43" s="53"/>
      <c r="C43" s="54" t="str">
        <f aca="false">IF(ISNUMBER(B43),B43,IF(ISNUMBER(E43),E43,IF(ISNUMBER(F43),F43,IF(ISNUMBER(G43),G43,IF(ISNUMBER(H43),H43,"")))))</f>
        <v/>
      </c>
      <c r="D43" s="55" t="str">
        <f aca="false">IF(ISNUMBER(B43),IF(I43&lt;&gt;"",I43,"Manual override"),IF(ISNUMBER(E43),"Vidushi stmt – LTP 05.10",IF(ISNUMBER(F43),"Umesh stmt – NSE live 09.10",IF(ISNUMBER(G43),"Gautam stmt – 05.10",IF(ISNUMBER(H43),"DA stmt – older (stale)","No price on any statement")))))</f>
        <v>No price on any statement</v>
      </c>
      <c r="E43" s="42" t="str">
        <f aca="false">IFERROR(INDEX('Vidushi Malhotra'!$M$7:$M$300,MATCH($A43,'Vidushi Malhotra'!$B$7:$B$300,0)),"")</f>
        <v/>
      </c>
      <c r="F43" s="42" t="str">
        <f aca="false">IFERROR(INDEX('Dr Umesh Choudhry'!$M$7:$M$300,MATCH($A43,'Dr Umesh Choudhry'!$B$7:$B$300,0)),"")</f>
        <v/>
      </c>
      <c r="G43" s="42" t="str">
        <f aca="false">IFERROR(INDEX(Gautam!$M$7:$M$300,MATCH($A43,Gautam!$B$7:$B$300,0)),"")</f>
        <v/>
      </c>
      <c r="H43" s="42" t="str">
        <f aca="false">IFERROR(INDEX(DA!$M$7:$M$300,MATCH($A43,DA!$B$7:$B$300,0)),"")</f>
        <v/>
      </c>
      <c r="I43" s="56" t="s">
        <v>144</v>
      </c>
      <c r="J43" s="57"/>
      <c r="K43" s="9" t="str">
        <f aca="false">IF(AND(ISNUMBER(B43),ISNUMBER(J43),N(J43)&gt;0),B43/J43-1,"")</f>
        <v/>
      </c>
    </row>
    <row r="44" customFormat="false" ht="15" hidden="false" customHeight="false" outlineLevel="0" collapsed="false">
      <c r="A44" s="5" t="s">
        <v>83</v>
      </c>
      <c r="B44" s="53" t="n">
        <v>1319</v>
      </c>
      <c r="C44" s="54" t="n">
        <f aca="false">IF(ISNUMBER(B44),B44,IF(ISNUMBER(E44),E44,IF(ISNUMBER(F44),F44,IF(ISNUMBER(G44),G44,IF(ISNUMBER(H44),H44,"")))))</f>
        <v>1319</v>
      </c>
      <c r="D44" s="55" t="str">
        <f aca="false">IF(ISNUMBER(B44),IF(I44&lt;&gt;"",I44,"Manual override"),IF(ISNUMBER(E44),"Vidushi stmt – LTP 05.10",IF(ISNUMBER(F44),"Umesh stmt – NSE live 09.10",IF(ISNUMBER(G44),"Gautam stmt – 05.10",IF(ISNUMBER(H44),"DA stmt – older (stale)","No price on any statement")))))</f>
        <v>Close 08.10.2026 (Screener.in)</v>
      </c>
      <c r="E44" s="42" t="str">
        <f aca="false">IFERROR(INDEX('Vidushi Malhotra'!$M$7:$M$300,MATCH($A44,'Vidushi Malhotra'!$B$7:$B$300,0)),"")</f>
        <v/>
      </c>
      <c r="F44" s="42" t="n">
        <f aca="false">IFERROR(INDEX('Dr Umesh Choudhry'!$M$7:$M$300,MATCH($A44,'Dr Umesh Choudhry'!$B$7:$B$300,0)),"")</f>
        <v>1325</v>
      </c>
      <c r="G44" s="42" t="n">
        <f aca="false">IFERROR(INDEX(Gautam!$M$7:$M$300,MATCH($A44,Gautam!$B$7:$B$300,0)),"")</f>
        <v>1308</v>
      </c>
      <c r="H44" s="42" t="n">
        <f aca="false">IFERROR(INDEX(DA!$M$7:$M$300,MATCH($A44,DA!$B$7:$B$300,0)),"")</f>
        <v>1383</v>
      </c>
      <c r="I44" s="56" t="s">
        <v>142</v>
      </c>
      <c r="J44" s="57" t="n">
        <v>1324</v>
      </c>
      <c r="K44" s="9" t="n">
        <f aca="false">IF(AND(ISNUMBER(B44),ISNUMBER(J44),N(J44)&gt;0),B44/J44-1,"")</f>
        <v>-0.00377643504531722</v>
      </c>
    </row>
    <row r="45" customFormat="false" ht="15" hidden="false" customHeight="false" outlineLevel="0" collapsed="false">
      <c r="A45" s="5" t="s">
        <v>118</v>
      </c>
      <c r="B45" s="53"/>
      <c r="C45" s="54" t="n">
        <f aca="false">IF(ISNUMBER(B45),B45,IF(ISNUMBER(E45),E45,IF(ISNUMBER(F45),F45,IF(ISNUMBER(G45),G45,IF(ISNUMBER(H45),H45,"")))))</f>
        <v>121</v>
      </c>
      <c r="D45" s="55" t="str">
        <f aca="false">IF(ISNUMBER(B45),IF(I45&lt;&gt;"",I45,"Manual override"),IF(ISNUMBER(E45),"Vidushi stmt – LTP 05.10",IF(ISNUMBER(F45),"Umesh stmt – NSE live 09.10",IF(ISNUMBER(G45),"Gautam stmt – 05.10",IF(ISNUMBER(H45),"DA stmt – older (stale)","No price on any statement")))))</f>
        <v>Vidushi stmt – LTP 05.10</v>
      </c>
      <c r="E45" s="42" t="n">
        <f aca="false">IFERROR(INDEX('Vidushi Malhotra'!$M$7:$M$300,MATCH($A45,'Vidushi Malhotra'!$B$7:$B$300,0)),"")</f>
        <v>121</v>
      </c>
      <c r="F45" s="42" t="str">
        <f aca="false">IFERROR(INDEX('Dr Umesh Choudhry'!$M$7:$M$300,MATCH($A45,'Dr Umesh Choudhry'!$B$7:$B$300,0)),"")</f>
        <v/>
      </c>
      <c r="G45" s="42" t="n">
        <f aca="false">IFERROR(INDEX(Gautam!$M$7:$M$300,MATCH($A45,Gautam!$B$7:$B$300,0)),"")</f>
        <v>123</v>
      </c>
      <c r="H45" s="42" t="str">
        <f aca="false">IFERROR(INDEX(DA!$M$7:$M$300,MATCH($A45,DA!$B$7:$B$300,0)),"")</f>
        <v/>
      </c>
      <c r="I45" s="56" t="s">
        <v>144</v>
      </c>
      <c r="J45" s="57"/>
      <c r="K45" s="9" t="str">
        <f aca="false">IF(AND(ISNUMBER(B45),ISNUMBER(J45),N(J45)&gt;0),B45/J45-1,"")</f>
        <v/>
      </c>
    </row>
    <row r="46" customFormat="false" ht="15" hidden="false" customHeight="false" outlineLevel="0" collapsed="false">
      <c r="A46" s="5" t="s">
        <v>71</v>
      </c>
      <c r="B46" s="53"/>
      <c r="C46" s="54" t="n">
        <f aca="false">IF(ISNUMBER(B46),B46,IF(ISNUMBER(E46),E46,IF(ISNUMBER(F46),F46,IF(ISNUMBER(G46),G46,IF(ISNUMBER(H46),H46,"")))))</f>
        <v>1000</v>
      </c>
      <c r="D46" s="55" t="str">
        <f aca="false">IF(ISNUMBER(B46),IF(I46&lt;&gt;"",I46,"Manual override"),IF(ISNUMBER(E46),"Vidushi stmt – LTP 05.10",IF(ISNUMBER(F46),"Umesh stmt – NSE live 09.10",IF(ISNUMBER(G46),"Gautam stmt – 05.10",IF(ISNUMBER(H46),"DA stmt – older (stale)","No price on any statement")))))</f>
        <v>Gautam stmt – 05.10</v>
      </c>
      <c r="E46" s="42" t="str">
        <f aca="false">IFERROR(INDEX('Vidushi Malhotra'!$M$7:$M$300,MATCH($A46,'Vidushi Malhotra'!$B$7:$B$300,0)),"")</f>
        <v/>
      </c>
      <c r="F46" s="42" t="str">
        <f aca="false">IFERROR(INDEX('Dr Umesh Choudhry'!$M$7:$M$300,MATCH($A46,'Dr Umesh Choudhry'!$B$7:$B$300,0)),"")</f>
        <v/>
      </c>
      <c r="G46" s="42" t="n">
        <f aca="false">IFERROR(INDEX(Gautam!$M$7:$M$300,MATCH($A46,Gautam!$B$7:$B$300,0)),"")</f>
        <v>1000</v>
      </c>
      <c r="H46" s="42" t="str">
        <f aca="false">IFERROR(INDEX(DA!$M$7:$M$300,MATCH($A46,DA!$B$7:$B$300,0)),"")</f>
        <v/>
      </c>
      <c r="I46" s="56" t="s">
        <v>144</v>
      </c>
      <c r="J46" s="57"/>
      <c r="K46" s="9" t="str">
        <f aca="false">IF(AND(ISNUMBER(B46),ISNUMBER(J46),N(J46)&gt;0),B46/J46-1,"")</f>
        <v/>
      </c>
    </row>
    <row r="47" customFormat="false" ht="15" hidden="false" customHeight="false" outlineLevel="0" collapsed="false">
      <c r="A47" s="5" t="s">
        <v>127</v>
      </c>
      <c r="B47" s="53"/>
      <c r="C47" s="54" t="n">
        <f aca="false">IF(ISNUMBER(B47),B47,IF(ISNUMBER(E47),E47,IF(ISNUMBER(F47),F47,IF(ISNUMBER(G47),G47,IF(ISNUMBER(H47),H47,"")))))</f>
        <v>257</v>
      </c>
      <c r="D47" s="55" t="str">
        <f aca="false">IF(ISNUMBER(B47),IF(I47&lt;&gt;"",I47,"Manual override"),IF(ISNUMBER(E47),"Vidushi stmt – LTP 05.10",IF(ISNUMBER(F47),"Umesh stmt – NSE live 09.10",IF(ISNUMBER(G47),"Gautam stmt – 05.10",IF(ISNUMBER(H47),"DA stmt – older (stale)","No price on any statement")))))</f>
        <v>Vidushi stmt – LTP 05.10</v>
      </c>
      <c r="E47" s="42" t="n">
        <f aca="false">IFERROR(INDEX('Vidushi Malhotra'!$M$7:$M$300,MATCH($A47,'Vidushi Malhotra'!$B$7:$B$300,0)),"")</f>
        <v>257</v>
      </c>
      <c r="F47" s="42" t="str">
        <f aca="false">IFERROR(INDEX('Dr Umesh Choudhry'!$M$7:$M$300,MATCH($A47,'Dr Umesh Choudhry'!$B$7:$B$300,0)),"")</f>
        <v/>
      </c>
      <c r="G47" s="42" t="str">
        <f aca="false">IFERROR(INDEX(Gautam!$M$7:$M$300,MATCH($A47,Gautam!$B$7:$B$300,0)),"")</f>
        <v/>
      </c>
      <c r="H47" s="42" t="str">
        <f aca="false">IFERROR(INDEX(DA!$M$7:$M$300,MATCH($A47,DA!$B$7:$B$300,0)),"")</f>
        <v/>
      </c>
      <c r="I47" s="56" t="s">
        <v>144</v>
      </c>
      <c r="J47" s="57"/>
      <c r="K47" s="9" t="str">
        <f aca="false">IF(AND(ISNUMBER(B47),ISNUMBER(J47),N(J47)&gt;0),B47/J47-1,"")</f>
        <v/>
      </c>
    </row>
    <row r="48" customFormat="false" ht="15" hidden="false" customHeight="false" outlineLevel="0" collapsed="false">
      <c r="A48" s="5" t="s">
        <v>104</v>
      </c>
      <c r="B48" s="53" t="n">
        <v>90.8</v>
      </c>
      <c r="C48" s="54" t="n">
        <f aca="false">IF(ISNUMBER(B48),B48,IF(ISNUMBER(E48),E48,IF(ISNUMBER(F48),F48,IF(ISNUMBER(G48),G48,IF(ISNUMBER(H48),H48,"")))))</f>
        <v>90.8</v>
      </c>
      <c r="D48" s="55" t="str">
        <f aca="false">IF(ISNUMBER(B48),IF(I48&lt;&gt;"",I48,"Manual override"),IF(ISNUMBER(E48),"Vidushi stmt – LTP 05.10",IF(ISNUMBER(F48),"Umesh stmt – NSE live 09.10",IF(ISNUMBER(G48),"Gautam stmt – 05.10",IF(ISNUMBER(H48),"DA stmt – older (stale)","No price on any statement")))))</f>
        <v>Close 08.10.2026 (Screener.in)</v>
      </c>
      <c r="E48" s="42" t="str">
        <f aca="false">IFERROR(INDEX('Vidushi Malhotra'!$M$7:$M$300,MATCH($A48,'Vidushi Malhotra'!$B$7:$B$300,0)),"")</f>
        <v/>
      </c>
      <c r="F48" s="42" t="str">
        <f aca="false">IFERROR(INDEX('Dr Umesh Choudhry'!$M$7:$M$300,MATCH($A48,'Dr Umesh Choudhry'!$B$7:$B$300,0)),"")</f>
        <v/>
      </c>
      <c r="G48" s="42" t="str">
        <f aca="false">IFERROR(INDEX(Gautam!$M$7:$M$300,MATCH($A48,Gautam!$B$7:$B$300,0)),"")</f>
        <v/>
      </c>
      <c r="H48" s="42" t="n">
        <f aca="false">IFERROR(INDEX(DA!$M$7:$M$300,MATCH($A48,DA!$B$7:$B$300,0)),"")</f>
        <v>87</v>
      </c>
      <c r="I48" s="56" t="s">
        <v>142</v>
      </c>
      <c r="J48" s="57" t="n">
        <v>88.51</v>
      </c>
      <c r="K48" s="9" t="n">
        <f aca="false">IF(AND(ISNUMBER(B48),ISNUMBER(J48),N(J48)&gt;0),B48/J48-1,"")</f>
        <v>0.0258727827364138</v>
      </c>
    </row>
    <row r="49" customFormat="false" ht="15" hidden="false" customHeight="false" outlineLevel="0" collapsed="false">
      <c r="A49" s="5" t="s">
        <v>125</v>
      </c>
      <c r="B49" s="53" t="n">
        <v>110.08</v>
      </c>
      <c r="C49" s="54" t="n">
        <f aca="false">IF(ISNUMBER(B49),B49,IF(ISNUMBER(E49),E49,IF(ISNUMBER(F49),F49,IF(ISNUMBER(G49),G49,IF(ISNUMBER(H49),H49,"")))))</f>
        <v>110.08</v>
      </c>
      <c r="D49" s="55" t="str">
        <f aca="false">IF(ISNUMBER(B49),IF(I49&lt;&gt;"",I49,"Manual override"),IF(ISNUMBER(E49),"Vidushi stmt – LTP 05.10",IF(ISNUMBER(F49),"Umesh stmt – NSE live 09.10",IF(ISNUMBER(G49),"Gautam stmt – 05.10",IF(ISNUMBER(H49),"DA stmt – older (stale)","No price on any statement")))))</f>
        <v>Close 08.10.2026 (Screener.in)</v>
      </c>
      <c r="E49" s="42" t="str">
        <f aca="false">IFERROR(INDEX('Vidushi Malhotra'!$M$7:$M$300,MATCH($A49,'Vidushi Malhotra'!$B$7:$B$300,0)),"")</f>
        <v/>
      </c>
      <c r="F49" s="42" t="str">
        <f aca="false">IFERROR(INDEX('Dr Umesh Choudhry'!$M$7:$M$300,MATCH($A49,'Dr Umesh Choudhry'!$B$7:$B$300,0)),"")</f>
        <v/>
      </c>
      <c r="G49" s="42" t="str">
        <f aca="false">IFERROR(INDEX(Gautam!$M$7:$M$300,MATCH($A49,Gautam!$B$7:$B$300,0)),"")</f>
        <v/>
      </c>
      <c r="H49" s="42" t="n">
        <f aca="false">IFERROR(INDEX(DA!$M$7:$M$300,MATCH($A49,DA!$B$7:$B$300,0)),"")</f>
        <v>126</v>
      </c>
      <c r="I49" s="56" t="s">
        <v>142</v>
      </c>
      <c r="J49" s="57" t="n">
        <v>113.21</v>
      </c>
      <c r="K49" s="9" t="n">
        <f aca="false">IF(AND(ISNUMBER(B49),ISNUMBER(J49),N(J49)&gt;0),B49/J49-1,"")</f>
        <v>-0.0276477342990902</v>
      </c>
    </row>
    <row r="50" customFormat="false" ht="15" hidden="false" customHeight="false" outlineLevel="0" collapsed="false">
      <c r="A50" s="5" t="s">
        <v>124</v>
      </c>
      <c r="B50" s="53" t="n">
        <v>162.95</v>
      </c>
      <c r="C50" s="54" t="n">
        <f aca="false">IF(ISNUMBER(B50),B50,IF(ISNUMBER(E50),E50,IF(ISNUMBER(F50),F50,IF(ISNUMBER(G50),G50,IF(ISNUMBER(H50),H50,"")))))</f>
        <v>162.95</v>
      </c>
      <c r="D50" s="55" t="str">
        <f aca="false">IF(ISNUMBER(B50),IF(I50&lt;&gt;"",I50,"Manual override"),IF(ISNUMBER(E50),"Vidushi stmt – LTP 05.10",IF(ISNUMBER(F50),"Umesh stmt – NSE live 09.10",IF(ISNUMBER(G50),"Gautam stmt – 05.10",IF(ISNUMBER(H50),"DA stmt – older (stale)","No price on any statement")))))</f>
        <v>Close 08.10.2026 (Screener.in)</v>
      </c>
      <c r="E50" s="42" t="str">
        <f aca="false">IFERROR(INDEX('Vidushi Malhotra'!$M$7:$M$300,MATCH($A50,'Vidushi Malhotra'!$B$7:$B$300,0)),"")</f>
        <v/>
      </c>
      <c r="F50" s="42" t="str">
        <f aca="false">IFERROR(INDEX('Dr Umesh Choudhry'!$M$7:$M$300,MATCH($A50,'Dr Umesh Choudhry'!$B$7:$B$300,0)),"")</f>
        <v/>
      </c>
      <c r="G50" s="42" t="n">
        <f aca="false">IFERROR(INDEX(Gautam!$M$7:$M$300,MATCH($A50,Gautam!$B$7:$B$300,0)),"")</f>
        <v>154</v>
      </c>
      <c r="H50" s="42" t="str">
        <f aca="false">IFERROR(INDEX(DA!$M$7:$M$300,MATCH($A50,DA!$B$7:$B$300,0)),"")</f>
        <v/>
      </c>
      <c r="I50" s="56" t="s">
        <v>142</v>
      </c>
      <c r="J50" s="57" t="n">
        <v>160.73</v>
      </c>
      <c r="K50" s="9" t="n">
        <f aca="false">IF(AND(ISNUMBER(B50),ISNUMBER(J50),N(J50)&gt;0),B50/J50-1,"")</f>
        <v>0.0138119828283456</v>
      </c>
    </row>
    <row r="51" customFormat="false" ht="15" hidden="false" customHeight="false" outlineLevel="0" collapsed="false">
      <c r="A51" s="5" t="s">
        <v>73</v>
      </c>
      <c r="B51" s="53" t="n">
        <v>5468</v>
      </c>
      <c r="C51" s="54" t="n">
        <f aca="false">IF(ISNUMBER(B51),B51,IF(ISNUMBER(E51),E51,IF(ISNUMBER(F51),F51,IF(ISNUMBER(G51),G51,IF(ISNUMBER(H51),H51,"")))))</f>
        <v>5468</v>
      </c>
      <c r="D51" s="55" t="str">
        <f aca="false">IF(ISNUMBER(B51),IF(I51&lt;&gt;"",I51,"Manual override"),IF(ISNUMBER(E51),"Vidushi stmt – LTP 05.10",IF(ISNUMBER(F51),"Umesh stmt – NSE live 09.10",IF(ISNUMBER(G51),"Gautam stmt – 05.10",IF(ISNUMBER(H51),"DA stmt – older (stale)","No price on any statement")))))</f>
        <v>Close 08.10.2026 (Screener.in)</v>
      </c>
      <c r="E51" s="42" t="str">
        <f aca="false">IFERROR(INDEX('Vidushi Malhotra'!$M$7:$M$300,MATCH($A51,'Vidushi Malhotra'!$B$7:$B$300,0)),"")</f>
        <v/>
      </c>
      <c r="F51" s="42" t="n">
        <f aca="false">IFERROR(INDEX('Dr Umesh Choudhry'!$M$7:$M$300,MATCH($A51,'Dr Umesh Choudhry'!$B$7:$B$300,0)),"")</f>
        <v>5625.52941176471</v>
      </c>
      <c r="G51" s="42" t="n">
        <f aca="false">IFERROR(INDEX(Gautam!$M$7:$M$300,MATCH($A51,Gautam!$B$7:$B$300,0)),"")</f>
        <v>5544</v>
      </c>
      <c r="H51" s="42" t="n">
        <f aca="false">IFERROR(INDEX(DA!$M$7:$M$300,MATCH($A51,DA!$B$7:$B$300,0)),"")</f>
        <v>5516</v>
      </c>
      <c r="I51" s="56" t="s">
        <v>142</v>
      </c>
      <c r="J51" s="57" t="n">
        <v>5507</v>
      </c>
      <c r="K51" s="9" t="n">
        <f aca="false">IF(AND(ISNUMBER(B51),ISNUMBER(J51),N(J51)&gt;0),B51/J51-1,"")</f>
        <v>-0.0070818957690213</v>
      </c>
    </row>
    <row r="52" customFormat="false" ht="15" hidden="false" customHeight="false" outlineLevel="0" collapsed="false">
      <c r="A52" s="5" t="s">
        <v>65</v>
      </c>
      <c r="B52" s="53" t="n">
        <v>437.9</v>
      </c>
      <c r="C52" s="54" t="n">
        <f aca="false">IF(ISNUMBER(B52),B52,IF(ISNUMBER(E52),E52,IF(ISNUMBER(F52),F52,IF(ISNUMBER(G52),G52,IF(ISNUMBER(H52),H52,"")))))</f>
        <v>437.9</v>
      </c>
      <c r="D52" s="55" t="str">
        <f aca="false">IF(ISNUMBER(B52),IF(I52&lt;&gt;"",I52,"Manual override"),IF(ISNUMBER(E52),"Vidushi stmt – LTP 05.10",IF(ISNUMBER(F52),"Umesh stmt – NSE live 09.10",IF(ISNUMBER(G52),"Gautam stmt – 05.10",IF(ISNUMBER(H52),"DA stmt – older (stale)","No price on any statement")))))</f>
        <v>Close 08.10.2026 (Screener.in)</v>
      </c>
      <c r="E52" s="42" t="n">
        <f aca="false">IFERROR(INDEX('Vidushi Malhotra'!$M$7:$M$300,MATCH($A52,'Vidushi Malhotra'!$B$7:$B$300,0)),"")</f>
        <v>450.605263157895</v>
      </c>
      <c r="F52" s="42" t="n">
        <f aca="false">IFERROR(INDEX('Dr Umesh Choudhry'!$M$7:$M$300,MATCH($A52,'Dr Umesh Choudhry'!$B$7:$B$300,0)),"")</f>
        <v>442.799739921977</v>
      </c>
      <c r="G52" s="42" t="n">
        <f aca="false">IFERROR(INDEX(Gautam!$M$7:$M$300,MATCH($A52,Gautam!$B$7:$B$300,0)),"")</f>
        <v>443</v>
      </c>
      <c r="H52" s="42" t="n">
        <f aca="false">IFERROR(INDEX(DA!$M$7:$M$300,MATCH($A52,DA!$B$7:$B$300,0)),"")</f>
        <v>445</v>
      </c>
      <c r="I52" s="56" t="s">
        <v>142</v>
      </c>
      <c r="J52" s="57" t="n">
        <v>448.9</v>
      </c>
      <c r="K52" s="9" t="n">
        <f aca="false">IF(AND(ISNUMBER(B52),ISNUMBER(J52),N(J52)&gt;0),B52/J52-1,"")</f>
        <v>-0.0245043439518824</v>
      </c>
    </row>
    <row r="53" customFormat="false" ht="15" hidden="false" customHeight="false" outlineLevel="0" collapsed="false">
      <c r="A53" s="5" t="s">
        <v>129</v>
      </c>
      <c r="B53" s="53"/>
      <c r="C53" s="54" t="str">
        <f aca="false">IF(ISNUMBER(B53),B53,IF(ISNUMBER(E53),E53,IF(ISNUMBER(F53),F53,IF(ISNUMBER(G53),G53,IF(ISNUMBER(H53),H53,"")))))</f>
        <v/>
      </c>
      <c r="D53" s="55" t="str">
        <f aca="false">IF(ISNUMBER(B53),IF(I53&lt;&gt;"",I53,"Manual override"),IF(ISNUMBER(E53),"Vidushi stmt – LTP 05.10",IF(ISNUMBER(F53),"Umesh stmt – NSE live 09.10",IF(ISNUMBER(G53),"Gautam stmt – 05.10",IF(ISNUMBER(H53),"DA stmt – older (stale)","No price on any statement")))))</f>
        <v>No price on any statement</v>
      </c>
      <c r="E53" s="42" t="str">
        <f aca="false">IFERROR(INDEX('Vidushi Malhotra'!$M$7:$M$300,MATCH($A53,'Vidushi Malhotra'!$B$7:$B$300,0)),"")</f>
        <v/>
      </c>
      <c r="F53" s="42" t="str">
        <f aca="false">IFERROR(INDEX('Dr Umesh Choudhry'!$M$7:$M$300,MATCH($A53,'Dr Umesh Choudhry'!$B$7:$B$300,0)),"")</f>
        <v/>
      </c>
      <c r="G53" s="42" t="str">
        <f aca="false">IFERROR(INDEX(Gautam!$M$7:$M$300,MATCH($A53,Gautam!$B$7:$B$300,0)),"")</f>
        <v/>
      </c>
      <c r="H53" s="42" t="str">
        <f aca="false">IFERROR(INDEX(DA!$M$7:$M$300,MATCH($A53,DA!$B$7:$B$300,0)),"")</f>
        <v/>
      </c>
      <c r="I53" s="56" t="s">
        <v>144</v>
      </c>
      <c r="J53" s="57"/>
      <c r="K53" s="9" t="str">
        <f aca="false">IF(AND(ISNUMBER(B53),ISNUMBER(J53),N(J53)&gt;0),B53/J53-1,"")</f>
        <v/>
      </c>
    </row>
    <row r="54" customFormat="false" ht="15" hidden="false" customHeight="false" outlineLevel="0" collapsed="false">
      <c r="A54" s="5" t="s">
        <v>87</v>
      </c>
      <c r="B54" s="53" t="n">
        <v>830.95</v>
      </c>
      <c r="C54" s="54" t="n">
        <f aca="false">IF(ISNUMBER(B54),B54,IF(ISNUMBER(E54),E54,IF(ISNUMBER(F54),F54,IF(ISNUMBER(G54),G54,IF(ISNUMBER(H54),H54,"")))))</f>
        <v>830.95</v>
      </c>
      <c r="D54" s="55" t="str">
        <f aca="false">IF(ISNUMBER(B54),IF(I54&lt;&gt;"",I54,"Manual override"),IF(ISNUMBER(E54),"Vidushi stmt – LTP 05.10",IF(ISNUMBER(F54),"Umesh stmt – NSE live 09.10",IF(ISNUMBER(G54),"Gautam stmt – 05.10",IF(ISNUMBER(H54),"DA stmt – older (stale)","No price on any statement")))))</f>
        <v>Close 08.10.2026 (Screener.in)</v>
      </c>
      <c r="E54" s="42" t="str">
        <f aca="false">IFERROR(INDEX('Vidushi Malhotra'!$M$7:$M$300,MATCH($A54,'Vidushi Malhotra'!$B$7:$B$300,0)),"")</f>
        <v/>
      </c>
      <c r="F54" s="42" t="n">
        <f aca="false">IFERROR(INDEX('Dr Umesh Choudhry'!$M$7:$M$300,MATCH($A54,'Dr Umesh Choudhry'!$B$7:$B$300,0)),"")</f>
        <v>840.875</v>
      </c>
      <c r="G54" s="42" t="n">
        <f aca="false">IFERROR(INDEX(Gautam!$M$7:$M$300,MATCH($A54,Gautam!$B$7:$B$300,0)),"")</f>
        <v>841</v>
      </c>
      <c r="H54" s="42" t="str">
        <f aca="false">IFERROR(INDEX(DA!$M$7:$M$300,MATCH($A54,DA!$B$7:$B$300,0)),"")</f>
        <v/>
      </c>
      <c r="I54" s="56" t="s">
        <v>142</v>
      </c>
      <c r="J54" s="57" t="n">
        <v>854.55</v>
      </c>
      <c r="K54" s="9" t="n">
        <f aca="false">IF(AND(ISNUMBER(B54),ISNUMBER(J54),N(J54)&gt;0),B54/J54-1,"")</f>
        <v>-0.0276168743783277</v>
      </c>
    </row>
    <row r="55" customFormat="false" ht="15" hidden="false" customHeight="false" outlineLevel="0" collapsed="false">
      <c r="A55" s="5" t="s">
        <v>115</v>
      </c>
      <c r="B55" s="53" t="n">
        <v>295</v>
      </c>
      <c r="C55" s="54" t="n">
        <f aca="false">IF(ISNUMBER(B55),B55,IF(ISNUMBER(E55),E55,IF(ISNUMBER(F55),F55,IF(ISNUMBER(G55),G55,IF(ISNUMBER(H55),H55,"")))))</f>
        <v>295</v>
      </c>
      <c r="D55" s="55" t="str">
        <f aca="false">IF(ISNUMBER(B55),IF(I55&lt;&gt;"",I55,"Manual override"),IF(ISNUMBER(E55),"Vidushi stmt – LTP 05.10",IF(ISNUMBER(F55),"Umesh stmt – NSE live 09.10",IF(ISNUMBER(G55),"Gautam stmt – 05.10",IF(ISNUMBER(H55),"DA stmt – older (stale)","No price on any statement")))))</f>
        <v>Close 08.10.2026 (Screener.in)</v>
      </c>
      <c r="E55" s="42" t="str">
        <f aca="false">IFERROR(INDEX('Vidushi Malhotra'!$M$7:$M$300,MATCH($A55,'Vidushi Malhotra'!$B$7:$B$300,0)),"")</f>
        <v/>
      </c>
      <c r="F55" s="42" t="str">
        <f aca="false">IFERROR(INDEX('Dr Umesh Choudhry'!$M$7:$M$300,MATCH($A55,'Dr Umesh Choudhry'!$B$7:$B$300,0)),"")</f>
        <v/>
      </c>
      <c r="G55" s="42" t="str">
        <f aca="false">IFERROR(INDEX(Gautam!$M$7:$M$300,MATCH($A55,Gautam!$B$7:$B$300,0)),"")</f>
        <v/>
      </c>
      <c r="H55" s="42" t="n">
        <f aca="false">IFERROR(INDEX(DA!$M$7:$M$300,MATCH($A55,DA!$B$7:$B$300,0)),"")</f>
        <v>313</v>
      </c>
      <c r="I55" s="56" t="s">
        <v>142</v>
      </c>
      <c r="J55" s="57" t="n">
        <v>298.9</v>
      </c>
      <c r="K55" s="9" t="n">
        <f aca="false">IF(AND(ISNUMBER(B55),ISNUMBER(J55),N(J55)&gt;0),B55/J55-1,"")</f>
        <v>-0.0130478420876546</v>
      </c>
    </row>
    <row r="56" customFormat="false" ht="15" hidden="false" customHeight="false" outlineLevel="0" collapsed="false">
      <c r="A56" s="5" t="s">
        <v>79</v>
      </c>
      <c r="B56" s="53" t="n">
        <v>1178</v>
      </c>
      <c r="C56" s="54" t="n">
        <f aca="false">IF(ISNUMBER(B56),B56,IF(ISNUMBER(E56),E56,IF(ISNUMBER(F56),F56,IF(ISNUMBER(G56),G56,IF(ISNUMBER(H56),H56,"")))))</f>
        <v>1178</v>
      </c>
      <c r="D56" s="55" t="str">
        <f aca="false">IF(ISNUMBER(B56),IF(I56&lt;&gt;"",I56,"Manual override"),IF(ISNUMBER(E56),"Vidushi stmt – LTP 05.10",IF(ISNUMBER(F56),"Umesh stmt – NSE live 09.10",IF(ISNUMBER(G56),"Gautam stmt – 05.10",IF(ISNUMBER(H56),"DA stmt – older (stale)","No price on any statement")))))</f>
        <v>Close 08.10.2026 (Screener.in)</v>
      </c>
      <c r="E56" s="42" t="str">
        <f aca="false">IFERROR(INDEX('Vidushi Malhotra'!$M$7:$M$300,MATCH($A56,'Vidushi Malhotra'!$B$7:$B$300,0)),"")</f>
        <v/>
      </c>
      <c r="F56" s="42" t="str">
        <f aca="false">IFERROR(INDEX('Dr Umesh Choudhry'!$M$7:$M$300,MATCH($A56,'Dr Umesh Choudhry'!$B$7:$B$300,0)),"")</f>
        <v/>
      </c>
      <c r="G56" s="42" t="str">
        <f aca="false">IFERROR(INDEX(Gautam!$M$7:$M$300,MATCH($A56,Gautam!$B$7:$B$300,0)),"")</f>
        <v/>
      </c>
      <c r="H56" s="42" t="n">
        <f aca="false">IFERROR(INDEX(DA!$M$7:$M$300,MATCH($A56,DA!$B$7:$B$300,0)),"")</f>
        <v>1258</v>
      </c>
      <c r="I56" s="56" t="s">
        <v>142</v>
      </c>
      <c r="J56" s="57" t="n">
        <v>1207.7</v>
      </c>
      <c r="K56" s="9" t="n">
        <f aca="false">IF(AND(ISNUMBER(B56),ISNUMBER(J56),N(J56)&gt;0),B56/J56-1,"")</f>
        <v>-0.0245922000496812</v>
      </c>
    </row>
    <row r="57" customFormat="false" ht="15" hidden="false" customHeight="false" outlineLevel="0" collapsed="false">
      <c r="A57" s="5" t="s">
        <v>102</v>
      </c>
      <c r="B57" s="53" t="n">
        <v>195.85</v>
      </c>
      <c r="C57" s="54" t="n">
        <f aca="false">IF(ISNUMBER(B57),B57,IF(ISNUMBER(E57),E57,IF(ISNUMBER(F57),F57,IF(ISNUMBER(G57),G57,IF(ISNUMBER(H57),H57,"")))))</f>
        <v>195.85</v>
      </c>
      <c r="D57" s="55" t="str">
        <f aca="false">IF(ISNUMBER(B57),IF(I57&lt;&gt;"",I57,"Manual override"),IF(ISNUMBER(E57),"Vidushi stmt – LTP 05.10",IF(ISNUMBER(F57),"Umesh stmt – NSE live 09.10",IF(ISNUMBER(G57),"Gautam stmt – 05.10",IF(ISNUMBER(H57),"DA stmt – older (stale)","No price on any statement")))))</f>
        <v>Close 08.10.2026 (Screener.in)</v>
      </c>
      <c r="E57" s="42" t="str">
        <f aca="false">IFERROR(INDEX('Vidushi Malhotra'!$M$7:$M$300,MATCH($A57,'Vidushi Malhotra'!$B$7:$B$300,0)),"")</f>
        <v/>
      </c>
      <c r="F57" s="42" t="str">
        <f aca="false">IFERROR(INDEX('Dr Umesh Choudhry'!$M$7:$M$300,MATCH($A57,'Dr Umesh Choudhry'!$B$7:$B$300,0)),"")</f>
        <v/>
      </c>
      <c r="G57" s="42" t="str">
        <f aca="false">IFERROR(INDEX(Gautam!$M$7:$M$300,MATCH($A57,Gautam!$B$7:$B$300,0)),"")</f>
        <v/>
      </c>
      <c r="H57" s="42" t="n">
        <f aca="false">IFERROR(INDEX(DA!$M$7:$M$300,MATCH($A57,DA!$B$7:$B$300,0)),"")</f>
        <v>209</v>
      </c>
      <c r="I57" s="56" t="s">
        <v>142</v>
      </c>
      <c r="J57" s="57" t="n">
        <v>200.74</v>
      </c>
      <c r="K57" s="9" t="n">
        <f aca="false">IF(AND(ISNUMBER(B57),ISNUMBER(J57),N(J57)&gt;0),B57/J57-1,"")</f>
        <v>-0.0243598684865997</v>
      </c>
    </row>
    <row r="58" customFormat="false" ht="15" hidden="false" customHeight="false" outlineLevel="0" collapsed="false">
      <c r="A58" s="5" t="s">
        <v>119</v>
      </c>
      <c r="B58" s="53" t="n">
        <v>426.65</v>
      </c>
      <c r="C58" s="54" t="n">
        <f aca="false">IF(ISNUMBER(B58),B58,IF(ISNUMBER(E58),E58,IF(ISNUMBER(F58),F58,IF(ISNUMBER(G58),G58,IF(ISNUMBER(H58),H58,"")))))</f>
        <v>426.65</v>
      </c>
      <c r="D58" s="55" t="str">
        <f aca="false">IF(ISNUMBER(B58),IF(I58&lt;&gt;"",I58,"Manual override"),IF(ISNUMBER(E58),"Vidushi stmt – LTP 05.10",IF(ISNUMBER(F58),"Umesh stmt – NSE live 09.10",IF(ISNUMBER(G58),"Gautam stmt – 05.10",IF(ISNUMBER(H58),"DA stmt – older (stale)","No price on any statement")))))</f>
        <v>Close 08.10.2026 (Screener.in)</v>
      </c>
      <c r="E58" s="42" t="str">
        <f aca="false">IFERROR(INDEX('Vidushi Malhotra'!$M$7:$M$300,MATCH($A58,'Vidushi Malhotra'!$B$7:$B$300,0)),"")</f>
        <v/>
      </c>
      <c r="F58" s="42" t="str">
        <f aca="false">IFERROR(INDEX('Dr Umesh Choudhry'!$M$7:$M$300,MATCH($A58,'Dr Umesh Choudhry'!$B$7:$B$300,0)),"")</f>
        <v/>
      </c>
      <c r="G58" s="42" t="str">
        <f aca="false">IFERROR(INDEX(Gautam!$M$7:$M$300,MATCH($A58,Gautam!$B$7:$B$300,0)),"")</f>
        <v/>
      </c>
      <c r="H58" s="42" t="n">
        <f aca="false">IFERROR(INDEX(DA!$M$7:$M$300,MATCH($A58,DA!$B$7:$B$300,0)),"")</f>
        <v>494</v>
      </c>
      <c r="I58" s="56" t="s">
        <v>142</v>
      </c>
      <c r="J58" s="57" t="n">
        <v>447.4</v>
      </c>
      <c r="K58" s="9" t="n">
        <f aca="false">IF(AND(ISNUMBER(B58),ISNUMBER(J58),N(J58)&gt;0),B58/J58-1,"")</f>
        <v>-0.0463790791238266</v>
      </c>
    </row>
    <row r="59" customFormat="false" ht="15" hidden="false" customHeight="false" outlineLevel="0" collapsed="false">
      <c r="A59" s="5" t="s">
        <v>110</v>
      </c>
      <c r="B59" s="53" t="n">
        <v>65.8</v>
      </c>
      <c r="C59" s="54" t="n">
        <f aca="false">IF(ISNUMBER(B59),B59,IF(ISNUMBER(E59),E59,IF(ISNUMBER(F59),F59,IF(ISNUMBER(G59),G59,IF(ISNUMBER(H59),H59,"")))))</f>
        <v>65.8</v>
      </c>
      <c r="D59" s="55" t="str">
        <f aca="false">IF(ISNUMBER(B59),IF(I59&lt;&gt;"",I59,"Manual override"),IF(ISNUMBER(E59),"Vidushi stmt – LTP 05.10",IF(ISNUMBER(F59),"Umesh stmt – NSE live 09.10",IF(ISNUMBER(G59),"Gautam stmt – 05.10",IF(ISNUMBER(H59),"DA stmt – older (stale)","No price on any statement")))))</f>
        <v>Close 08.10.2026 (Screener.in)</v>
      </c>
      <c r="E59" s="42" t="str">
        <f aca="false">IFERROR(INDEX('Vidushi Malhotra'!$M$7:$M$300,MATCH($A59,'Vidushi Malhotra'!$B$7:$B$300,0)),"")</f>
        <v/>
      </c>
      <c r="F59" s="42" t="str">
        <f aca="false">IFERROR(INDEX('Dr Umesh Choudhry'!$M$7:$M$300,MATCH($A59,'Dr Umesh Choudhry'!$B$7:$B$300,0)),"")</f>
        <v/>
      </c>
      <c r="G59" s="42" t="n">
        <f aca="false">IFERROR(INDEX(Gautam!$M$7:$M$300,MATCH($A59,Gautam!$B$7:$B$300,0)),"")</f>
        <v>67.4</v>
      </c>
      <c r="H59" s="42" t="str">
        <f aca="false">IFERROR(INDEX(DA!$M$7:$M$300,MATCH($A59,DA!$B$7:$B$300,0)),"")</f>
        <v/>
      </c>
      <c r="I59" s="56" t="s">
        <v>142</v>
      </c>
      <c r="J59" s="57" t="n">
        <v>68.05</v>
      </c>
      <c r="K59" s="9" t="n">
        <f aca="false">IF(AND(ISNUMBER(B59),ISNUMBER(J59),N(J59)&gt;0),B59/J59-1,"")</f>
        <v>-0.0330639235855988</v>
      </c>
    </row>
    <row r="60" customFormat="false" ht="15" hidden="false" customHeight="false" outlineLevel="0" collapsed="false">
      <c r="A60" s="5" t="s">
        <v>112</v>
      </c>
      <c r="B60" s="53" t="n">
        <v>240.9</v>
      </c>
      <c r="C60" s="54" t="n">
        <f aca="false">IF(ISNUMBER(B60),B60,IF(ISNUMBER(E60),E60,IF(ISNUMBER(F60),F60,IF(ISNUMBER(G60),G60,IF(ISNUMBER(H60),H60,"")))))</f>
        <v>240.9</v>
      </c>
      <c r="D60" s="55" t="str">
        <f aca="false">IF(ISNUMBER(B60),IF(I60&lt;&gt;"",I60,"Manual override"),IF(ISNUMBER(E60),"Vidushi stmt – LTP 05.10",IF(ISNUMBER(F60),"Umesh stmt – NSE live 09.10",IF(ISNUMBER(G60),"Gautam stmt – 05.10",IF(ISNUMBER(H60),"DA stmt – older (stale)","No price on any statement")))))</f>
        <v>Close 08.10.2026 (Screener.in)</v>
      </c>
      <c r="E60" s="42" t="str">
        <f aca="false">IFERROR(INDEX('Vidushi Malhotra'!$M$7:$M$300,MATCH($A60,'Vidushi Malhotra'!$B$7:$B$300,0)),"")</f>
        <v/>
      </c>
      <c r="F60" s="42" t="str">
        <f aca="false">IFERROR(INDEX('Dr Umesh Choudhry'!$M$7:$M$300,MATCH($A60,'Dr Umesh Choudhry'!$B$7:$B$300,0)),"")</f>
        <v/>
      </c>
      <c r="G60" s="42" t="str">
        <f aca="false">IFERROR(INDEX(Gautam!$M$7:$M$300,MATCH($A60,Gautam!$B$7:$B$300,0)),"")</f>
        <v/>
      </c>
      <c r="H60" s="42" t="n">
        <f aca="false">IFERROR(INDEX(DA!$M$7:$M$300,MATCH($A60,DA!$B$7:$B$300,0)),"")</f>
        <v>266</v>
      </c>
      <c r="I60" s="56" t="s">
        <v>142</v>
      </c>
      <c r="J60" s="57" t="n">
        <v>248.1</v>
      </c>
      <c r="K60" s="9" t="n">
        <f aca="false">IF(AND(ISNUMBER(B60),ISNUMBER(J60),N(J60)&gt;0),B60/J60-1,"")</f>
        <v>-0.0290205562273277</v>
      </c>
    </row>
    <row r="61" customFormat="false" ht="15" hidden="false" customHeight="false" outlineLevel="0" collapsed="false">
      <c r="A61" s="5" t="s">
        <v>108</v>
      </c>
      <c r="B61" s="53" t="n">
        <v>346</v>
      </c>
      <c r="C61" s="54" t="n">
        <f aca="false">IF(ISNUMBER(B61),B61,IF(ISNUMBER(E61),E61,IF(ISNUMBER(F61),F61,IF(ISNUMBER(G61),G61,IF(ISNUMBER(H61),H61,"")))))</f>
        <v>346</v>
      </c>
      <c r="D61" s="55" t="str">
        <f aca="false">IF(ISNUMBER(B61),IF(I61&lt;&gt;"",I61,"Manual override"),IF(ISNUMBER(E61),"Vidushi stmt – LTP 05.10",IF(ISNUMBER(F61),"Umesh stmt – NSE live 09.10",IF(ISNUMBER(G61),"Gautam stmt – 05.10",IF(ISNUMBER(H61),"DA stmt – older (stale)","No price on any statement")))))</f>
        <v>Close 08.10.2026 (Screener.in)</v>
      </c>
      <c r="E61" s="42" t="str">
        <f aca="false">IFERROR(INDEX('Vidushi Malhotra'!$M$7:$M$300,MATCH($A61,'Vidushi Malhotra'!$B$7:$B$300,0)),"")</f>
        <v/>
      </c>
      <c r="F61" s="42" t="str">
        <f aca="false">IFERROR(INDEX('Dr Umesh Choudhry'!$M$7:$M$300,MATCH($A61,'Dr Umesh Choudhry'!$B$7:$B$300,0)),"")</f>
        <v/>
      </c>
      <c r="G61" s="42" t="str">
        <f aca="false">IFERROR(INDEX(Gautam!$M$7:$M$300,MATCH($A61,Gautam!$B$7:$B$300,0)),"")</f>
        <v/>
      </c>
      <c r="H61" s="42" t="n">
        <f aca="false">IFERROR(INDEX(DA!$M$7:$M$300,MATCH($A61,DA!$B$7:$B$300,0)),"")</f>
        <v>383</v>
      </c>
      <c r="I61" s="56" t="s">
        <v>142</v>
      </c>
      <c r="J61" s="57" t="n">
        <v>360.3</v>
      </c>
      <c r="K61" s="9" t="n">
        <f aca="false">IF(AND(ISNUMBER(B61),ISNUMBER(J61),N(J61)&gt;0),B61/J61-1,"")</f>
        <v>-0.0396891479322787</v>
      </c>
    </row>
    <row r="62" customFormat="false" ht="15" hidden="false" customHeight="false" outlineLevel="0" collapsed="false">
      <c r="A62" s="5" t="s">
        <v>74</v>
      </c>
      <c r="B62" s="53" t="n">
        <v>2076</v>
      </c>
      <c r="C62" s="54" t="n">
        <f aca="false">IF(ISNUMBER(B62),B62,IF(ISNUMBER(E62),E62,IF(ISNUMBER(F62),F62,IF(ISNUMBER(G62),G62,IF(ISNUMBER(H62),H62,"")))))</f>
        <v>2076</v>
      </c>
      <c r="D62" s="55" t="str">
        <f aca="false">IF(ISNUMBER(B62),IF(I62&lt;&gt;"",I62,"Manual override"),IF(ISNUMBER(E62),"Vidushi stmt – LTP 05.10",IF(ISNUMBER(F62),"Umesh stmt – NSE live 09.10",IF(ISNUMBER(G62),"Gautam stmt – 05.10",IF(ISNUMBER(H62),"DA stmt – older (stale)","No price on any statement")))))</f>
        <v>Close 08.10.2026 (Screener.in)</v>
      </c>
      <c r="E62" s="42" t="str">
        <f aca="false">IFERROR(INDEX('Vidushi Malhotra'!$M$7:$M$300,MATCH($A62,'Vidushi Malhotra'!$B$7:$B$300,0)),"")</f>
        <v/>
      </c>
      <c r="F62" s="42" t="n">
        <f aca="false">IFERROR(INDEX('Dr Umesh Choudhry'!$M$7:$M$300,MATCH($A62,'Dr Umesh Choudhry'!$B$7:$B$300,0)),"")</f>
        <v>2178.10344827586</v>
      </c>
      <c r="G62" s="42" t="n">
        <f aca="false">IFERROR(INDEX(Gautam!$M$7:$M$300,MATCH($A62,Gautam!$B$7:$B$300,0)),"")</f>
        <v>2116</v>
      </c>
      <c r="H62" s="42" t="n">
        <f aca="false">IFERROR(INDEX(DA!$M$7:$M$300,MATCH($A62,DA!$B$7:$B$300,0)),"")</f>
        <v>2201</v>
      </c>
      <c r="I62" s="56" t="s">
        <v>142</v>
      </c>
      <c r="J62" s="57" t="n">
        <v>2080.3</v>
      </c>
      <c r="K62" s="9" t="n">
        <f aca="false">IF(AND(ISNUMBER(B62),ISNUMBER(J62),N(J62)&gt;0),B62/J62-1,"")</f>
        <v>-0.00206700956592809</v>
      </c>
    </row>
    <row r="63" customFormat="false" ht="15" hidden="false" customHeight="false" outlineLevel="0" collapsed="false">
      <c r="A63" s="5" t="s">
        <v>76</v>
      </c>
      <c r="B63" s="53" t="n">
        <v>2996</v>
      </c>
      <c r="C63" s="54" t="n">
        <f aca="false">IF(ISNUMBER(B63),B63,IF(ISNUMBER(E63),E63,IF(ISNUMBER(F63),F63,IF(ISNUMBER(G63),G63,IF(ISNUMBER(H63),H63,"")))))</f>
        <v>2996</v>
      </c>
      <c r="D63" s="55" t="str">
        <f aca="false">IF(ISNUMBER(B63),IF(I63&lt;&gt;"",I63,"Manual override"),IF(ISNUMBER(E63),"Vidushi stmt – LTP 05.10",IF(ISNUMBER(F63),"Umesh stmt – NSE live 09.10",IF(ISNUMBER(G63),"Gautam stmt – 05.10",IF(ISNUMBER(H63),"DA stmt – older (stale)","No price on any statement")))))</f>
        <v>Close 08.10.2026 (Screener.in)</v>
      </c>
      <c r="E63" s="42" t="str">
        <f aca="false">IFERROR(INDEX('Vidushi Malhotra'!$M$7:$M$300,MATCH($A63,'Vidushi Malhotra'!$B$7:$B$300,0)),"")</f>
        <v/>
      </c>
      <c r="F63" s="42" t="n">
        <f aca="false">IFERROR(INDEX('Dr Umesh Choudhry'!$M$7:$M$300,MATCH($A63,'Dr Umesh Choudhry'!$B$7:$B$300,0)),"")</f>
        <v>3071.40909090909</v>
      </c>
      <c r="G63" s="42" t="n">
        <f aca="false">IFERROR(INDEX(Gautam!$M$7:$M$300,MATCH($A63,Gautam!$B$7:$B$300,0)),"")</f>
        <v>3110</v>
      </c>
      <c r="H63" s="42" t="n">
        <f aca="false">IFERROR(INDEX(DA!$M$7:$M$300,MATCH($A63,DA!$B$7:$B$300,0)),"")</f>
        <v>3383</v>
      </c>
      <c r="I63" s="56" t="s">
        <v>142</v>
      </c>
      <c r="J63" s="57" t="n">
        <v>3082.5</v>
      </c>
      <c r="K63" s="9" t="n">
        <f aca="false">IF(AND(ISNUMBER(B63),ISNUMBER(J63),N(J63)&gt;0),B63/J63-1,"")</f>
        <v>-0.0280616382806164</v>
      </c>
    </row>
    <row r="64" customFormat="false" ht="15" hidden="false" customHeight="false" outlineLevel="0" collapsed="false">
      <c r="A64" s="5" t="s">
        <v>64</v>
      </c>
      <c r="B64" s="53" t="n">
        <v>4359.5</v>
      </c>
      <c r="C64" s="54" t="n">
        <f aca="false">IF(ISNUMBER(B64),B64,IF(ISNUMBER(E64),E64,IF(ISNUMBER(F64),F64,IF(ISNUMBER(G64),G64,IF(ISNUMBER(H64),H64,"")))))</f>
        <v>4359.5</v>
      </c>
      <c r="D64" s="55" t="str">
        <f aca="false">IF(ISNUMBER(B64),IF(I64&lt;&gt;"",I64,"Manual override"),IF(ISNUMBER(E64),"Vidushi stmt – LTP 05.10",IF(ISNUMBER(F64),"Umesh stmt – NSE live 09.10",IF(ISNUMBER(G64),"Gautam stmt – 05.10",IF(ISNUMBER(H64),"DA stmt – older (stale)","No price on any statement")))))</f>
        <v>Close 08.10.2026 (Screener.in)</v>
      </c>
      <c r="E64" s="42" t="n">
        <f aca="false">IFERROR(INDEX('Vidushi Malhotra'!$M$7:$M$300,MATCH($A64,'Vidushi Malhotra'!$B$7:$B$300,0)),"")</f>
        <v>4570</v>
      </c>
      <c r="F64" s="42" t="n">
        <f aca="false">IFERROR(INDEX('Dr Umesh Choudhry'!$M$7:$M$300,MATCH($A64,'Dr Umesh Choudhry'!$B$7:$B$300,0)),"")</f>
        <v>4372</v>
      </c>
      <c r="G64" s="42" t="n">
        <f aca="false">IFERROR(INDEX(Gautam!$M$7:$M$300,MATCH($A64,Gautam!$B$7:$B$300,0)),"")</f>
        <v>4516</v>
      </c>
      <c r="H64" s="42" t="n">
        <f aca="false">IFERROR(INDEX(DA!$M$7:$M$300,MATCH($A64,DA!$B$7:$B$300,0)),"")</f>
        <v>5010</v>
      </c>
      <c r="I64" s="56" t="s">
        <v>142</v>
      </c>
      <c r="J64" s="57" t="n">
        <v>4377</v>
      </c>
      <c r="K64" s="9" t="n">
        <f aca="false">IF(AND(ISNUMBER(B64),ISNUMBER(J64),N(J64)&gt;0),B64/J64-1,"")</f>
        <v>-0.00399817226410781</v>
      </c>
    </row>
    <row r="65" customFormat="false" ht="15" hidden="false" customHeight="false" outlineLevel="0" collapsed="false">
      <c r="A65" s="5" t="s">
        <v>80</v>
      </c>
      <c r="B65" s="53" t="n">
        <v>2876.3</v>
      </c>
      <c r="C65" s="54" t="n">
        <f aca="false">IF(ISNUMBER(B65),B65,IF(ISNUMBER(E65),E65,IF(ISNUMBER(F65),F65,IF(ISNUMBER(G65),G65,IF(ISNUMBER(H65),H65,"")))))</f>
        <v>2876.3</v>
      </c>
      <c r="D65" s="55" t="str">
        <f aca="false">IF(ISNUMBER(B65),IF(I65&lt;&gt;"",I65,"Manual override"),IF(ISNUMBER(E65),"Vidushi stmt – LTP 05.10",IF(ISNUMBER(F65),"Umesh stmt – NSE live 09.10",IF(ISNUMBER(G65),"Gautam stmt – 05.10",IF(ISNUMBER(H65),"DA stmt – older (stale)","No price on any statement")))))</f>
        <v>Close 08.10.2026 (Screener.in)</v>
      </c>
      <c r="E65" s="42" t="str">
        <f aca="false">IFERROR(INDEX('Vidushi Malhotra'!$M$7:$M$300,MATCH($A65,'Vidushi Malhotra'!$B$7:$B$300,0)),"")</f>
        <v/>
      </c>
      <c r="F65" s="42" t="n">
        <f aca="false">IFERROR(INDEX('Dr Umesh Choudhry'!$M$7:$M$300,MATCH($A65,'Dr Umesh Choudhry'!$B$7:$B$300,0)),"")</f>
        <v>2910</v>
      </c>
      <c r="G65" s="42" t="n">
        <f aca="false">IFERROR(INDEX(Gautam!$M$7:$M$300,MATCH($A65,Gautam!$B$7:$B$300,0)),"")</f>
        <v>2580</v>
      </c>
      <c r="H65" s="42" t="n">
        <f aca="false">IFERROR(INDEX(DA!$M$7:$M$300,MATCH($A65,DA!$B$7:$B$300,0)),"")</f>
        <v>2802</v>
      </c>
      <c r="I65" s="56" t="s">
        <v>142</v>
      </c>
      <c r="J65" s="57" t="n">
        <v>2890.3</v>
      </c>
      <c r="K65" s="9" t="n">
        <f aca="false">IF(AND(ISNUMBER(B65),ISNUMBER(J65),N(J65)&gt;0),B65/J65-1,"")</f>
        <v>-0.0048437878420925</v>
      </c>
    </row>
    <row r="66" customFormat="false" ht="15" hidden="false" customHeight="false" outlineLevel="0" collapsed="false">
      <c r="A66" s="5" t="s">
        <v>126</v>
      </c>
      <c r="B66" s="53"/>
      <c r="C66" s="54" t="n">
        <f aca="false">IF(ISNUMBER(B66),B66,IF(ISNUMBER(E66),E66,IF(ISNUMBER(F66),F66,IF(ISNUMBER(G66),G66,IF(ISNUMBER(H66),H66,"")))))</f>
        <v>4</v>
      </c>
      <c r="D66" s="55" t="str">
        <f aca="false">IF(ISNUMBER(B66),IF(I66&lt;&gt;"",I66,"Manual override"),IF(ISNUMBER(E66),"Vidushi stmt – LTP 05.10",IF(ISNUMBER(F66),"Umesh stmt – NSE live 09.10",IF(ISNUMBER(G66),"Gautam stmt – 05.10",IF(ISNUMBER(H66),"DA stmt – older (stale)","No price on any statement")))))</f>
        <v>DA stmt – older (stale)</v>
      </c>
      <c r="E66" s="42" t="str">
        <f aca="false">IFERROR(INDEX('Vidushi Malhotra'!$M$7:$M$300,MATCH($A66,'Vidushi Malhotra'!$B$7:$B$300,0)),"")</f>
        <v/>
      </c>
      <c r="F66" s="42" t="str">
        <f aca="false">IFERROR(INDEX('Dr Umesh Choudhry'!$M$7:$M$300,MATCH($A66,'Dr Umesh Choudhry'!$B$7:$B$300,0)),"")</f>
        <v/>
      </c>
      <c r="G66" s="42" t="str">
        <f aca="false">IFERROR(INDEX(Gautam!$M$7:$M$300,MATCH($A66,Gautam!$B$7:$B$300,0)),"")</f>
        <v/>
      </c>
      <c r="H66" s="42" t="n">
        <f aca="false">IFERROR(INDEX(DA!$M$7:$M$300,MATCH($A66,DA!$B$7:$B$300,0)),"")</f>
        <v>4</v>
      </c>
      <c r="I66" s="56" t="s">
        <v>144</v>
      </c>
      <c r="J66" s="57"/>
      <c r="K66" s="9" t="str">
        <f aca="false">IF(AND(ISNUMBER(B66),ISNUMBER(J66),N(J66)&gt;0),B66/J66-1,"")</f>
        <v/>
      </c>
    </row>
    <row r="67" customFormat="false" ht="15" hidden="false" customHeight="false" outlineLevel="0" collapsed="false">
      <c r="A67" s="5" t="s">
        <v>123</v>
      </c>
      <c r="B67" s="53" t="n">
        <v>13.64</v>
      </c>
      <c r="C67" s="54" t="n">
        <f aca="false">IF(ISNUMBER(B67),B67,IF(ISNUMBER(E67),E67,IF(ISNUMBER(F67),F67,IF(ISNUMBER(G67),G67,IF(ISNUMBER(H67),H67,"")))))</f>
        <v>13.64</v>
      </c>
      <c r="D67" s="55" t="str">
        <f aca="false">IF(ISNUMBER(B67),IF(I67&lt;&gt;"",I67,"Manual override"),IF(ISNUMBER(E67),"Vidushi stmt – LTP 05.10",IF(ISNUMBER(F67),"Umesh stmt – NSE live 09.10",IF(ISNUMBER(G67),"Gautam stmt – 05.10",IF(ISNUMBER(H67),"DA stmt – older (stale)","No price on any statement")))))</f>
        <v>Close 08.10.2026 (Screener.in)</v>
      </c>
      <c r="E67" s="42" t="str">
        <f aca="false">IFERROR(INDEX('Vidushi Malhotra'!$M$7:$M$300,MATCH($A67,'Vidushi Malhotra'!$B$7:$B$300,0)),"")</f>
        <v/>
      </c>
      <c r="F67" s="42" t="str">
        <f aca="false">IFERROR(INDEX('Dr Umesh Choudhry'!$M$7:$M$300,MATCH($A67,'Dr Umesh Choudhry'!$B$7:$B$300,0)),"")</f>
        <v/>
      </c>
      <c r="G67" s="42" t="str">
        <f aca="false">IFERROR(INDEX(Gautam!$M$7:$M$300,MATCH($A67,Gautam!$B$7:$B$300,0)),"")</f>
        <v/>
      </c>
      <c r="H67" s="42" t="n">
        <f aca="false">IFERROR(INDEX(DA!$M$7:$M$300,MATCH($A67,DA!$B$7:$B$300,0)),"")</f>
        <v>14.5</v>
      </c>
      <c r="I67" s="56" t="s">
        <v>142</v>
      </c>
      <c r="J67" s="57" t="n">
        <v>13.98</v>
      </c>
      <c r="K67" s="9" t="n">
        <f aca="false">IF(AND(ISNUMBER(B67),ISNUMBER(J67),N(J67)&gt;0),B67/J67-1,"")</f>
        <v>-0.0243204577968527</v>
      </c>
    </row>
    <row r="68" customFormat="false" ht="15" hidden="false" customHeight="false" outlineLevel="0" collapsed="false">
      <c r="A68" s="5" t="s">
        <v>96</v>
      </c>
      <c r="B68" s="53" t="n">
        <v>489.9</v>
      </c>
      <c r="C68" s="54" t="n">
        <f aca="false">IF(ISNUMBER(B68),B68,IF(ISNUMBER(E68),E68,IF(ISNUMBER(F68),F68,IF(ISNUMBER(G68),G68,IF(ISNUMBER(H68),H68,"")))))</f>
        <v>489.9</v>
      </c>
      <c r="D68" s="55" t="str">
        <f aca="false">IF(ISNUMBER(B68),IF(I68&lt;&gt;"",I68,"Manual override"),IF(ISNUMBER(E68),"Vidushi stmt – LTP 05.10",IF(ISNUMBER(F68),"Umesh stmt – NSE live 09.10",IF(ISNUMBER(G68),"Gautam stmt – 05.10",IF(ISNUMBER(H68),"DA stmt – older (stale)","No price on any statement")))))</f>
        <v>Close 08.10.2026 (Screener.in)</v>
      </c>
      <c r="E68" s="42" t="str">
        <f aca="false">IFERROR(INDEX('Vidushi Malhotra'!$M$7:$M$300,MATCH($A68,'Vidushi Malhotra'!$B$7:$B$300,0)),"")</f>
        <v/>
      </c>
      <c r="F68" s="42" t="str">
        <f aca="false">IFERROR(INDEX('Dr Umesh Choudhry'!$M$7:$M$300,MATCH($A68,'Dr Umesh Choudhry'!$B$7:$B$300,0)),"")</f>
        <v/>
      </c>
      <c r="G68" s="42" t="str">
        <f aca="false">IFERROR(INDEX(Gautam!$M$7:$M$300,MATCH($A68,Gautam!$B$7:$B$300,0)),"")</f>
        <v/>
      </c>
      <c r="H68" s="42" t="n">
        <f aca="false">IFERROR(INDEX(DA!$M$7:$M$300,MATCH($A68,DA!$B$7:$B$300,0)),"")</f>
        <v>582</v>
      </c>
      <c r="I68" s="56" t="s">
        <v>142</v>
      </c>
      <c r="J68" s="57" t="n">
        <v>500.2</v>
      </c>
      <c r="K68" s="9" t="n">
        <f aca="false">IF(AND(ISNUMBER(B68),ISNUMBER(J68),N(J68)&gt;0),B68/J68-1,"")</f>
        <v>-0.0205917632946822</v>
      </c>
    </row>
    <row r="69" customFormat="false" ht="15" hidden="false" customHeight="false" outlineLevel="0" collapsed="false">
      <c r="A69" s="5" t="s">
        <v>95</v>
      </c>
      <c r="B69" s="53" t="n">
        <v>31.89</v>
      </c>
      <c r="C69" s="54" t="n">
        <f aca="false">IF(ISNUMBER(B69),B69,IF(ISNUMBER(E69),E69,IF(ISNUMBER(F69),F69,IF(ISNUMBER(G69),G69,IF(ISNUMBER(H69),H69,"")))))</f>
        <v>31.89</v>
      </c>
      <c r="D69" s="55" t="str">
        <f aca="false">IF(ISNUMBER(B69),IF(I69&lt;&gt;"",I69,"Manual override"),IF(ISNUMBER(E69),"Vidushi stmt – LTP 05.10",IF(ISNUMBER(F69),"Umesh stmt – NSE live 09.10",IF(ISNUMBER(G69),"Gautam stmt – 05.10",IF(ISNUMBER(H69),"DA stmt – older (stale)","No price on any statement")))))</f>
        <v>Close 08.10.2026 (Screener.in)</v>
      </c>
      <c r="E69" s="42" t="str">
        <f aca="false">IFERROR(INDEX('Vidushi Malhotra'!$M$7:$M$300,MATCH($A69,'Vidushi Malhotra'!$B$7:$B$300,0)),"")</f>
        <v/>
      </c>
      <c r="F69" s="42" t="str">
        <f aca="false">IFERROR(INDEX('Dr Umesh Choudhry'!$M$7:$M$300,MATCH($A69,'Dr Umesh Choudhry'!$B$7:$B$300,0)),"")</f>
        <v/>
      </c>
      <c r="G69" s="42" t="str">
        <f aca="false">IFERROR(INDEX(Gautam!$M$7:$M$300,MATCH($A69,Gautam!$B$7:$B$300,0)),"")</f>
        <v/>
      </c>
      <c r="H69" s="42" t="n">
        <f aca="false">IFERROR(INDEX(DA!$M$7:$M$300,MATCH($A69,DA!$B$7:$B$300,0)),"")</f>
        <v>34</v>
      </c>
      <c r="I69" s="56" t="s">
        <v>142</v>
      </c>
      <c r="J69" s="57" t="n">
        <v>32.42</v>
      </c>
      <c r="K69" s="9" t="n">
        <f aca="false">IF(AND(ISNUMBER(B69),ISNUMBER(J69),N(J69)&gt;0),B69/J69-1,"")</f>
        <v>-0.0163479333744603</v>
      </c>
    </row>
    <row r="70" customFormat="false" ht="15" hidden="false" customHeight="false" outlineLevel="0" collapsed="false">
      <c r="A70" s="5" t="s">
        <v>82</v>
      </c>
      <c r="B70" s="53" t="n">
        <v>1120.8</v>
      </c>
      <c r="C70" s="54" t="n">
        <f aca="false">IF(ISNUMBER(B70),B70,IF(ISNUMBER(E70),E70,IF(ISNUMBER(F70),F70,IF(ISNUMBER(G70),G70,IF(ISNUMBER(H70),H70,"")))))</f>
        <v>1120.8</v>
      </c>
      <c r="D70" s="55" t="str">
        <f aca="false">IF(ISNUMBER(B70),IF(I70&lt;&gt;"",I70,"Manual override"),IF(ISNUMBER(E70),"Vidushi stmt – LTP 05.10",IF(ISNUMBER(F70),"Umesh stmt – NSE live 09.10",IF(ISNUMBER(G70),"Gautam stmt – 05.10",IF(ISNUMBER(H70),"DA stmt – older (stale)","No price on any statement")))))</f>
        <v>Close 08.10.2026 (Screener.in)</v>
      </c>
      <c r="E70" s="42" t="str">
        <f aca="false">IFERROR(INDEX('Vidushi Malhotra'!$M$7:$M$300,MATCH($A70,'Vidushi Malhotra'!$B$7:$B$300,0)),"")</f>
        <v/>
      </c>
      <c r="F70" s="42" t="n">
        <f aca="false">IFERROR(INDEX('Dr Umesh Choudhry'!$M$7:$M$300,MATCH($A70,'Dr Umesh Choudhry'!$B$7:$B$300,0)),"")</f>
        <v>1127.80487804878</v>
      </c>
      <c r="G70" s="42" t="n">
        <f aca="false">IFERROR(INDEX(Gautam!$M$7:$M$300,MATCH($A70,Gautam!$B$7:$B$300,0)),"")</f>
        <v>1208</v>
      </c>
      <c r="H70" s="42" t="str">
        <f aca="false">IFERROR(INDEX(DA!$M$7:$M$300,MATCH($A70,DA!$B$7:$B$300,0)),"")</f>
        <v/>
      </c>
      <c r="I70" s="56" t="s">
        <v>142</v>
      </c>
      <c r="J70" s="57" t="n">
        <v>1142.3</v>
      </c>
      <c r="K70" s="9" t="n">
        <f aca="false">IF(AND(ISNUMBER(B70),ISNUMBER(J70),N(J70)&gt;0),B70/J70-1,"")</f>
        <v>-0.0188216755668388</v>
      </c>
    </row>
    <row r="71" customFormat="false" ht="15" hidden="false" customHeight="false" outlineLevel="0" collapsed="false">
      <c r="A71" s="5" t="s">
        <v>111</v>
      </c>
      <c r="B71" s="53" t="n">
        <v>209.8</v>
      </c>
      <c r="C71" s="54" t="n">
        <f aca="false">IF(ISNUMBER(B71),B71,IF(ISNUMBER(E71),E71,IF(ISNUMBER(F71),F71,IF(ISNUMBER(G71),G71,IF(ISNUMBER(H71),H71,"")))))</f>
        <v>209.8</v>
      </c>
      <c r="D71" s="55" t="str">
        <f aca="false">IF(ISNUMBER(B71),IF(I71&lt;&gt;"",I71,"Manual override"),IF(ISNUMBER(E71),"Vidushi stmt – LTP 05.10",IF(ISNUMBER(F71),"Umesh stmt – NSE live 09.10",IF(ISNUMBER(G71),"Gautam stmt – 05.10",IF(ISNUMBER(H71),"DA stmt – older (stale)","No price on any statement")))))</f>
        <v>Close 08.10.2026 (Screener.in)</v>
      </c>
      <c r="E71" s="42" t="str">
        <f aca="false">IFERROR(INDEX('Vidushi Malhotra'!$M$7:$M$300,MATCH($A71,'Vidushi Malhotra'!$B$7:$B$300,0)),"")</f>
        <v/>
      </c>
      <c r="F71" s="42" t="str">
        <f aca="false">IFERROR(INDEX('Dr Umesh Choudhry'!$M$7:$M$300,MATCH($A71,'Dr Umesh Choudhry'!$B$7:$B$300,0)),"")</f>
        <v/>
      </c>
      <c r="G71" s="42" t="str">
        <f aca="false">IFERROR(INDEX(Gautam!$M$7:$M$300,MATCH($A71,Gautam!$B$7:$B$300,0)),"")</f>
        <v/>
      </c>
      <c r="H71" s="42" t="n">
        <f aca="false">IFERROR(INDEX(DA!$M$7:$M$300,MATCH($A71,DA!$B$7:$B$300,0)),"")</f>
        <v>220</v>
      </c>
      <c r="I71" s="56" t="s">
        <v>142</v>
      </c>
      <c r="J71" s="57" t="n">
        <v>215.53</v>
      </c>
      <c r="K71" s="9" t="n">
        <f aca="false">IF(AND(ISNUMBER(B71),ISNUMBER(J71),N(J71)&gt;0),B71/J71-1,"")</f>
        <v>-0.026585626130933</v>
      </c>
    </row>
    <row r="72" customFormat="false" ht="15" hidden="false" customHeight="false" outlineLevel="0" collapsed="false">
      <c r="A72" s="5" t="s">
        <v>86</v>
      </c>
      <c r="B72" s="53" t="n">
        <v>2317</v>
      </c>
      <c r="C72" s="54" t="n">
        <f aca="false">IF(ISNUMBER(B72),B72,IF(ISNUMBER(E72),E72,IF(ISNUMBER(F72),F72,IF(ISNUMBER(G72),G72,IF(ISNUMBER(H72),H72,"")))))</f>
        <v>2317</v>
      </c>
      <c r="D72" s="55" t="str">
        <f aca="false">IF(ISNUMBER(B72),IF(I72&lt;&gt;"",I72,"Manual override"),IF(ISNUMBER(E72),"Vidushi stmt – LTP 05.10",IF(ISNUMBER(F72),"Umesh stmt – NSE live 09.10",IF(ISNUMBER(G72),"Gautam stmt – 05.10",IF(ISNUMBER(H72),"DA stmt – older (stale)","No price on any statement")))))</f>
        <v>Close 08.10.2026 (Screener.in)</v>
      </c>
      <c r="E72" s="42" t="str">
        <f aca="false">IFERROR(INDEX('Vidushi Malhotra'!$M$7:$M$300,MATCH($A72,'Vidushi Malhotra'!$B$7:$B$300,0)),"")</f>
        <v/>
      </c>
      <c r="F72" s="42" t="str">
        <f aca="false">IFERROR(INDEX('Dr Umesh Choudhry'!$M$7:$M$300,MATCH($A72,'Dr Umesh Choudhry'!$B$7:$B$300,0)),"")</f>
        <v/>
      </c>
      <c r="G72" s="42" t="n">
        <f aca="false">IFERROR(INDEX(Gautam!$M$7:$M$300,MATCH($A72,Gautam!$B$7:$B$300,0)),"")</f>
        <v>2340</v>
      </c>
      <c r="H72" s="42" t="n">
        <f aca="false">IFERROR(INDEX(DA!$M$7:$M$300,MATCH($A72,DA!$B$7:$B$300,0)),"")</f>
        <v>2625</v>
      </c>
      <c r="I72" s="56" t="s">
        <v>142</v>
      </c>
      <c r="J72" s="57" t="n">
        <v>2401</v>
      </c>
      <c r="K72" s="9" t="n">
        <f aca="false">IF(AND(ISNUMBER(B72),ISNUMBER(J72),N(J72)&gt;0),B72/J72-1,"")</f>
        <v>-0.0349854227405247</v>
      </c>
    </row>
  </sheetData>
  <conditionalFormatting sqref="C6:D72">
    <cfRule type="expression" priority="2" aboveAverage="0" equalAverage="0" bottom="0" percent="0" rank="0" text="" dxfId="0">
      <formula>ISNUMBER(SEARCH("stale",$D6))</formula>
    </cfRule>
    <cfRule type="expression" priority="3" aboveAverage="0" equalAverage="0" bottom="0" percent="0" rank="0" text="" dxfId="1">
      <formula>ISNUMBER(SEARCH("No price",$D6))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38"/>
    <col collapsed="false" customWidth="true" hidden="false" outlineLevel="0" max="17" min="17" style="0" width="19"/>
    <col collapsed="false" customWidth="true" hidden="false" outlineLevel="0" max="18" min="18" style="0" width="6"/>
    <col collapsed="false" customWidth="true" hidden="false" outlineLevel="0" max="19" min="19" style="0" width="24"/>
    <col collapsed="false" customWidth="true" hidden="false" outlineLevel="0" max="20" min="20" style="0" width="6"/>
    <col collapsed="false" customWidth="true" hidden="false" outlineLevel="0" max="21" min="21" style="0" width="12"/>
    <col collapsed="false" customWidth="true" hidden="false" outlineLevel="0" max="22" min="22" style="0" width="11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145</v>
      </c>
    </row>
    <row r="3" customFormat="false" ht="15" hidden="false" customHeight="false" outlineLevel="0" collapsed="false">
      <c r="A3" s="2" t="s">
        <v>146</v>
      </c>
    </row>
    <row r="5" customFormat="false" ht="31.5" hidden="false" customHeight="true" outlineLevel="0" collapsed="false">
      <c r="A5" s="3" t="s">
        <v>53</v>
      </c>
      <c r="B5" s="3" t="s">
        <v>147</v>
      </c>
      <c r="C5" s="3" t="s">
        <v>3</v>
      </c>
      <c r="D5" s="3" t="s">
        <v>148</v>
      </c>
      <c r="E5" s="3" t="s">
        <v>149</v>
      </c>
      <c r="F5" s="3" t="s">
        <v>58</v>
      </c>
      <c r="G5" s="3" t="s">
        <v>54</v>
      </c>
      <c r="H5" s="3" t="s">
        <v>8</v>
      </c>
      <c r="I5" s="3" t="s">
        <v>9</v>
      </c>
      <c r="J5" s="3" t="s">
        <v>10</v>
      </c>
      <c r="K5" s="3" t="s">
        <v>150</v>
      </c>
      <c r="L5" s="3" t="s">
        <v>151</v>
      </c>
      <c r="M5" s="3" t="s">
        <v>152</v>
      </c>
      <c r="N5" s="3" t="s">
        <v>153</v>
      </c>
      <c r="O5" s="3" t="s">
        <v>154</v>
      </c>
      <c r="Q5" s="27" t="s">
        <v>155</v>
      </c>
    </row>
    <row r="6" customFormat="false" ht="15" hidden="false" customHeight="false" outlineLevel="0" collapsed="false">
      <c r="A6" s="4"/>
      <c r="B6" s="4" t="s">
        <v>62</v>
      </c>
      <c r="C6" s="4"/>
      <c r="D6" s="4"/>
      <c r="E6" s="58" t="n">
        <f aca="false">SUM(E7:E18)</f>
        <v>201361</v>
      </c>
      <c r="F6" s="4"/>
      <c r="G6" s="4"/>
      <c r="H6" s="58" t="n">
        <f aca="false">SUM(H7:H18)</f>
        <v>225002.24</v>
      </c>
      <c r="I6" s="58" t="n">
        <f aca="false">H6-E6</f>
        <v>23641.24</v>
      </c>
      <c r="J6" s="59" t="n">
        <f aca="false">IF(E6&gt;0,I6/E6,"")</f>
        <v>0.117407243706577</v>
      </c>
      <c r="K6" s="59" t="n">
        <f aca="false">SUM(K7:K18)</f>
        <v>1</v>
      </c>
      <c r="L6" s="58" t="n">
        <f aca="false">SUM(L7:L18)</f>
        <v>230321</v>
      </c>
      <c r="M6" s="4"/>
      <c r="N6" s="58" t="n">
        <f aca="false">SUM(N7:N18)</f>
        <v>-5318.75999999999</v>
      </c>
      <c r="O6" s="4"/>
      <c r="Q6" s="3" t="s">
        <v>156</v>
      </c>
      <c r="R6" s="3" t="s">
        <v>157</v>
      </c>
      <c r="S6" s="3" t="s">
        <v>158</v>
      </c>
      <c r="T6" s="3" t="s">
        <v>57</v>
      </c>
      <c r="U6" s="3" t="s">
        <v>159</v>
      </c>
      <c r="V6" s="3" t="s">
        <v>160</v>
      </c>
    </row>
    <row r="7" customFormat="false" ht="15" hidden="false" customHeight="false" outlineLevel="0" collapsed="false">
      <c r="A7" s="5" t="n">
        <v>1</v>
      </c>
      <c r="B7" s="5" t="s">
        <v>63</v>
      </c>
      <c r="C7" s="5" t="s">
        <v>16</v>
      </c>
      <c r="D7" s="60" t="n">
        <v>121</v>
      </c>
      <c r="E7" s="10" t="n">
        <v>92928</v>
      </c>
      <c r="F7" s="51" t="n">
        <f aca="false">IF(AND(D7&gt;0,N(E7)&gt;0),E7/D7,"")</f>
        <v>768</v>
      </c>
      <c r="G7" s="42" t="n">
        <f aca="false">IFERROR(INDEX(Prices!$C$6:$C$300,MATCH(B7,Prices!$A$6:$A$300,0)),"")</f>
        <v>955.95</v>
      </c>
      <c r="H7" s="8" t="n">
        <f aca="false">IF(ISNUMBER(G7),D7*G7,0)</f>
        <v>115669.95</v>
      </c>
      <c r="I7" s="8" t="n">
        <f aca="false">H7-N(E7)</f>
        <v>22741.95</v>
      </c>
      <c r="J7" s="9" t="n">
        <f aca="false">IF(N(E7)&gt;0,I7/E7,"")</f>
        <v>0.2447265625</v>
      </c>
      <c r="K7" s="9" t="n">
        <f aca="false">IF($H$6=0,"",H7/$H$6)</f>
        <v>0.514083548679338</v>
      </c>
      <c r="L7" s="10" t="n">
        <v>117842</v>
      </c>
      <c r="M7" s="51" t="n">
        <f aca="false">IF(ISNUMBER(L7),L7/D7,"")</f>
        <v>973.900826446281</v>
      </c>
      <c r="N7" s="8" t="n">
        <f aca="false">IF(ISNUMBER(L7),H7-L7,"")</f>
        <v>-2172.04999999999</v>
      </c>
      <c r="O7" s="61"/>
      <c r="Q7" s="62" t="s">
        <v>161</v>
      </c>
      <c r="R7" s="62" t="s">
        <v>162</v>
      </c>
      <c r="S7" s="62" t="s">
        <v>65</v>
      </c>
      <c r="T7" s="62" t="n">
        <v>8</v>
      </c>
      <c r="U7" s="57" t="n">
        <v>451</v>
      </c>
      <c r="V7" s="10" t="n">
        <v>3606</v>
      </c>
    </row>
    <row r="8" customFormat="false" ht="15" hidden="false" customHeight="false" outlineLevel="0" collapsed="false">
      <c r="A8" s="5" t="n">
        <v>2</v>
      </c>
      <c r="B8" s="5" t="s">
        <v>64</v>
      </c>
      <c r="C8" s="5" t="s">
        <v>16</v>
      </c>
      <c r="D8" s="60" t="n">
        <v>9</v>
      </c>
      <c r="E8" s="10" t="n">
        <v>28441</v>
      </c>
      <c r="F8" s="51" t="n">
        <f aca="false">IF(AND(D8&gt;0,N(E8)&gt;0),E8/D8,"")</f>
        <v>3160.11111111111</v>
      </c>
      <c r="G8" s="42" t="n">
        <f aca="false">IFERROR(INDEX(Prices!$C$6:$C$300,MATCH(B8,Prices!$A$6:$A$300,0)),"")</f>
        <v>4359.5</v>
      </c>
      <c r="H8" s="8" t="n">
        <f aca="false">IF(ISNUMBER(G8),D8*G8,0)</f>
        <v>39235.5</v>
      </c>
      <c r="I8" s="8" t="n">
        <f aca="false">H8-N(E8)</f>
        <v>10794.5</v>
      </c>
      <c r="J8" s="9" t="n">
        <f aca="false">IF(N(E8)&gt;0,I8/E8,"")</f>
        <v>0.379540100559052</v>
      </c>
      <c r="K8" s="9" t="n">
        <f aca="false">IF($H$6=0,"",H8/$H$6)</f>
        <v>0.174378263967505</v>
      </c>
      <c r="L8" s="10" t="n">
        <v>41130</v>
      </c>
      <c r="M8" s="51" t="n">
        <f aca="false">IF(ISNUMBER(L8),L8/D8,"")</f>
        <v>4570</v>
      </c>
      <c r="N8" s="8" t="n">
        <f aca="false">IF(ISNUMBER(L8),H8-L8,"")</f>
        <v>-1894.5</v>
      </c>
      <c r="O8" s="61"/>
      <c r="Q8" s="62" t="s">
        <v>163</v>
      </c>
      <c r="R8" s="62" t="s">
        <v>162</v>
      </c>
      <c r="S8" s="62" t="s">
        <v>66</v>
      </c>
      <c r="T8" s="62" t="n">
        <v>2</v>
      </c>
      <c r="U8" s="57" t="n">
        <v>707</v>
      </c>
      <c r="V8" s="10" t="n">
        <v>1414</v>
      </c>
    </row>
    <row r="9" customFormat="false" ht="15" hidden="false" customHeight="false" outlineLevel="0" collapsed="false">
      <c r="A9" s="5" t="n">
        <v>3</v>
      </c>
      <c r="B9" s="5" t="s">
        <v>65</v>
      </c>
      <c r="C9" s="5" t="s">
        <v>16</v>
      </c>
      <c r="D9" s="60" t="n">
        <v>38</v>
      </c>
      <c r="E9" s="10" t="n">
        <v>17192</v>
      </c>
      <c r="F9" s="51" t="n">
        <f aca="false">IF(AND(D9&gt;0,N(E9)&gt;0),E9/D9,"")</f>
        <v>452.421052631579</v>
      </c>
      <c r="G9" s="42" t="n">
        <f aca="false">IFERROR(INDEX(Prices!$C$6:$C$300,MATCH(B9,Prices!$A$6:$A$300,0)),"")</f>
        <v>437.9</v>
      </c>
      <c r="H9" s="8" t="n">
        <f aca="false">IF(ISNUMBER(G9),D9*G9,0)</f>
        <v>16640.2</v>
      </c>
      <c r="I9" s="8" t="n">
        <f aca="false">H9-N(E9)</f>
        <v>-551.799999999999</v>
      </c>
      <c r="J9" s="9" t="n">
        <f aca="false">IF(N(E9)&gt;0,I9/E9,"")</f>
        <v>-0.0320963238715681</v>
      </c>
      <c r="K9" s="9" t="n">
        <f aca="false">IF($H$6=0,"",H9/$H$6)</f>
        <v>0.0739557081742831</v>
      </c>
      <c r="L9" s="10" t="n">
        <v>17123</v>
      </c>
      <c r="M9" s="51" t="n">
        <f aca="false">IF(ISNUMBER(L9),L9/D9,"")</f>
        <v>450.605263157895</v>
      </c>
      <c r="N9" s="8" t="n">
        <f aca="false">IF(ISNUMBER(L9),H9-L9,"")</f>
        <v>-482.799999999999</v>
      </c>
      <c r="O9" s="61"/>
      <c r="Q9" s="62" t="s">
        <v>164</v>
      </c>
      <c r="R9" s="62" t="s">
        <v>162</v>
      </c>
      <c r="S9" s="62" t="s">
        <v>63</v>
      </c>
      <c r="T9" s="62" t="n">
        <v>5</v>
      </c>
      <c r="U9" s="57" t="n">
        <v>974</v>
      </c>
      <c r="V9" s="10" t="n">
        <v>4869</v>
      </c>
    </row>
    <row r="10" customFormat="false" ht="15" hidden="false" customHeight="false" outlineLevel="0" collapsed="false">
      <c r="A10" s="5" t="n">
        <v>4</v>
      </c>
      <c r="B10" s="5" t="s">
        <v>66</v>
      </c>
      <c r="C10" s="5" t="s">
        <v>16</v>
      </c>
      <c r="D10" s="60" t="n">
        <v>21</v>
      </c>
      <c r="E10" s="10" t="n">
        <v>16598</v>
      </c>
      <c r="F10" s="51" t="n">
        <f aca="false">IF(AND(D10&gt;0,N(E10)&gt;0),E10/D10,"")</f>
        <v>790.380952380952</v>
      </c>
      <c r="G10" s="42" t="n">
        <f aca="false">IFERROR(INDEX(Prices!$C$6:$C$300,MATCH(B10,Prices!$A$6:$A$300,0)),"")</f>
        <v>692.25</v>
      </c>
      <c r="H10" s="8" t="n">
        <f aca="false">IF(ISNUMBER(G10),D10*G10,0)</f>
        <v>14537.25</v>
      </c>
      <c r="I10" s="8" t="n">
        <f aca="false">H10-N(E10)</f>
        <v>-2060.75</v>
      </c>
      <c r="J10" s="9" t="n">
        <f aca="false">IF(N(E10)&gt;0,I10/E10,"")</f>
        <v>-0.124156524882516</v>
      </c>
      <c r="K10" s="9" t="n">
        <f aca="false">IF($H$6=0,"",H10/$H$6)</f>
        <v>0.0646093567779592</v>
      </c>
      <c r="L10" s="10" t="n">
        <v>14863</v>
      </c>
      <c r="M10" s="51" t="n">
        <f aca="false">IF(ISNUMBER(L10),L10/D10,"")</f>
        <v>707.761904761905</v>
      </c>
      <c r="N10" s="8" t="n">
        <f aca="false">IF(ISNUMBER(L10),H10-L10,"")</f>
        <v>-325.75</v>
      </c>
      <c r="O10" s="61"/>
      <c r="S10" s="63" t="s">
        <v>165</v>
      </c>
      <c r="V10" s="64" t="n">
        <f aca="false">SUMIFS(V7:V9,R7:R9,"BUY")-SUMIFS(V7:V9,R7:R9,"SELL")</f>
        <v>9889</v>
      </c>
    </row>
    <row r="11" customFormat="false" ht="15" hidden="false" customHeight="false" outlineLevel="0" collapsed="false">
      <c r="A11" s="5" t="n">
        <v>5</v>
      </c>
      <c r="B11" s="5" t="s">
        <v>88</v>
      </c>
      <c r="C11" s="5" t="s">
        <v>16</v>
      </c>
      <c r="D11" s="60" t="n">
        <v>9</v>
      </c>
      <c r="E11" s="10" t="n">
        <v>10284</v>
      </c>
      <c r="F11" s="51" t="n">
        <f aca="false">IF(AND(D11&gt;0,N(E11)&gt;0),E11/D11,"")</f>
        <v>1142.66666666667</v>
      </c>
      <c r="G11" s="42" t="n">
        <f aca="false">IFERROR(INDEX(Prices!$C$6:$C$300,MATCH(B11,Prices!$A$6:$A$300,0)),"")</f>
        <v>1176.9</v>
      </c>
      <c r="H11" s="8" t="n">
        <f aca="false">IF(ISNUMBER(G11),D11*G11,0)</f>
        <v>10592.1</v>
      </c>
      <c r="I11" s="8" t="n">
        <f aca="false">H11-N(E11)</f>
        <v>308.1</v>
      </c>
      <c r="J11" s="9" t="n">
        <f aca="false">IF(N(E11)&gt;0,I11/E11,"")</f>
        <v>0.0299591598599767</v>
      </c>
      <c r="K11" s="9" t="n">
        <f aca="false">IF($H$6=0,"",H11/$H$6)</f>
        <v>0.0470755313369325</v>
      </c>
      <c r="L11" s="10" t="n">
        <v>10815</v>
      </c>
      <c r="M11" s="51" t="n">
        <f aca="false">IF(ISNUMBER(L11),L11/D11,"")</f>
        <v>1201.66666666667</v>
      </c>
      <c r="N11" s="8" t="n">
        <f aca="false">IF(ISNUMBER(L11),H11-L11,"")</f>
        <v>-222.9</v>
      </c>
      <c r="O11" s="61"/>
    </row>
    <row r="12" customFormat="false" ht="15" hidden="false" customHeight="false" outlineLevel="0" collapsed="false">
      <c r="A12" s="5" t="n">
        <v>6</v>
      </c>
      <c r="B12" s="5" t="s">
        <v>69</v>
      </c>
      <c r="C12" s="5" t="s">
        <v>16</v>
      </c>
      <c r="D12" s="60" t="n">
        <v>121</v>
      </c>
      <c r="E12" s="10" t="n">
        <v>13968</v>
      </c>
      <c r="F12" s="51" t="n">
        <f aca="false">IF(AND(D12&gt;0,N(E12)&gt;0),E12/D12,"")</f>
        <v>115.438016528926</v>
      </c>
      <c r="G12" s="42" t="n">
        <f aca="false">IFERROR(INDEX(Prices!$C$6:$C$300,MATCH(B12,Prices!$A$6:$A$300,0)),"")</f>
        <v>82.14</v>
      </c>
      <c r="H12" s="8" t="n">
        <f aca="false">IF(ISNUMBER(G12),D12*G12,0)</f>
        <v>9938.94</v>
      </c>
      <c r="I12" s="8" t="n">
        <f aca="false">H12-N(E12)</f>
        <v>-4029.06</v>
      </c>
      <c r="J12" s="9" t="n">
        <f aca="false">IF(N(E12)&gt;0,I12/E12,"")</f>
        <v>-0.288449312714777</v>
      </c>
      <c r="K12" s="9" t="n">
        <f aca="false">IF($H$6=0,"",H12/$H$6)</f>
        <v>0.0441726269036255</v>
      </c>
      <c r="L12" s="10" t="n">
        <v>9898</v>
      </c>
      <c r="M12" s="51" t="n">
        <f aca="false">IF(ISNUMBER(L12),L12/D12,"")</f>
        <v>81.801652892562</v>
      </c>
      <c r="N12" s="8" t="n">
        <f aca="false">IF(ISNUMBER(L12),H12-L12,"")</f>
        <v>40.9400000000005</v>
      </c>
      <c r="O12" s="61"/>
    </row>
    <row r="13" customFormat="false" ht="15" hidden="false" customHeight="false" outlineLevel="0" collapsed="false">
      <c r="A13" s="5" t="n">
        <v>7</v>
      </c>
      <c r="B13" s="5" t="s">
        <v>70</v>
      </c>
      <c r="C13" s="5" t="s">
        <v>16</v>
      </c>
      <c r="D13" s="60" t="n">
        <v>2</v>
      </c>
      <c r="E13" s="10" t="n">
        <v>10198</v>
      </c>
      <c r="F13" s="51" t="n">
        <f aca="false">IF(AND(D13&gt;0,N(E13)&gt;0),E13/D13,"")</f>
        <v>5099</v>
      </c>
      <c r="G13" s="42" t="n">
        <f aca="false">IFERROR(INDEX(Prices!$C$6:$C$300,MATCH(B13,Prices!$A$6:$A$300,0)),"")</f>
        <v>3915</v>
      </c>
      <c r="H13" s="8" t="n">
        <f aca="false">IF(ISNUMBER(G13),D13*G13,0)</f>
        <v>7830</v>
      </c>
      <c r="I13" s="8" t="n">
        <f aca="false">H13-N(E13)</f>
        <v>-2368</v>
      </c>
      <c r="J13" s="9" t="n">
        <f aca="false">IF(N(E13)&gt;0,I13/E13,"")</f>
        <v>-0.232202392626005</v>
      </c>
      <c r="K13" s="9" t="n">
        <f aca="false">IF($H$6=0,"",H13/$H$6)</f>
        <v>0.0347996535501158</v>
      </c>
      <c r="L13" s="10" t="n">
        <v>7972</v>
      </c>
      <c r="M13" s="51" t="n">
        <f aca="false">IF(ISNUMBER(L13),L13/D13,"")</f>
        <v>3986</v>
      </c>
      <c r="N13" s="8" t="n">
        <f aca="false">IF(ISNUMBER(L13),H13-L13,"")</f>
        <v>-142</v>
      </c>
      <c r="O13" s="61"/>
    </row>
    <row r="14" customFormat="false" ht="15" hidden="false" customHeight="false" outlineLevel="0" collapsed="false">
      <c r="A14" s="5" t="n">
        <v>8</v>
      </c>
      <c r="B14" s="5" t="s">
        <v>77</v>
      </c>
      <c r="C14" s="5" t="s">
        <v>16</v>
      </c>
      <c r="D14" s="60" t="n">
        <v>3</v>
      </c>
      <c r="E14" s="10" t="n">
        <v>4954</v>
      </c>
      <c r="F14" s="51" t="n">
        <f aca="false">IF(AND(D14&gt;0,N(E14)&gt;0),E14/D14,"")</f>
        <v>1651.33333333333</v>
      </c>
      <c r="G14" s="42" t="n">
        <f aca="false">IFERROR(INDEX(Prices!$C$6:$C$300,MATCH(B14,Prices!$A$6:$A$300,0)),"")</f>
        <v>1401.4</v>
      </c>
      <c r="H14" s="8" t="n">
        <f aca="false">IF(ISNUMBER(G14),D14*G14,0)</f>
        <v>4204.2</v>
      </c>
      <c r="I14" s="8" t="n">
        <f aca="false">H14-N(E14)</f>
        <v>-749.799999999999</v>
      </c>
      <c r="J14" s="9" t="n">
        <f aca="false">IF(N(E14)&gt;0,I14/E14,"")</f>
        <v>-0.151352442470731</v>
      </c>
      <c r="K14" s="9" t="n">
        <f aca="false">IF($H$6=0,"",H14/$H$6)</f>
        <v>0.0186851473123112</v>
      </c>
      <c r="L14" s="10" t="n">
        <v>4370</v>
      </c>
      <c r="M14" s="51" t="n">
        <f aca="false">IF(ISNUMBER(L14),L14/D14,"")</f>
        <v>1456.66666666667</v>
      </c>
      <c r="N14" s="8" t="n">
        <f aca="false">IF(ISNUMBER(L14),H14-L14,"")</f>
        <v>-165.799999999999</v>
      </c>
      <c r="O14" s="61"/>
    </row>
    <row r="15" customFormat="false" ht="15" hidden="false" customHeight="false" outlineLevel="0" collapsed="false">
      <c r="A15" s="5" t="n">
        <v>9</v>
      </c>
      <c r="B15" s="5" t="s">
        <v>75</v>
      </c>
      <c r="C15" s="5" t="s">
        <v>16</v>
      </c>
      <c r="D15" s="60" t="n">
        <v>1</v>
      </c>
      <c r="E15" s="10" t="n">
        <v>4607</v>
      </c>
      <c r="F15" s="51" t="n">
        <f aca="false">IF(AND(D15&gt;0,N(E15)&gt;0),E15/D15,"")</f>
        <v>4607</v>
      </c>
      <c r="G15" s="42" t="n">
        <f aca="false">IFERROR(INDEX(Prices!$C$6:$C$300,MATCH(B15,Prices!$A$6:$A$300,0)),"")</f>
        <v>3176.6</v>
      </c>
      <c r="H15" s="8" t="n">
        <f aca="false">IF(ISNUMBER(G15),D15*G15,0)</f>
        <v>3176.6</v>
      </c>
      <c r="I15" s="8" t="n">
        <f aca="false">H15-N(E15)</f>
        <v>-1430.4</v>
      </c>
      <c r="J15" s="9" t="n">
        <f aca="false">IF(N(E15)&gt;0,I15/E15,"")</f>
        <v>-0.310484046016931</v>
      </c>
      <c r="K15" s="9" t="n">
        <f aca="false">IF($H$6=0,"",H15/$H$6)</f>
        <v>0.0141180816688758</v>
      </c>
      <c r="L15" s="10" t="n">
        <v>3219</v>
      </c>
      <c r="M15" s="51" t="n">
        <f aca="false">IF(ISNUMBER(L15),L15/D15,"")</f>
        <v>3219</v>
      </c>
      <c r="N15" s="8" t="n">
        <f aca="false">IF(ISNUMBER(L15),H15-L15,"")</f>
        <v>-42.4000000000001</v>
      </c>
      <c r="O15" s="61"/>
    </row>
    <row r="16" customFormat="false" ht="15" hidden="false" customHeight="false" outlineLevel="0" collapsed="false">
      <c r="A16" s="5" t="n">
        <v>10</v>
      </c>
      <c r="B16" s="5" t="s">
        <v>72</v>
      </c>
      <c r="C16" s="5" t="s">
        <v>16</v>
      </c>
      <c r="D16" s="60" t="n">
        <v>50</v>
      </c>
      <c r="E16" s="10" t="n">
        <v>1877</v>
      </c>
      <c r="F16" s="51" t="n">
        <f aca="false">IF(AND(D16&gt;0,N(E16)&gt;0),E16/D16,"")</f>
        <v>37.54</v>
      </c>
      <c r="G16" s="42" t="n">
        <f aca="false">IFERROR(INDEX(Prices!$C$6:$C$300,MATCH(B16,Prices!$A$6:$A$300,0)),"")</f>
        <v>55.99</v>
      </c>
      <c r="H16" s="8" t="n">
        <f aca="false">IF(ISNUMBER(G16),D16*G16,0)</f>
        <v>2799.5</v>
      </c>
      <c r="I16" s="8" t="n">
        <f aca="false">H16-N(E16)</f>
        <v>922.5</v>
      </c>
      <c r="J16" s="9" t="n">
        <f aca="false">IF(N(E16)&gt;0,I16/E16,"")</f>
        <v>0.491475759190197</v>
      </c>
      <c r="K16" s="9" t="n">
        <f aca="false">IF($H$6=0,"",H16/$H$6)</f>
        <v>0.0124420983542208</v>
      </c>
      <c r="L16" s="10" t="n">
        <v>2711</v>
      </c>
      <c r="M16" s="51" t="n">
        <f aca="false">IF(ISNUMBER(L16),L16/D16,"")</f>
        <v>54.22</v>
      </c>
      <c r="N16" s="8" t="n">
        <f aca="false">IF(ISNUMBER(L16),H16-L16,"")</f>
        <v>88.5</v>
      </c>
      <c r="O16" s="61"/>
    </row>
    <row r="17" customFormat="false" ht="15" hidden="false" customHeight="false" outlineLevel="0" collapsed="false">
      <c r="A17" s="5" t="n">
        <v>11</v>
      </c>
      <c r="B17" s="5" t="s">
        <v>127</v>
      </c>
      <c r="C17" s="5" t="s">
        <v>16</v>
      </c>
      <c r="D17" s="60" t="n">
        <v>1</v>
      </c>
      <c r="E17" s="10" t="n">
        <v>251</v>
      </c>
      <c r="F17" s="51" t="n">
        <f aca="false">IF(AND(D17&gt;0,N(E17)&gt;0),E17/D17,"")</f>
        <v>251</v>
      </c>
      <c r="G17" s="42" t="n">
        <f aca="false">IFERROR(INDEX(Prices!$C$6:$C$300,MATCH(B17,Prices!$A$6:$A$300,0)),"")</f>
        <v>257</v>
      </c>
      <c r="H17" s="8" t="n">
        <f aca="false">IF(ISNUMBER(G17),D17*G17,0)</f>
        <v>257</v>
      </c>
      <c r="I17" s="8" t="n">
        <f aca="false">H17-N(E17)</f>
        <v>6</v>
      </c>
      <c r="J17" s="9" t="n">
        <f aca="false">IF(N(E17)&gt;0,I17/E17,"")</f>
        <v>0.0239043824701195</v>
      </c>
      <c r="K17" s="9" t="n">
        <f aca="false">IF($H$6=0,"",H17/$H$6)</f>
        <v>0.00114221085087864</v>
      </c>
      <c r="L17" s="10" t="n">
        <v>257</v>
      </c>
      <c r="M17" s="51" t="n">
        <f aca="false">IF(ISNUMBER(L17),L17/D17,"")</f>
        <v>257</v>
      </c>
      <c r="N17" s="8" t="n">
        <f aca="false">IF(ISNUMBER(L17),H17-L17,"")</f>
        <v>0</v>
      </c>
      <c r="O17" s="61"/>
    </row>
    <row r="18" customFormat="false" ht="15" hidden="false" customHeight="false" outlineLevel="0" collapsed="false">
      <c r="A18" s="5" t="n">
        <v>12</v>
      </c>
      <c r="B18" s="5" t="s">
        <v>118</v>
      </c>
      <c r="C18" s="5" t="s">
        <v>16</v>
      </c>
      <c r="D18" s="60" t="n">
        <v>1</v>
      </c>
      <c r="E18" s="10" t="n">
        <v>63</v>
      </c>
      <c r="F18" s="51" t="n">
        <f aca="false">IF(AND(D18&gt;0,N(E18)&gt;0),E18/D18,"")</f>
        <v>63</v>
      </c>
      <c r="G18" s="42" t="n">
        <f aca="false">IFERROR(INDEX(Prices!$C$6:$C$300,MATCH(B18,Prices!$A$6:$A$300,0)),"")</f>
        <v>121</v>
      </c>
      <c r="H18" s="8" t="n">
        <f aca="false">IF(ISNUMBER(G18),D18*G18,0)</f>
        <v>121</v>
      </c>
      <c r="I18" s="8" t="n">
        <f aca="false">H18-N(E18)</f>
        <v>58</v>
      </c>
      <c r="J18" s="9" t="n">
        <f aca="false">IF(N(E18)&gt;0,I18/E18,"")</f>
        <v>0.920634920634921</v>
      </c>
      <c r="K18" s="9" t="n">
        <f aca="false">IF($H$6=0,"",H18/$H$6)</f>
        <v>0.000537772423954535</v>
      </c>
      <c r="L18" s="10" t="n">
        <v>121</v>
      </c>
      <c r="M18" s="51" t="n">
        <f aca="false">IF(ISNUMBER(L18),L18/D18,"")</f>
        <v>121</v>
      </c>
      <c r="N18" s="8" t="n">
        <f aca="false">IF(ISNUMBER(L18),H18-L18,"")</f>
        <v>0</v>
      </c>
      <c r="O18" s="61"/>
    </row>
  </sheetData>
  <conditionalFormatting sqref="G7:G300">
    <cfRule type="expression" priority="2" aboveAverage="0" equalAverage="0" bottom="0" percent="0" rank="0" text="" dxfId="0">
      <formula>ISNUMBER(SEARCH("stale",INDEX(Prices!$D$6:$D$300,MATCH($B7,Prices!$A$6:$A$300,0))))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38"/>
    <col collapsed="false" customWidth="true" hidden="false" outlineLevel="0" max="17" min="17" style="0" width="19"/>
    <col collapsed="false" customWidth="true" hidden="false" outlineLevel="0" max="18" min="18" style="0" width="6"/>
    <col collapsed="false" customWidth="true" hidden="false" outlineLevel="0" max="19" min="19" style="0" width="24"/>
    <col collapsed="false" customWidth="true" hidden="false" outlineLevel="0" max="20" min="20" style="0" width="6"/>
    <col collapsed="false" customWidth="true" hidden="false" outlineLevel="0" max="21" min="21" style="0" width="12"/>
    <col collapsed="false" customWidth="true" hidden="false" outlineLevel="0" max="22" min="22" style="0" width="11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166</v>
      </c>
    </row>
    <row r="3" customFormat="false" ht="15" hidden="false" customHeight="false" outlineLevel="0" collapsed="false">
      <c r="A3" s="2" t="s">
        <v>146</v>
      </c>
    </row>
    <row r="5" customFormat="false" ht="31.5" hidden="false" customHeight="true" outlineLevel="0" collapsed="false">
      <c r="A5" s="21" t="s">
        <v>53</v>
      </c>
      <c r="B5" s="21" t="s">
        <v>147</v>
      </c>
      <c r="C5" s="21" t="s">
        <v>3</v>
      </c>
      <c r="D5" s="21" t="s">
        <v>148</v>
      </c>
      <c r="E5" s="21" t="s">
        <v>149</v>
      </c>
      <c r="F5" s="21" t="s">
        <v>58</v>
      </c>
      <c r="G5" s="21" t="s">
        <v>54</v>
      </c>
      <c r="H5" s="21" t="s">
        <v>8</v>
      </c>
      <c r="I5" s="21" t="s">
        <v>9</v>
      </c>
      <c r="J5" s="21" t="s">
        <v>10</v>
      </c>
      <c r="K5" s="21" t="s">
        <v>150</v>
      </c>
      <c r="L5" s="21" t="s">
        <v>151</v>
      </c>
      <c r="M5" s="21" t="s">
        <v>152</v>
      </c>
      <c r="N5" s="21" t="s">
        <v>153</v>
      </c>
      <c r="O5" s="21" t="s">
        <v>154</v>
      </c>
      <c r="Q5" s="27" t="s">
        <v>167</v>
      </c>
    </row>
    <row r="6" customFormat="false" ht="15" hidden="false" customHeight="false" outlineLevel="0" collapsed="false">
      <c r="A6" s="11"/>
      <c r="B6" s="11" t="s">
        <v>62</v>
      </c>
      <c r="C6" s="11"/>
      <c r="D6" s="11"/>
      <c r="E6" s="65" t="n">
        <f aca="false">SUM(E7:E27)</f>
        <v>5222229</v>
      </c>
      <c r="F6" s="11"/>
      <c r="G6" s="11"/>
      <c r="H6" s="65" t="n">
        <f aca="false">SUM(H7:H27)</f>
        <v>5427486.97</v>
      </c>
      <c r="I6" s="65" t="n">
        <f aca="false">H6-E6</f>
        <v>205257.97</v>
      </c>
      <c r="J6" s="66" t="n">
        <f aca="false">IF(E6&gt;0,I6/E6,"")</f>
        <v>0.0393046666471347</v>
      </c>
      <c r="K6" s="66" t="n">
        <f aca="false">SUM(K7:K27)</f>
        <v>1</v>
      </c>
      <c r="L6" s="65" t="n">
        <f aca="false">SUM(L7:L27)</f>
        <v>5467268</v>
      </c>
      <c r="M6" s="11"/>
      <c r="N6" s="65" t="n">
        <f aca="false">SUM(N7:N27)</f>
        <v>-39781.0300000001</v>
      </c>
      <c r="O6" s="11"/>
      <c r="Q6" s="21" t="s">
        <v>156</v>
      </c>
      <c r="R6" s="21" t="s">
        <v>157</v>
      </c>
      <c r="S6" s="21" t="s">
        <v>158</v>
      </c>
      <c r="T6" s="21" t="s">
        <v>57</v>
      </c>
      <c r="U6" s="21" t="s">
        <v>159</v>
      </c>
      <c r="V6" s="21" t="s">
        <v>160</v>
      </c>
    </row>
    <row r="7" customFormat="false" ht="15" hidden="false" customHeight="false" outlineLevel="0" collapsed="false">
      <c r="A7" s="5" t="n">
        <v>1</v>
      </c>
      <c r="B7" s="5" t="s">
        <v>63</v>
      </c>
      <c r="C7" s="5" t="s">
        <v>20</v>
      </c>
      <c r="D7" s="60" t="n">
        <v>2412</v>
      </c>
      <c r="E7" s="10" t="n">
        <v>1930286</v>
      </c>
      <c r="F7" s="51" t="n">
        <f aca="false">IF(AND(D7&gt;0,N(E7)&gt;0),E7/D7,"")</f>
        <v>800.284411276949</v>
      </c>
      <c r="G7" s="42" t="n">
        <f aca="false">IFERROR(INDEX(Prices!$C$6:$C$300,MATCH(B7,Prices!$A$6:$A$300,0)),"")</f>
        <v>955.95</v>
      </c>
      <c r="H7" s="8" t="n">
        <f aca="false">IF(ISNUMBER(G7),D7*G7,0)</f>
        <v>2305751.4</v>
      </c>
      <c r="I7" s="8" t="n">
        <f aca="false">H7-N(E7)</f>
        <v>375465.4</v>
      </c>
      <c r="J7" s="9" t="n">
        <f aca="false">IF(N(E7)&gt;0,I7/E7,"")</f>
        <v>0.194512833849492</v>
      </c>
      <c r="K7" s="9" t="n">
        <f aca="false">IF($H$6=0,"",H7/$H$6)</f>
        <v>0.424828546387095</v>
      </c>
      <c r="L7" s="10" t="n">
        <v>2318776</v>
      </c>
      <c r="M7" s="51" t="n">
        <f aca="false">IF(ISNUMBER(L7),L7/D7,"")</f>
        <v>961.34991708126</v>
      </c>
      <c r="N7" s="8" t="n">
        <f aca="false">IF(ISNUMBER(L7),H7-L7,"")</f>
        <v>-13024.6000000001</v>
      </c>
      <c r="O7" s="61"/>
      <c r="Q7" s="62" t="s">
        <v>168</v>
      </c>
      <c r="R7" s="62" t="s">
        <v>162</v>
      </c>
      <c r="S7" s="62" t="s">
        <v>63</v>
      </c>
      <c r="T7" s="62" t="n">
        <v>237</v>
      </c>
      <c r="U7" s="57" t="n">
        <v>962.39</v>
      </c>
      <c r="V7" s="10" t="n">
        <v>228087</v>
      </c>
    </row>
    <row r="8" customFormat="false" ht="15" hidden="false" customHeight="false" outlineLevel="0" collapsed="false">
      <c r="A8" s="5" t="n">
        <v>2</v>
      </c>
      <c r="B8" s="5" t="s">
        <v>64</v>
      </c>
      <c r="C8" s="5" t="s">
        <v>20</v>
      </c>
      <c r="D8" s="60" t="n">
        <v>172</v>
      </c>
      <c r="E8" s="10" t="n">
        <v>617467</v>
      </c>
      <c r="F8" s="51" t="n">
        <f aca="false">IF(AND(D8&gt;0,N(E8)&gt;0),E8/D8,"")</f>
        <v>3589.92441860465</v>
      </c>
      <c r="G8" s="42" t="n">
        <f aca="false">IFERROR(INDEX(Prices!$C$6:$C$300,MATCH(B8,Prices!$A$6:$A$300,0)),"")</f>
        <v>4359.5</v>
      </c>
      <c r="H8" s="8" t="n">
        <f aca="false">IF(ISNUMBER(G8),D8*G8,0)</f>
        <v>749834</v>
      </c>
      <c r="I8" s="8" t="n">
        <f aca="false">H8-N(E8)</f>
        <v>132367</v>
      </c>
      <c r="J8" s="9" t="n">
        <f aca="false">IF(N(E8)&gt;0,I8/E8,"")</f>
        <v>0.214370970432428</v>
      </c>
      <c r="K8" s="9" t="n">
        <f aca="false">IF($H$6=0,"",H8/$H$6)</f>
        <v>0.138154914815024</v>
      </c>
      <c r="L8" s="10" t="n">
        <v>751984</v>
      </c>
      <c r="M8" s="51" t="n">
        <f aca="false">IF(ISNUMBER(L8),L8/D8,"")</f>
        <v>4372</v>
      </c>
      <c r="N8" s="8" t="n">
        <f aca="false">IF(ISNUMBER(L8),H8-L8,"")</f>
        <v>-2150</v>
      </c>
      <c r="O8" s="61"/>
      <c r="Q8" s="62" t="s">
        <v>168</v>
      </c>
      <c r="R8" s="62" t="s">
        <v>162</v>
      </c>
      <c r="S8" s="62" t="s">
        <v>65</v>
      </c>
      <c r="T8" s="62" t="n">
        <v>176</v>
      </c>
      <c r="U8" s="57" t="n">
        <v>442.07</v>
      </c>
      <c r="V8" s="10" t="n">
        <v>77804</v>
      </c>
    </row>
    <row r="9" customFormat="false" ht="15" hidden="false" customHeight="false" outlineLevel="0" collapsed="false">
      <c r="A9" s="5" t="n">
        <v>3</v>
      </c>
      <c r="B9" s="5" t="s">
        <v>66</v>
      </c>
      <c r="C9" s="5" t="s">
        <v>20</v>
      </c>
      <c r="D9" s="60" t="n">
        <v>673</v>
      </c>
      <c r="E9" s="10" t="n">
        <v>599414</v>
      </c>
      <c r="F9" s="51" t="n">
        <f aca="false">IF(AND(D9&gt;0,N(E9)&gt;0),E9/D9,"")</f>
        <v>890.659732540862</v>
      </c>
      <c r="G9" s="42" t="n">
        <f aca="false">IFERROR(INDEX(Prices!$C$6:$C$300,MATCH(B9,Prices!$A$6:$A$300,0)),"")</f>
        <v>692.25</v>
      </c>
      <c r="H9" s="8" t="n">
        <f aca="false">IF(ISNUMBER(G9),D9*G9,0)</f>
        <v>465884.25</v>
      </c>
      <c r="I9" s="8" t="n">
        <f aca="false">H9-N(E9)</f>
        <v>-133529.75</v>
      </c>
      <c r="J9" s="9" t="n">
        <f aca="false">IF(N(E9)&gt;0,I9/E9,"")</f>
        <v>-0.222767152585692</v>
      </c>
      <c r="K9" s="9" t="n">
        <f aca="false">IF($H$6=0,"",H9/$H$6)</f>
        <v>0.0858379306251932</v>
      </c>
      <c r="L9" s="10" t="n">
        <v>472547</v>
      </c>
      <c r="M9" s="51" t="n">
        <f aca="false">IF(ISNUMBER(L9),L9/D9,"")</f>
        <v>702.150074294205</v>
      </c>
      <c r="N9" s="8" t="n">
        <f aca="false">IF(ISNUMBER(L9),H9-L9,"")</f>
        <v>-6662.75</v>
      </c>
      <c r="O9" s="61"/>
      <c r="Q9" s="62" t="s">
        <v>168</v>
      </c>
      <c r="R9" s="62" t="s">
        <v>162</v>
      </c>
      <c r="S9" s="62" t="s">
        <v>66</v>
      </c>
      <c r="T9" s="62" t="n">
        <v>55</v>
      </c>
      <c r="U9" s="57" t="n">
        <v>701.55</v>
      </c>
      <c r="V9" s="10" t="n">
        <v>38585</v>
      </c>
    </row>
    <row r="10" customFormat="false" ht="15" hidden="false" customHeight="false" outlineLevel="0" collapsed="false">
      <c r="A10" s="5" t="n">
        <v>4</v>
      </c>
      <c r="B10" s="5" t="s">
        <v>67</v>
      </c>
      <c r="C10" s="5" t="s">
        <v>20</v>
      </c>
      <c r="D10" s="60" t="n">
        <v>240</v>
      </c>
      <c r="E10" s="10" t="n">
        <v>203179</v>
      </c>
      <c r="F10" s="51" t="n">
        <f aca="false">IF(AND(D10&gt;0,N(E10)&gt;0),E10/D10,"")</f>
        <v>846.579166666667</v>
      </c>
      <c r="G10" s="42" t="n">
        <f aca="false">IFERROR(INDEX(Prices!$C$6:$C$300,MATCH(B10,Prices!$A$6:$A$300,0)),"")</f>
        <v>1432.05</v>
      </c>
      <c r="H10" s="8" t="n">
        <f aca="false">IF(ISNUMBER(G10),D10*G10,0)</f>
        <v>343692</v>
      </c>
      <c r="I10" s="8" t="n">
        <f aca="false">H10-N(E10)</f>
        <v>140513</v>
      </c>
      <c r="J10" s="9" t="n">
        <f aca="false">IF(N(E10)&gt;0,I10/E10,"")</f>
        <v>0.691572455814823</v>
      </c>
      <c r="K10" s="9" t="n">
        <f aca="false">IF($H$6=0,"",H10/$H$6)</f>
        <v>0.0633243344294938</v>
      </c>
      <c r="L10" s="10" t="n">
        <v>342000</v>
      </c>
      <c r="M10" s="51" t="n">
        <f aca="false">IF(ISNUMBER(L10),L10/D10,"")</f>
        <v>1425</v>
      </c>
      <c r="N10" s="8" t="n">
        <f aca="false">IF(ISNUMBER(L10),H10-L10,"")</f>
        <v>1692</v>
      </c>
      <c r="O10" s="61" t="s">
        <v>169</v>
      </c>
      <c r="Q10" s="62" t="s">
        <v>168</v>
      </c>
      <c r="R10" s="62" t="s">
        <v>162</v>
      </c>
      <c r="S10" s="62" t="s">
        <v>64</v>
      </c>
      <c r="T10" s="62" t="n">
        <v>6</v>
      </c>
      <c r="U10" s="57" t="n">
        <v>4375</v>
      </c>
      <c r="V10" s="10" t="n">
        <v>26250</v>
      </c>
    </row>
    <row r="11" customFormat="false" ht="15" hidden="false" customHeight="false" outlineLevel="0" collapsed="false">
      <c r="A11" s="5" t="n">
        <v>5</v>
      </c>
      <c r="B11" s="5" t="s">
        <v>65</v>
      </c>
      <c r="C11" s="5" t="s">
        <v>20</v>
      </c>
      <c r="D11" s="60" t="n">
        <v>769</v>
      </c>
      <c r="E11" s="10" t="n">
        <v>346990</v>
      </c>
      <c r="F11" s="51" t="n">
        <f aca="false">IF(AND(D11&gt;0,N(E11)&gt;0),E11/D11,"")</f>
        <v>451.222366710013</v>
      </c>
      <c r="G11" s="42" t="n">
        <f aca="false">IFERROR(INDEX(Prices!$C$6:$C$300,MATCH(B11,Prices!$A$6:$A$300,0)),"")</f>
        <v>437.9</v>
      </c>
      <c r="H11" s="8" t="n">
        <f aca="false">IF(ISNUMBER(G11),D11*G11,0)</f>
        <v>336745.1</v>
      </c>
      <c r="I11" s="8" t="n">
        <f aca="false">H11-N(E11)</f>
        <v>-10244.9</v>
      </c>
      <c r="J11" s="9" t="n">
        <f aca="false">IF(N(E11)&gt;0,I11/E11,"")</f>
        <v>-0.0295250583590306</v>
      </c>
      <c r="K11" s="9" t="n">
        <f aca="false">IF($H$6=0,"",H11/$H$6)</f>
        <v>0.062044386630743</v>
      </c>
      <c r="L11" s="10" t="n">
        <v>340513</v>
      </c>
      <c r="M11" s="51" t="n">
        <f aca="false">IF(ISNUMBER(L11),L11/D11,"")</f>
        <v>442.799739921977</v>
      </c>
      <c r="N11" s="8" t="n">
        <f aca="false">IF(ISNUMBER(L11),H11-L11,"")</f>
        <v>-3767.90000000002</v>
      </c>
      <c r="O11" s="61"/>
      <c r="Q11" s="62" t="s">
        <v>168</v>
      </c>
      <c r="R11" s="62" t="s">
        <v>162</v>
      </c>
      <c r="S11" s="62" t="s">
        <v>69</v>
      </c>
      <c r="T11" s="62" t="n">
        <v>280</v>
      </c>
      <c r="U11" s="57" t="n">
        <v>82.46</v>
      </c>
      <c r="V11" s="10" t="n">
        <v>23089</v>
      </c>
    </row>
    <row r="12" customFormat="false" ht="15" hidden="false" customHeight="false" outlineLevel="0" collapsed="false">
      <c r="A12" s="5" t="n">
        <v>6</v>
      </c>
      <c r="B12" s="5" t="s">
        <v>68</v>
      </c>
      <c r="C12" s="5" t="s">
        <v>20</v>
      </c>
      <c r="D12" s="60" t="n">
        <v>800</v>
      </c>
      <c r="E12" s="10" t="n">
        <v>183992</v>
      </c>
      <c r="F12" s="51" t="n">
        <f aca="false">IF(AND(D12&gt;0,N(E12)&gt;0),E12/D12,"")</f>
        <v>229.99</v>
      </c>
      <c r="G12" s="42" t="n">
        <f aca="false">IFERROR(INDEX(Prices!$C$6:$C$300,MATCH(B12,Prices!$A$6:$A$300,0)),"")</f>
        <v>245</v>
      </c>
      <c r="H12" s="8" t="n">
        <f aca="false">IF(ISNUMBER(G12),D12*G12,0)</f>
        <v>196000</v>
      </c>
      <c r="I12" s="8" t="n">
        <f aca="false">H12-N(E12)</f>
        <v>12008</v>
      </c>
      <c r="J12" s="9" t="n">
        <f aca="false">IF(N(E12)&gt;0,I12/E12,"")</f>
        <v>0.0652637071177008</v>
      </c>
      <c r="K12" s="9" t="n">
        <f aca="false">IF($H$6=0,"",H12/$H$6)</f>
        <v>0.0361124772999685</v>
      </c>
      <c r="L12" s="10" t="n">
        <v>196000</v>
      </c>
      <c r="M12" s="51" t="n">
        <f aca="false">IF(ISNUMBER(L12),L12/D12,"")</f>
        <v>245</v>
      </c>
      <c r="N12" s="8" t="n">
        <f aca="false">IF(ISNUMBER(L12),H12-L12,"")</f>
        <v>0</v>
      </c>
      <c r="O12" s="61" t="s">
        <v>169</v>
      </c>
      <c r="Q12" s="62" t="s">
        <v>168</v>
      </c>
      <c r="R12" s="62" t="s">
        <v>162</v>
      </c>
      <c r="S12" s="62" t="s">
        <v>73</v>
      </c>
      <c r="T12" s="62" t="n">
        <v>4</v>
      </c>
      <c r="U12" s="57" t="n">
        <v>5588</v>
      </c>
      <c r="V12" s="10" t="n">
        <v>22352</v>
      </c>
    </row>
    <row r="13" customFormat="false" ht="15" hidden="false" customHeight="false" outlineLevel="0" collapsed="false">
      <c r="A13" s="5" t="n">
        <v>7</v>
      </c>
      <c r="B13" s="5" t="s">
        <v>69</v>
      </c>
      <c r="C13" s="5" t="s">
        <v>20</v>
      </c>
      <c r="D13" s="60" t="n">
        <v>2198</v>
      </c>
      <c r="E13" s="10" t="n">
        <v>255800</v>
      </c>
      <c r="F13" s="51" t="n">
        <f aca="false">IF(AND(D13&gt;0,N(E13)&gt;0),E13/D13,"")</f>
        <v>116.378525932666</v>
      </c>
      <c r="G13" s="42" t="n">
        <f aca="false">IFERROR(INDEX(Prices!$C$6:$C$300,MATCH(B13,Prices!$A$6:$A$300,0)),"")</f>
        <v>82.14</v>
      </c>
      <c r="H13" s="8" t="n">
        <f aca="false">IF(ISNUMBER(G13),D13*G13,0)</f>
        <v>180543.72</v>
      </c>
      <c r="I13" s="8" t="n">
        <f aca="false">H13-N(E13)</f>
        <v>-75256.28</v>
      </c>
      <c r="J13" s="9" t="n">
        <f aca="false">IF(N(E13)&gt;0,I13/E13,"")</f>
        <v>-0.294199687255669</v>
      </c>
      <c r="K13" s="9" t="n">
        <f aca="false">IF($H$6=0,"",H13/$H$6)</f>
        <v>0.0332646989293463</v>
      </c>
      <c r="L13" s="10" t="n">
        <v>180698</v>
      </c>
      <c r="M13" s="51" t="n">
        <f aca="false">IF(ISNUMBER(L13),L13/D13,"")</f>
        <v>82.2101910828026</v>
      </c>
      <c r="N13" s="8" t="n">
        <f aca="false">IF(ISNUMBER(L13),H13-L13,"")</f>
        <v>-154.279999999999</v>
      </c>
      <c r="O13" s="61"/>
      <c r="Q13" s="62" t="s">
        <v>168</v>
      </c>
      <c r="R13" s="62" t="s">
        <v>162</v>
      </c>
      <c r="S13" s="62" t="s">
        <v>76</v>
      </c>
      <c r="T13" s="62" t="n">
        <v>7</v>
      </c>
      <c r="U13" s="57" t="n">
        <v>3081</v>
      </c>
      <c r="V13" s="10" t="n">
        <v>21567</v>
      </c>
    </row>
    <row r="14" customFormat="false" ht="15" hidden="false" customHeight="false" outlineLevel="0" collapsed="false">
      <c r="A14" s="5" t="n">
        <v>8</v>
      </c>
      <c r="B14" s="5" t="s">
        <v>70</v>
      </c>
      <c r="C14" s="5" t="s">
        <v>20</v>
      </c>
      <c r="D14" s="60" t="n">
        <v>37</v>
      </c>
      <c r="E14" s="10" t="n">
        <v>216602</v>
      </c>
      <c r="F14" s="51" t="n">
        <f aca="false">IF(AND(D14&gt;0,N(E14)&gt;0),E14/D14,"")</f>
        <v>5854.10810810811</v>
      </c>
      <c r="G14" s="42" t="n">
        <f aca="false">IFERROR(INDEX(Prices!$C$6:$C$300,MATCH(B14,Prices!$A$6:$A$300,0)),"")</f>
        <v>3915</v>
      </c>
      <c r="H14" s="8" t="n">
        <f aca="false">IF(ISNUMBER(G14),D14*G14,0)</f>
        <v>144855</v>
      </c>
      <c r="I14" s="8" t="n">
        <f aca="false">H14-N(E14)</f>
        <v>-71747</v>
      </c>
      <c r="J14" s="9" t="n">
        <f aca="false">IF(N(E14)&gt;0,I14/E14,"")</f>
        <v>-0.331238862060369</v>
      </c>
      <c r="K14" s="9" t="n">
        <f aca="false">IF($H$6=0,"",H14/$H$6)</f>
        <v>0.0266891474453415</v>
      </c>
      <c r="L14" s="10" t="n">
        <v>149365</v>
      </c>
      <c r="M14" s="51" t="n">
        <f aca="false">IF(ISNUMBER(L14),L14/D14,"")</f>
        <v>4036.89189189189</v>
      </c>
      <c r="N14" s="8" t="n">
        <f aca="false">IF(ISNUMBER(L14),H14-L14,"")</f>
        <v>-4510</v>
      </c>
      <c r="O14" s="61" t="s">
        <v>170</v>
      </c>
      <c r="Q14" s="62" t="s">
        <v>168</v>
      </c>
      <c r="R14" s="62" t="s">
        <v>162</v>
      </c>
      <c r="S14" s="62" t="s">
        <v>78</v>
      </c>
      <c r="T14" s="62" t="n">
        <v>3</v>
      </c>
      <c r="U14" s="57" t="n">
        <v>6905.67</v>
      </c>
      <c r="V14" s="10" t="n">
        <v>20717</v>
      </c>
    </row>
    <row r="15" customFormat="false" ht="15" hidden="false" customHeight="false" outlineLevel="0" collapsed="false">
      <c r="A15" s="5" t="n">
        <v>9</v>
      </c>
      <c r="B15" s="5" t="s">
        <v>72</v>
      </c>
      <c r="C15" s="5" t="s">
        <v>20</v>
      </c>
      <c r="D15" s="60" t="n">
        <v>2370</v>
      </c>
      <c r="E15" s="10" t="n">
        <v>94397</v>
      </c>
      <c r="F15" s="51" t="n">
        <f aca="false">IF(AND(D15&gt;0,N(E15)&gt;0),E15/D15,"")</f>
        <v>39.8299578059072</v>
      </c>
      <c r="G15" s="42" t="n">
        <f aca="false">IFERROR(INDEX(Prices!$C$6:$C$300,MATCH(B15,Prices!$A$6:$A$300,0)),"")</f>
        <v>55.99</v>
      </c>
      <c r="H15" s="8" t="n">
        <f aca="false">IF(ISNUMBER(G15),D15*G15,0)</f>
        <v>132696.3</v>
      </c>
      <c r="I15" s="8" t="n">
        <f aca="false">H15-N(E15)</f>
        <v>38299.3</v>
      </c>
      <c r="J15" s="9" t="n">
        <f aca="false">IF(N(E15)&gt;0,I15/E15,"")</f>
        <v>0.405725817557762</v>
      </c>
      <c r="K15" s="9" t="n">
        <f aca="false">IF($H$6=0,"",H15/$H$6)</f>
        <v>0.0244489393956113</v>
      </c>
      <c r="L15" s="10" t="n">
        <v>133502</v>
      </c>
      <c r="M15" s="51" t="n">
        <f aca="false">IF(ISNUMBER(L15),L15/D15,"")</f>
        <v>56.3299578059072</v>
      </c>
      <c r="N15" s="8" t="n">
        <f aca="false">IF(ISNUMBER(L15),H15-L15,"")</f>
        <v>-805.699999999983</v>
      </c>
      <c r="O15" s="61"/>
      <c r="Q15" s="62" t="s">
        <v>168</v>
      </c>
      <c r="R15" s="62" t="s">
        <v>162</v>
      </c>
      <c r="S15" s="62" t="s">
        <v>81</v>
      </c>
      <c r="T15" s="62" t="n">
        <v>3</v>
      </c>
      <c r="U15" s="57" t="n">
        <v>3560.33</v>
      </c>
      <c r="V15" s="10" t="n">
        <v>10681</v>
      </c>
    </row>
    <row r="16" customFormat="false" ht="15" hidden="false" customHeight="false" outlineLevel="0" collapsed="false">
      <c r="A16" s="5" t="n">
        <v>10</v>
      </c>
      <c r="B16" s="5" t="s">
        <v>75</v>
      </c>
      <c r="C16" s="5" t="s">
        <v>20</v>
      </c>
      <c r="D16" s="60" t="n">
        <v>32</v>
      </c>
      <c r="E16" s="10" t="n">
        <v>151039</v>
      </c>
      <c r="F16" s="51" t="n">
        <f aca="false">IF(AND(D16&gt;0,N(E16)&gt;0),E16/D16,"")</f>
        <v>4719.96875</v>
      </c>
      <c r="G16" s="42" t="n">
        <f aca="false">IFERROR(INDEX(Prices!$C$6:$C$300,MATCH(B16,Prices!$A$6:$A$300,0)),"")</f>
        <v>3176.6</v>
      </c>
      <c r="H16" s="8" t="n">
        <f aca="false">IF(ISNUMBER(G16),D16*G16,0)</f>
        <v>101651.2</v>
      </c>
      <c r="I16" s="8" t="n">
        <f aca="false">H16-N(E16)</f>
        <v>-49387.8</v>
      </c>
      <c r="J16" s="9" t="n">
        <f aca="false">IF(N(E16)&gt;0,I16/E16,"")</f>
        <v>-0.326987069564814</v>
      </c>
      <c r="K16" s="9" t="n">
        <f aca="false">IF($H$6=0,"",H16/$H$6)</f>
        <v>0.0187289625128294</v>
      </c>
      <c r="L16" s="10" t="n">
        <v>102480</v>
      </c>
      <c r="M16" s="51" t="n">
        <f aca="false">IF(ISNUMBER(L16),L16/D16,"")</f>
        <v>3202.5</v>
      </c>
      <c r="N16" s="8" t="n">
        <f aca="false">IF(ISNUMBER(L16),H16-L16,"")</f>
        <v>-828.800000000003</v>
      </c>
      <c r="O16" s="61"/>
      <c r="Q16" s="62" t="s">
        <v>168</v>
      </c>
      <c r="R16" s="62" t="s">
        <v>162</v>
      </c>
      <c r="S16" s="62" t="s">
        <v>77</v>
      </c>
      <c r="T16" s="62" t="n">
        <v>7</v>
      </c>
      <c r="U16" s="57" t="n">
        <v>1415</v>
      </c>
      <c r="V16" s="10" t="n">
        <v>9905</v>
      </c>
    </row>
    <row r="17" customFormat="false" ht="15" hidden="false" customHeight="false" outlineLevel="0" collapsed="false">
      <c r="A17" s="5" t="n">
        <v>11</v>
      </c>
      <c r="B17" s="5" t="s">
        <v>73</v>
      </c>
      <c r="C17" s="5" t="s">
        <v>20</v>
      </c>
      <c r="D17" s="60" t="n">
        <v>17</v>
      </c>
      <c r="E17" s="10" t="n">
        <v>86733</v>
      </c>
      <c r="F17" s="51" t="n">
        <f aca="false">IF(AND(D17&gt;0,N(E17)&gt;0),E17/D17,"")</f>
        <v>5101.94117647059</v>
      </c>
      <c r="G17" s="42" t="n">
        <f aca="false">IFERROR(INDEX(Prices!$C$6:$C$300,MATCH(B17,Prices!$A$6:$A$300,0)),"")</f>
        <v>5468</v>
      </c>
      <c r="H17" s="8" t="n">
        <f aca="false">IF(ISNUMBER(G17),D17*G17,0)</f>
        <v>92956</v>
      </c>
      <c r="I17" s="8" t="n">
        <f aca="false">H17-N(E17)</f>
        <v>6223</v>
      </c>
      <c r="J17" s="9" t="n">
        <f aca="false">IF(N(E17)&gt;0,I17/E17,"")</f>
        <v>0.0717489306261746</v>
      </c>
      <c r="K17" s="9" t="n">
        <f aca="false">IF($H$6=0,"",H17/$H$6)</f>
        <v>0.0171268951015096</v>
      </c>
      <c r="L17" s="10" t="n">
        <v>95634</v>
      </c>
      <c r="M17" s="51" t="n">
        <f aca="false">IF(ISNUMBER(L17),L17/D17,"")</f>
        <v>5625.52941176471</v>
      </c>
      <c r="N17" s="8" t="n">
        <f aca="false">IF(ISNUMBER(L17),H17-L17,"")</f>
        <v>-2678</v>
      </c>
      <c r="O17" s="61"/>
      <c r="Q17" s="62" t="s">
        <v>168</v>
      </c>
      <c r="R17" s="62" t="s">
        <v>162</v>
      </c>
      <c r="S17" s="62" t="s">
        <v>80</v>
      </c>
      <c r="T17" s="62" t="n">
        <v>3</v>
      </c>
      <c r="U17" s="57" t="n">
        <v>2885</v>
      </c>
      <c r="V17" s="10" t="n">
        <v>8655</v>
      </c>
    </row>
    <row r="18" customFormat="false" ht="15" hidden="false" customHeight="false" outlineLevel="0" collapsed="false">
      <c r="A18" s="5" t="n">
        <v>12</v>
      </c>
      <c r="B18" s="5" t="s">
        <v>82</v>
      </c>
      <c r="C18" s="5" t="s">
        <v>20</v>
      </c>
      <c r="D18" s="60" t="n">
        <v>82</v>
      </c>
      <c r="E18" s="10" t="n">
        <v>160741</v>
      </c>
      <c r="F18" s="51" t="n">
        <f aca="false">IF(AND(D18&gt;0,N(E18)&gt;0),E18/D18,"")</f>
        <v>1960.25609756098</v>
      </c>
      <c r="G18" s="42" t="n">
        <f aca="false">IFERROR(INDEX(Prices!$C$6:$C$300,MATCH(B18,Prices!$A$6:$A$300,0)),"")</f>
        <v>1120.8</v>
      </c>
      <c r="H18" s="8" t="n">
        <f aca="false">IF(ISNUMBER(G18),D18*G18,0)</f>
        <v>91905.6</v>
      </c>
      <c r="I18" s="8" t="n">
        <f aca="false">H18-N(E18)</f>
        <v>-68835.4</v>
      </c>
      <c r="J18" s="9" t="n">
        <f aca="false">IF(N(E18)&gt;0,I18/E18,"")</f>
        <v>-0.428237972888062</v>
      </c>
      <c r="K18" s="9" t="n">
        <f aca="false">IF($H$6=0,"",H18/$H$6)</f>
        <v>0.016933361702755</v>
      </c>
      <c r="L18" s="10" t="n">
        <v>92480</v>
      </c>
      <c r="M18" s="51" t="n">
        <f aca="false">IF(ISNUMBER(L18),L18/D18,"")</f>
        <v>1127.80487804878</v>
      </c>
      <c r="N18" s="8" t="n">
        <f aca="false">IF(ISNUMBER(L18),H18-L18,"")</f>
        <v>-574.400000000009</v>
      </c>
      <c r="O18" s="61"/>
      <c r="Q18" s="62" t="s">
        <v>168</v>
      </c>
      <c r="R18" s="62" t="s">
        <v>162</v>
      </c>
      <c r="S18" s="62" t="s">
        <v>87</v>
      </c>
      <c r="T18" s="62" t="n">
        <v>8</v>
      </c>
      <c r="U18" s="57" t="n">
        <v>845</v>
      </c>
      <c r="V18" s="10" t="n">
        <v>6760</v>
      </c>
    </row>
    <row r="19" customFormat="false" ht="15" hidden="false" customHeight="false" outlineLevel="0" collapsed="false">
      <c r="A19" s="5" t="n">
        <v>13</v>
      </c>
      <c r="B19" s="5" t="s">
        <v>76</v>
      </c>
      <c r="C19" s="5" t="s">
        <v>20</v>
      </c>
      <c r="D19" s="60" t="n">
        <v>22</v>
      </c>
      <c r="E19" s="10" t="n">
        <v>86278</v>
      </c>
      <c r="F19" s="51" t="n">
        <f aca="false">IF(AND(D19&gt;0,N(E19)&gt;0),E19/D19,"")</f>
        <v>3921.72727272727</v>
      </c>
      <c r="G19" s="42" t="n">
        <f aca="false">IFERROR(INDEX(Prices!$C$6:$C$300,MATCH(B19,Prices!$A$6:$A$300,0)),"")</f>
        <v>2996</v>
      </c>
      <c r="H19" s="8" t="n">
        <f aca="false">IF(ISNUMBER(G19),D19*G19,0)</f>
        <v>65912</v>
      </c>
      <c r="I19" s="8" t="n">
        <f aca="false">H19-N(E19)</f>
        <v>-20366</v>
      </c>
      <c r="J19" s="9" t="n">
        <f aca="false">IF(N(E19)&gt;0,I19/E19,"")</f>
        <v>-0.23605090521338</v>
      </c>
      <c r="K19" s="9" t="n">
        <f aca="false">IF($H$6=0,"",H19/$H$6)</f>
        <v>0.0121441102234466</v>
      </c>
      <c r="L19" s="10" t="n">
        <v>67571</v>
      </c>
      <c r="M19" s="51" t="n">
        <f aca="false">IF(ISNUMBER(L19),L19/D19,"")</f>
        <v>3071.40909090909</v>
      </c>
      <c r="N19" s="8" t="n">
        <f aca="false">IF(ISNUMBER(L19),H19-L19,"")</f>
        <v>-1659</v>
      </c>
      <c r="O19" s="61"/>
      <c r="Q19" s="62" t="s">
        <v>168</v>
      </c>
      <c r="R19" s="62" t="s">
        <v>162</v>
      </c>
      <c r="S19" s="62" t="s">
        <v>75</v>
      </c>
      <c r="T19" s="62" t="n">
        <v>2</v>
      </c>
      <c r="U19" s="57" t="n">
        <v>3185</v>
      </c>
      <c r="V19" s="10" t="n">
        <v>6370</v>
      </c>
    </row>
    <row r="20" customFormat="false" ht="15" hidden="false" customHeight="false" outlineLevel="0" collapsed="false">
      <c r="A20" s="5" t="n">
        <v>14</v>
      </c>
      <c r="B20" s="5" t="s">
        <v>77</v>
      </c>
      <c r="C20" s="5" t="s">
        <v>20</v>
      </c>
      <c r="D20" s="60" t="n">
        <v>47</v>
      </c>
      <c r="E20" s="10" t="n">
        <v>72448</v>
      </c>
      <c r="F20" s="51" t="n">
        <f aca="false">IF(AND(D20&gt;0,N(E20)&gt;0),E20/D20,"")</f>
        <v>1541.44680851064</v>
      </c>
      <c r="G20" s="42" t="n">
        <f aca="false">IFERROR(INDEX(Prices!$C$6:$C$300,MATCH(B20,Prices!$A$6:$A$300,0)),"")</f>
        <v>1401.4</v>
      </c>
      <c r="H20" s="8" t="n">
        <f aca="false">IF(ISNUMBER(G20),D20*G20,0)</f>
        <v>65865.8</v>
      </c>
      <c r="I20" s="8" t="n">
        <f aca="false">H20-N(E20)</f>
        <v>-6582.2</v>
      </c>
      <c r="J20" s="9" t="n">
        <f aca="false">IF(N(E20)&gt;0,I20/E20,"")</f>
        <v>-0.0908541298586572</v>
      </c>
      <c r="K20" s="9" t="n">
        <f aca="false">IF($H$6=0,"",H20/$H$6)</f>
        <v>0.0121355979966544</v>
      </c>
      <c r="L20" s="10" t="n">
        <v>66876</v>
      </c>
      <c r="M20" s="51" t="n">
        <f aca="false">IF(ISNUMBER(L20),L20/D20,"")</f>
        <v>1422.89361702128</v>
      </c>
      <c r="N20" s="8" t="n">
        <f aca="false">IF(ISNUMBER(L20),H20-L20,"")</f>
        <v>-1010.2</v>
      </c>
      <c r="O20" s="61"/>
      <c r="S20" s="63" t="s">
        <v>165</v>
      </c>
      <c r="V20" s="64" t="n">
        <f aca="false">SUMIFS(V7:V19,R7:R19,"BUY")-SUMIFS(V7:V19,R7:R19,"SELL")</f>
        <v>500822</v>
      </c>
    </row>
    <row r="21" customFormat="false" ht="15" hidden="false" customHeight="false" outlineLevel="0" collapsed="false">
      <c r="A21" s="5" t="n">
        <v>15</v>
      </c>
      <c r="B21" s="5" t="s">
        <v>74</v>
      </c>
      <c r="C21" s="5" t="s">
        <v>20</v>
      </c>
      <c r="D21" s="60" t="n">
        <v>29</v>
      </c>
      <c r="E21" s="10" t="n">
        <v>122603</v>
      </c>
      <c r="F21" s="51" t="n">
        <f aca="false">IF(AND(D21&gt;0,N(E21)&gt;0),E21/D21,"")</f>
        <v>4227.68965517241</v>
      </c>
      <c r="G21" s="42" t="n">
        <f aca="false">IFERROR(INDEX(Prices!$C$6:$C$300,MATCH(B21,Prices!$A$6:$A$300,0)),"")</f>
        <v>2076</v>
      </c>
      <c r="H21" s="8" t="n">
        <f aca="false">IF(ISNUMBER(G21),D21*G21,0)</f>
        <v>60204</v>
      </c>
      <c r="I21" s="8" t="n">
        <f aca="false">H21-N(E21)</f>
        <v>-62399</v>
      </c>
      <c r="J21" s="9" t="n">
        <f aca="false">IF(N(E21)&gt;0,I21/E21,"")</f>
        <v>-0.508951656974136</v>
      </c>
      <c r="K21" s="9" t="n">
        <f aca="false">IF($H$6=0,"",H21/$H$6)</f>
        <v>0.0110924264457516</v>
      </c>
      <c r="L21" s="10" t="n">
        <v>63165</v>
      </c>
      <c r="M21" s="51" t="n">
        <f aca="false">IF(ISNUMBER(L21),L21/D21,"")</f>
        <v>2178.10344827586</v>
      </c>
      <c r="N21" s="8" t="n">
        <f aca="false">IF(ISNUMBER(L21),H21-L21,"")</f>
        <v>-2961</v>
      </c>
      <c r="O21" s="61"/>
    </row>
    <row r="22" customFormat="false" ht="15" hidden="false" customHeight="false" outlineLevel="0" collapsed="false">
      <c r="A22" s="5" t="n">
        <v>16</v>
      </c>
      <c r="B22" s="5" t="s">
        <v>92</v>
      </c>
      <c r="C22" s="5" t="s">
        <v>20</v>
      </c>
      <c r="D22" s="60" t="n">
        <v>36000</v>
      </c>
      <c r="E22" s="10" t="n">
        <v>36000</v>
      </c>
      <c r="F22" s="51" t="n">
        <f aca="false">IF(AND(D22&gt;0,N(E22)&gt;0),E22/D22,"")</f>
        <v>1</v>
      </c>
      <c r="G22" s="42" t="n">
        <f aca="false">IFERROR(INDEX(Prices!$C$6:$C$300,MATCH(B22,Prices!$A$6:$A$300,0)),"")</f>
        <v>1</v>
      </c>
      <c r="H22" s="8" t="n">
        <f aca="false">IF(ISNUMBER(G22),D22*G22,0)</f>
        <v>36000</v>
      </c>
      <c r="I22" s="8" t="n">
        <f aca="false">H22-N(E22)</f>
        <v>0</v>
      </c>
      <c r="J22" s="9" t="n">
        <f aca="false">IF(N(E22)&gt;0,I22/E22,"")</f>
        <v>0</v>
      </c>
      <c r="K22" s="9" t="n">
        <f aca="false">IF($H$6=0,"",H22/$H$6)</f>
        <v>0.00663290399387177</v>
      </c>
      <c r="L22" s="10" t="n">
        <v>36000</v>
      </c>
      <c r="M22" s="51" t="n">
        <f aca="false">IF(ISNUMBER(L22),L22/D22,"")</f>
        <v>1</v>
      </c>
      <c r="N22" s="8" t="n">
        <f aca="false">IF(ISNUMBER(L22),H22-L22,"")</f>
        <v>0</v>
      </c>
      <c r="O22" s="61" t="s">
        <v>171</v>
      </c>
    </row>
    <row r="23" customFormat="false" ht="15" hidden="false" customHeight="false" outlineLevel="0" collapsed="false">
      <c r="A23" s="5" t="n">
        <v>17</v>
      </c>
      <c r="B23" s="5" t="s">
        <v>78</v>
      </c>
      <c r="C23" s="5" t="s">
        <v>20</v>
      </c>
      <c r="D23" s="60" t="n">
        <v>3</v>
      </c>
      <c r="E23" s="10" t="n">
        <v>20717</v>
      </c>
      <c r="F23" s="51" t="n">
        <f aca="false">IF(AND(D23&gt;0,N(E23)&gt;0),E23/D23,"")</f>
        <v>6905.66666666667</v>
      </c>
      <c r="G23" s="42" t="n">
        <f aca="false">IFERROR(INDEX(Prices!$C$6:$C$300,MATCH(B23,Prices!$A$6:$A$300,0)),"")</f>
        <v>6767.5</v>
      </c>
      <c r="H23" s="8" t="n">
        <f aca="false">IF(ISNUMBER(G23),D23*G23,0)</f>
        <v>20302.5</v>
      </c>
      <c r="I23" s="8" t="n">
        <f aca="false">H23-N(E23)</f>
        <v>-414.5</v>
      </c>
      <c r="J23" s="9" t="n">
        <f aca="false">IF(N(E23)&gt;0,I23/E23,"")</f>
        <v>-0.0200077231259352</v>
      </c>
      <c r="K23" s="9" t="n">
        <f aca="false">IF($H$6=0,"",H23/$H$6)</f>
        <v>0.00374068148154393</v>
      </c>
      <c r="L23" s="10" t="n">
        <v>20805</v>
      </c>
      <c r="M23" s="51" t="n">
        <f aca="false">IF(ISNUMBER(L23),L23/D23,"")</f>
        <v>6935</v>
      </c>
      <c r="N23" s="8" t="n">
        <f aca="false">IF(ISNUMBER(L23),H23-L23,"")</f>
        <v>-502.5</v>
      </c>
      <c r="O23" s="61" t="s">
        <v>172</v>
      </c>
    </row>
    <row r="24" customFormat="false" ht="15" hidden="false" customHeight="false" outlineLevel="0" collapsed="false">
      <c r="A24" s="5" t="n">
        <v>18</v>
      </c>
      <c r="B24" s="5" t="s">
        <v>80</v>
      </c>
      <c r="C24" s="5" t="s">
        <v>20</v>
      </c>
      <c r="D24" s="60" t="n">
        <v>5</v>
      </c>
      <c r="E24" s="10" t="n">
        <v>14549</v>
      </c>
      <c r="F24" s="51" t="n">
        <f aca="false">IF(AND(D24&gt;0,N(E24)&gt;0),E24/D24,"")</f>
        <v>2909.8</v>
      </c>
      <c r="G24" s="42" t="n">
        <f aca="false">IFERROR(INDEX(Prices!$C$6:$C$300,MATCH(B24,Prices!$A$6:$A$300,0)),"")</f>
        <v>2876.3</v>
      </c>
      <c r="H24" s="8" t="n">
        <f aca="false">IF(ISNUMBER(G24),D24*G24,0)</f>
        <v>14381.5</v>
      </c>
      <c r="I24" s="8" t="n">
        <f aca="false">H24-N(E24)</f>
        <v>-167.5</v>
      </c>
      <c r="J24" s="9" t="n">
        <f aca="false">IF(N(E24)&gt;0,I24/E24,"")</f>
        <v>-0.0115128187504296</v>
      </c>
      <c r="K24" s="9" t="n">
        <f aca="false">IF($H$6=0,"",H24/$H$6)</f>
        <v>0.00264975302188519</v>
      </c>
      <c r="L24" s="10" t="n">
        <v>14550</v>
      </c>
      <c r="M24" s="51" t="n">
        <f aca="false">IF(ISNUMBER(L24),L24/D24,"")</f>
        <v>2910</v>
      </c>
      <c r="N24" s="8" t="n">
        <f aca="false">IF(ISNUMBER(L24),H24-L24,"")</f>
        <v>-168.5</v>
      </c>
      <c r="O24" s="61"/>
    </row>
    <row r="25" customFormat="false" ht="15" hidden="false" customHeight="false" outlineLevel="0" collapsed="false">
      <c r="A25" s="5" t="n">
        <v>19</v>
      </c>
      <c r="B25" s="5" t="s">
        <v>81</v>
      </c>
      <c r="C25" s="5" t="s">
        <v>20</v>
      </c>
      <c r="D25" s="60" t="n">
        <v>4</v>
      </c>
      <c r="E25" s="10" t="n">
        <v>14740</v>
      </c>
      <c r="F25" s="51" t="n">
        <f aca="false">IF(AND(D25&gt;0,N(E25)&gt;0),E25/D25,"")</f>
        <v>3685</v>
      </c>
      <c r="G25" s="42" t="n">
        <f aca="false">IFERROR(INDEX(Prices!$C$6:$C$300,MATCH(B25,Prices!$A$6:$A$300,0)),"")</f>
        <v>3585</v>
      </c>
      <c r="H25" s="8" t="n">
        <f aca="false">IF(ISNUMBER(G25),D25*G25,0)</f>
        <v>14340</v>
      </c>
      <c r="I25" s="8" t="n">
        <f aca="false">H25-N(E25)</f>
        <v>-400</v>
      </c>
      <c r="J25" s="9" t="n">
        <f aca="false">IF(N(E25)&gt;0,I25/E25,"")</f>
        <v>-0.0271370420624152</v>
      </c>
      <c r="K25" s="9" t="n">
        <f aca="false">IF($H$6=0,"",H25/$H$6)</f>
        <v>0.00264210675755892</v>
      </c>
      <c r="L25" s="10" t="n">
        <v>14270</v>
      </c>
      <c r="M25" s="51" t="n">
        <f aca="false">IF(ISNUMBER(L25),L25/D25,"")</f>
        <v>3567.5</v>
      </c>
      <c r="N25" s="8" t="n">
        <f aca="false">IF(ISNUMBER(L25),H25-L25,"")</f>
        <v>70</v>
      </c>
      <c r="O25" s="61"/>
    </row>
    <row r="26" customFormat="false" ht="15" hidden="false" customHeight="false" outlineLevel="0" collapsed="false">
      <c r="A26" s="5" t="n">
        <v>20</v>
      </c>
      <c r="B26" s="5" t="s">
        <v>87</v>
      </c>
      <c r="C26" s="5" t="s">
        <v>20</v>
      </c>
      <c r="D26" s="60" t="n">
        <v>8</v>
      </c>
      <c r="E26" s="10" t="n">
        <v>6760</v>
      </c>
      <c r="F26" s="51" t="n">
        <f aca="false">IF(AND(D26&gt;0,N(E26)&gt;0),E26/D26,"")</f>
        <v>845</v>
      </c>
      <c r="G26" s="42" t="n">
        <f aca="false">IFERROR(INDEX(Prices!$C$6:$C$300,MATCH(B26,Prices!$A$6:$A$300,0)),"")</f>
        <v>830.95</v>
      </c>
      <c r="H26" s="8" t="n">
        <f aca="false">IF(ISNUMBER(G26),D26*G26,0)</f>
        <v>6647.6</v>
      </c>
      <c r="I26" s="8" t="n">
        <f aca="false">H26-N(E26)</f>
        <v>-112.4</v>
      </c>
      <c r="J26" s="9" t="n">
        <f aca="false">IF(N(E26)&gt;0,I26/E26,"")</f>
        <v>-0.0166272189349112</v>
      </c>
      <c r="K26" s="9" t="n">
        <f aca="false">IF($H$6=0,"",H26/$H$6)</f>
        <v>0.00122480257193506</v>
      </c>
      <c r="L26" s="10" t="n">
        <v>6727</v>
      </c>
      <c r="M26" s="51" t="n">
        <f aca="false">IF(ISNUMBER(L26),L26/D26,"")</f>
        <v>840.875</v>
      </c>
      <c r="N26" s="8" t="n">
        <f aca="false">IF(ISNUMBER(L26),H26-L26,"")</f>
        <v>-79.3999999999996</v>
      </c>
      <c r="O26" s="61" t="s">
        <v>172</v>
      </c>
    </row>
    <row r="27" customFormat="false" ht="15" hidden="false" customHeight="false" outlineLevel="0" collapsed="false">
      <c r="A27" s="5" t="n">
        <v>21</v>
      </c>
      <c r="B27" s="5" t="s">
        <v>83</v>
      </c>
      <c r="C27" s="5" t="s">
        <v>20</v>
      </c>
      <c r="D27" s="60" t="n">
        <v>1</v>
      </c>
      <c r="E27" s="10" t="n">
        <v>1494</v>
      </c>
      <c r="F27" s="51" t="n">
        <f aca="false">IF(AND(D27&gt;0,N(E27)&gt;0),E27/D27,"")</f>
        <v>1494</v>
      </c>
      <c r="G27" s="42" t="n">
        <f aca="false">IFERROR(INDEX(Prices!$C$6:$C$300,MATCH(B27,Prices!$A$6:$A$300,0)),"")</f>
        <v>1319</v>
      </c>
      <c r="H27" s="8" t="n">
        <f aca="false">IF(ISNUMBER(G27),D27*G27,0)</f>
        <v>1319</v>
      </c>
      <c r="I27" s="8" t="n">
        <f aca="false">H27-N(E27)</f>
        <v>-175</v>
      </c>
      <c r="J27" s="9" t="n">
        <f aca="false">IF(N(E27)&gt;0,I27/E27,"")</f>
        <v>-0.117135207496653</v>
      </c>
      <c r="K27" s="9" t="n">
        <f aca="false">IF($H$6=0,"",H27/$H$6)</f>
        <v>0.000243022232442135</v>
      </c>
      <c r="L27" s="10" t="n">
        <v>1325</v>
      </c>
      <c r="M27" s="51" t="n">
        <f aca="false">IF(ISNUMBER(L27),L27/D27,"")</f>
        <v>1325</v>
      </c>
      <c r="N27" s="8" t="n">
        <f aca="false">IF(ISNUMBER(L27),H27-L27,"")</f>
        <v>-6</v>
      </c>
      <c r="O27" s="61"/>
    </row>
  </sheetData>
  <conditionalFormatting sqref="G7:G300">
    <cfRule type="expression" priority="2" aboveAverage="0" equalAverage="0" bottom="0" percent="0" rank="0" text="" dxfId="0">
      <formula>ISNUMBER(SEARCH("stale",INDEX(Prices!$D$6:$D$300,MATCH($B7,Prices!$A$6:$A$300,0))))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173</v>
      </c>
    </row>
    <row r="3" customFormat="false" ht="15" hidden="false" customHeight="false" outlineLevel="0" collapsed="false">
      <c r="A3" s="2" t="s">
        <v>146</v>
      </c>
    </row>
    <row r="5" customFormat="false" ht="31.5" hidden="false" customHeight="true" outlineLevel="0" collapsed="false">
      <c r="A5" s="22" t="s">
        <v>53</v>
      </c>
      <c r="B5" s="22" t="s">
        <v>147</v>
      </c>
      <c r="C5" s="22" t="s">
        <v>3</v>
      </c>
      <c r="D5" s="22" t="s">
        <v>148</v>
      </c>
      <c r="E5" s="22" t="s">
        <v>149</v>
      </c>
      <c r="F5" s="22" t="s">
        <v>58</v>
      </c>
      <c r="G5" s="22" t="s">
        <v>54</v>
      </c>
      <c r="H5" s="22" t="s">
        <v>8</v>
      </c>
      <c r="I5" s="22" t="s">
        <v>9</v>
      </c>
      <c r="J5" s="22" t="s">
        <v>10</v>
      </c>
      <c r="K5" s="22" t="s">
        <v>150</v>
      </c>
      <c r="L5" s="22" t="s">
        <v>151</v>
      </c>
      <c r="M5" s="22" t="s">
        <v>152</v>
      </c>
      <c r="N5" s="22" t="s">
        <v>153</v>
      </c>
      <c r="O5" s="22" t="s">
        <v>154</v>
      </c>
    </row>
    <row r="6" customFormat="false" ht="15" hidden="false" customHeight="false" outlineLevel="0" collapsed="false">
      <c r="A6" s="12"/>
      <c r="B6" s="12" t="s">
        <v>62</v>
      </c>
      <c r="C6" s="12"/>
      <c r="D6" s="12"/>
      <c r="E6" s="67" t="n">
        <f aca="false">SUM(E7:E38)</f>
        <v>5000486</v>
      </c>
      <c r="F6" s="12"/>
      <c r="G6" s="12"/>
      <c r="H6" s="67" t="n">
        <f aca="false">SUM(H7:H38)</f>
        <v>4672678.12</v>
      </c>
      <c r="I6" s="67" t="n">
        <f aca="false">H6-E6</f>
        <v>-327807.88</v>
      </c>
      <c r="J6" s="68" t="n">
        <f aca="false">IF(E6&gt;0,I6/E6,"")</f>
        <v>-0.0655552040341679</v>
      </c>
      <c r="K6" s="68" t="n">
        <f aca="false">SUM(K7:K38)</f>
        <v>1</v>
      </c>
      <c r="L6" s="67" t="n">
        <f aca="false">SUM(L7:L38)</f>
        <v>4762080</v>
      </c>
      <c r="M6" s="12"/>
      <c r="N6" s="67" t="n">
        <f aca="false">SUM(N7:N38)</f>
        <v>-89401.88</v>
      </c>
      <c r="O6" s="12"/>
    </row>
    <row r="7" customFormat="false" ht="15" hidden="false" customHeight="false" outlineLevel="0" collapsed="false">
      <c r="A7" s="5" t="n">
        <v>1</v>
      </c>
      <c r="B7" s="5" t="s">
        <v>63</v>
      </c>
      <c r="C7" s="5" t="s">
        <v>24</v>
      </c>
      <c r="D7" s="60" t="n">
        <v>1664</v>
      </c>
      <c r="E7" s="10" t="n">
        <v>1691323</v>
      </c>
      <c r="F7" s="51" t="n">
        <f aca="false">IF(AND(D7&gt;0,N(E7)&gt;0),E7/D7,"")</f>
        <v>1016.42007211538</v>
      </c>
      <c r="G7" s="42" t="n">
        <f aca="false">IFERROR(INDEX(Prices!$C$6:$C$300,MATCH(B7,Prices!$A$6:$A$300,0)),"")</f>
        <v>955.95</v>
      </c>
      <c r="H7" s="8" t="n">
        <f aca="false">IF(ISNUMBER(G7),D7*G7,0)</f>
        <v>1590700.8</v>
      </c>
      <c r="I7" s="8" t="n">
        <f aca="false">H7-N(E7)</f>
        <v>-100622.2</v>
      </c>
      <c r="J7" s="9" t="n">
        <f aca="false">IF(N(E7)&gt;0,I7/E7,"")</f>
        <v>-0.0594931896509419</v>
      </c>
      <c r="K7" s="9" t="n">
        <f aca="false">IF($H$6=0,"",H7/$H$6)</f>
        <v>0.340425931157441</v>
      </c>
      <c r="L7" s="10" t="n">
        <v>1632384</v>
      </c>
      <c r="M7" s="51" t="n">
        <f aca="false">IF(ISNUMBER(L7),L7/D7,"")</f>
        <v>981</v>
      </c>
      <c r="N7" s="8" t="n">
        <f aca="false">IF(ISNUMBER(L7),H7-L7,"")</f>
        <v>-41683.2</v>
      </c>
      <c r="O7" s="61"/>
    </row>
    <row r="8" customFormat="false" ht="15" hidden="false" customHeight="false" outlineLevel="0" collapsed="false">
      <c r="A8" s="5" t="n">
        <v>2</v>
      </c>
      <c r="B8" s="5" t="s">
        <v>65</v>
      </c>
      <c r="C8" s="5" t="s">
        <v>24</v>
      </c>
      <c r="D8" s="60" t="n">
        <v>1001</v>
      </c>
      <c r="E8" s="10" t="n">
        <v>470470</v>
      </c>
      <c r="F8" s="51" t="n">
        <f aca="false">IF(AND(D8&gt;0,N(E8)&gt;0),E8/D8,"")</f>
        <v>470</v>
      </c>
      <c r="G8" s="42" t="n">
        <f aca="false">IFERROR(INDEX(Prices!$C$6:$C$300,MATCH(B8,Prices!$A$6:$A$300,0)),"")</f>
        <v>437.9</v>
      </c>
      <c r="H8" s="8" t="n">
        <f aca="false">IF(ISNUMBER(G8),D8*G8,0)</f>
        <v>438337.9</v>
      </c>
      <c r="I8" s="8" t="n">
        <f aca="false">H8-N(E8)</f>
        <v>-32132.1</v>
      </c>
      <c r="J8" s="9" t="n">
        <f aca="false">IF(N(E8)&gt;0,I8/E8,"")</f>
        <v>-0.0682978723404256</v>
      </c>
      <c r="K8" s="9" t="n">
        <f aca="false">IF($H$6=0,"",H8/$H$6)</f>
        <v>0.093808708569894</v>
      </c>
      <c r="L8" s="10" t="n">
        <v>443443</v>
      </c>
      <c r="M8" s="51" t="n">
        <f aca="false">IF(ISNUMBER(L8),L8/D8,"")</f>
        <v>443</v>
      </c>
      <c r="N8" s="8" t="n">
        <f aca="false">IF(ISNUMBER(L8),H8-L8,"")</f>
        <v>-5105.10000000004</v>
      </c>
      <c r="O8" s="61"/>
    </row>
    <row r="9" customFormat="false" ht="15" hidden="false" customHeight="false" outlineLevel="0" collapsed="false">
      <c r="A9" s="5" t="n">
        <v>3</v>
      </c>
      <c r="B9" s="5" t="s">
        <v>71</v>
      </c>
      <c r="C9" s="5" t="s">
        <v>24</v>
      </c>
      <c r="D9" s="60" t="n">
        <v>300</v>
      </c>
      <c r="E9" s="10" t="n">
        <v>300000</v>
      </c>
      <c r="F9" s="51" t="n">
        <f aca="false">IF(AND(D9&gt;0,N(E9)&gt;0),E9/D9,"")</f>
        <v>1000</v>
      </c>
      <c r="G9" s="42" t="n">
        <f aca="false">IFERROR(INDEX(Prices!$C$6:$C$300,MATCH(B9,Prices!$A$6:$A$300,0)),"")</f>
        <v>1000</v>
      </c>
      <c r="H9" s="8" t="n">
        <f aca="false">IF(ISNUMBER(G9),D9*G9,0)</f>
        <v>300000</v>
      </c>
      <c r="I9" s="8" t="n">
        <f aca="false">H9-N(E9)</f>
        <v>0</v>
      </c>
      <c r="J9" s="9" t="n">
        <f aca="false">IF(N(E9)&gt;0,I9/E9,"")</f>
        <v>0</v>
      </c>
      <c r="K9" s="9" t="n">
        <f aca="false">IF($H$6=0,"",H9/$H$6)</f>
        <v>0.0642030099860591</v>
      </c>
      <c r="L9" s="10" t="n">
        <v>300000</v>
      </c>
      <c r="M9" s="51" t="n">
        <f aca="false">IF(ISNUMBER(L9),L9/D9,"")</f>
        <v>1000</v>
      </c>
      <c r="N9" s="8" t="n">
        <f aca="false">IF(ISNUMBER(L9),H9-L9,"")</f>
        <v>0</v>
      </c>
      <c r="O9" s="61"/>
    </row>
    <row r="10" customFormat="false" ht="15" hidden="false" customHeight="false" outlineLevel="0" collapsed="false">
      <c r="A10" s="5" t="n">
        <v>4</v>
      </c>
      <c r="B10" s="5" t="s">
        <v>66</v>
      </c>
      <c r="C10" s="5" t="s">
        <v>24</v>
      </c>
      <c r="D10" s="60" t="n">
        <v>390</v>
      </c>
      <c r="E10" s="10" t="n">
        <v>280566</v>
      </c>
      <c r="F10" s="51" t="n">
        <f aca="false">IF(AND(D10&gt;0,N(E10)&gt;0),E10/D10,"")</f>
        <v>719.4</v>
      </c>
      <c r="G10" s="42" t="n">
        <f aca="false">IFERROR(INDEX(Prices!$C$6:$C$300,MATCH(B10,Prices!$A$6:$A$300,0)),"")</f>
        <v>692.25</v>
      </c>
      <c r="H10" s="8" t="n">
        <f aca="false">IF(ISNUMBER(G10),D10*G10,0)</f>
        <v>269977.5</v>
      </c>
      <c r="I10" s="8" t="n">
        <f aca="false">H10-N(E10)</f>
        <v>-10588.5</v>
      </c>
      <c r="J10" s="9" t="n">
        <f aca="false">IF(N(E10)&gt;0,I10/E10,"")</f>
        <v>-0.0377397831526272</v>
      </c>
      <c r="K10" s="9" t="n">
        <f aca="false">IF($H$6=0,"",H10/$H$6)</f>
        <v>0.0577778937617043</v>
      </c>
      <c r="L10" s="10" t="n">
        <v>275730</v>
      </c>
      <c r="M10" s="51" t="n">
        <f aca="false">IF(ISNUMBER(L10),L10/D10,"")</f>
        <v>707</v>
      </c>
      <c r="N10" s="8" t="n">
        <f aca="false">IF(ISNUMBER(L10),H10-L10,"")</f>
        <v>-5752.5</v>
      </c>
      <c r="O10" s="61"/>
    </row>
    <row r="11" customFormat="false" ht="15" hidden="false" customHeight="false" outlineLevel="0" collapsed="false">
      <c r="A11" s="5" t="n">
        <v>5</v>
      </c>
      <c r="B11" s="5" t="s">
        <v>70</v>
      </c>
      <c r="C11" s="5" t="s">
        <v>24</v>
      </c>
      <c r="D11" s="60" t="n">
        <v>60</v>
      </c>
      <c r="E11" s="10" t="n">
        <v>273840</v>
      </c>
      <c r="F11" s="51" t="n">
        <f aca="false">IF(AND(D11&gt;0,N(E11)&gt;0),E11/D11,"")</f>
        <v>4564</v>
      </c>
      <c r="G11" s="42" t="n">
        <f aca="false">IFERROR(INDEX(Prices!$C$6:$C$300,MATCH(B11,Prices!$A$6:$A$300,0)),"")</f>
        <v>3915</v>
      </c>
      <c r="H11" s="8" t="n">
        <f aca="false">IF(ISNUMBER(G11),D11*G11,0)</f>
        <v>234900</v>
      </c>
      <c r="I11" s="8" t="n">
        <f aca="false">H11-N(E11)</f>
        <v>-38940</v>
      </c>
      <c r="J11" s="9" t="n">
        <f aca="false">IF(N(E11)&gt;0,I11/E11,"")</f>
        <v>-0.142199824715162</v>
      </c>
      <c r="K11" s="9" t="n">
        <f aca="false">IF($H$6=0,"",H11/$H$6)</f>
        <v>0.0502709568190843</v>
      </c>
      <c r="L11" s="10" t="n">
        <v>240420</v>
      </c>
      <c r="M11" s="51" t="n">
        <f aca="false">IF(ISNUMBER(L11),L11/D11,"")</f>
        <v>4007</v>
      </c>
      <c r="N11" s="8" t="n">
        <f aca="false">IF(ISNUMBER(L11),H11-L11,"")</f>
        <v>-5520</v>
      </c>
      <c r="O11" s="61" t="s">
        <v>170</v>
      </c>
    </row>
    <row r="12" customFormat="false" ht="15" hidden="false" customHeight="false" outlineLevel="0" collapsed="false">
      <c r="A12" s="5" t="n">
        <v>6</v>
      </c>
      <c r="B12" s="5" t="s">
        <v>68</v>
      </c>
      <c r="C12" s="5" t="s">
        <v>24</v>
      </c>
      <c r="D12" s="60" t="n">
        <v>800</v>
      </c>
      <c r="E12" s="10" t="n">
        <v>211200</v>
      </c>
      <c r="F12" s="51" t="n">
        <f aca="false">IF(AND(D12&gt;0,N(E12)&gt;0),E12/D12,"")</f>
        <v>264</v>
      </c>
      <c r="G12" s="42" t="n">
        <f aca="false">IFERROR(INDEX(Prices!$C$6:$C$300,MATCH(B12,Prices!$A$6:$A$300,0)),"")</f>
        <v>245</v>
      </c>
      <c r="H12" s="8" t="n">
        <f aca="false">IF(ISNUMBER(G12),D12*G12,0)</f>
        <v>196000</v>
      </c>
      <c r="I12" s="8" t="n">
        <f aca="false">H12-N(E12)</f>
        <v>-15200</v>
      </c>
      <c r="J12" s="9" t="n">
        <f aca="false">IF(N(E12)&gt;0,I12/E12,"")</f>
        <v>-0.071969696969697</v>
      </c>
      <c r="K12" s="9" t="n">
        <f aca="false">IF($H$6=0,"",H12/$H$6)</f>
        <v>0.0419459665242253</v>
      </c>
      <c r="L12" s="10" t="n">
        <v>196800</v>
      </c>
      <c r="M12" s="51" t="n">
        <f aca="false">IF(ISNUMBER(L12),L12/D12,"")</f>
        <v>246</v>
      </c>
      <c r="N12" s="8" t="n">
        <f aca="false">IF(ISNUMBER(L12),H12-L12,"")</f>
        <v>-800</v>
      </c>
      <c r="O12" s="61"/>
    </row>
    <row r="13" customFormat="false" ht="15" hidden="false" customHeight="false" outlineLevel="0" collapsed="false">
      <c r="A13" s="5" t="n">
        <v>7</v>
      </c>
      <c r="B13" s="5" t="s">
        <v>74</v>
      </c>
      <c r="C13" s="5" t="s">
        <v>24</v>
      </c>
      <c r="D13" s="60" t="n">
        <v>92</v>
      </c>
      <c r="E13" s="10" t="n">
        <v>210588</v>
      </c>
      <c r="F13" s="51" t="n">
        <f aca="false">IF(AND(D13&gt;0,N(E13)&gt;0),E13/D13,"")</f>
        <v>2289</v>
      </c>
      <c r="G13" s="42" t="n">
        <f aca="false">IFERROR(INDEX(Prices!$C$6:$C$300,MATCH(B13,Prices!$A$6:$A$300,0)),"")</f>
        <v>2076</v>
      </c>
      <c r="H13" s="8" t="n">
        <f aca="false">IF(ISNUMBER(G13),D13*G13,0)</f>
        <v>190992</v>
      </c>
      <c r="I13" s="8" t="n">
        <f aca="false">H13-N(E13)</f>
        <v>-19596</v>
      </c>
      <c r="J13" s="9" t="n">
        <f aca="false">IF(N(E13)&gt;0,I13/E13,"")</f>
        <v>-0.0930537352555701</v>
      </c>
      <c r="K13" s="9" t="n">
        <f aca="false">IF($H$6=0,"",H13/$H$6)</f>
        <v>0.0408742042775247</v>
      </c>
      <c r="L13" s="10" t="n">
        <v>194672</v>
      </c>
      <c r="M13" s="51" t="n">
        <f aca="false">IF(ISNUMBER(L13),L13/D13,"")</f>
        <v>2116</v>
      </c>
      <c r="N13" s="8" t="n">
        <f aca="false">IF(ISNUMBER(L13),H13-L13,"")</f>
        <v>-3680</v>
      </c>
      <c r="O13" s="61"/>
    </row>
    <row r="14" customFormat="false" ht="15" hidden="false" customHeight="false" outlineLevel="0" collapsed="false">
      <c r="A14" s="5" t="n">
        <v>8</v>
      </c>
      <c r="B14" s="5" t="s">
        <v>64</v>
      </c>
      <c r="C14" s="5" t="s">
        <v>24</v>
      </c>
      <c r="D14" s="60" t="n">
        <v>41</v>
      </c>
      <c r="E14" s="10" t="n">
        <v>197804</v>
      </c>
      <c r="F14" s="51" t="n">
        <f aca="false">IF(AND(D14&gt;0,N(E14)&gt;0),E14/D14,"")</f>
        <v>4824.48780487805</v>
      </c>
      <c r="G14" s="42" t="n">
        <f aca="false">IFERROR(INDEX(Prices!$C$6:$C$300,MATCH(B14,Prices!$A$6:$A$300,0)),"")</f>
        <v>4359.5</v>
      </c>
      <c r="H14" s="8" t="n">
        <f aca="false">IF(ISNUMBER(G14),D14*G14,0)</f>
        <v>178739.5</v>
      </c>
      <c r="I14" s="8" t="n">
        <f aca="false">H14-N(E14)</f>
        <v>-19064.5</v>
      </c>
      <c r="J14" s="9" t="n">
        <f aca="false">IF(N(E14)&gt;0,I14/E14,"")</f>
        <v>-0.0963807607530687</v>
      </c>
      <c r="K14" s="9" t="n">
        <f aca="false">IF($H$6=0,"",H14/$H$6)</f>
        <v>0.0382520463446774</v>
      </c>
      <c r="L14" s="10" t="n">
        <v>185156</v>
      </c>
      <c r="M14" s="51" t="n">
        <f aca="false">IF(ISNUMBER(L14),L14/D14,"")</f>
        <v>4516</v>
      </c>
      <c r="N14" s="8" t="n">
        <f aca="false">IF(ISNUMBER(L14),H14-L14,"")</f>
        <v>-6416.5</v>
      </c>
      <c r="O14" s="61"/>
    </row>
    <row r="15" customFormat="false" ht="15" hidden="false" customHeight="false" outlineLevel="0" collapsed="false">
      <c r="A15" s="5" t="n">
        <v>9</v>
      </c>
      <c r="B15" s="5" t="s">
        <v>67</v>
      </c>
      <c r="C15" s="5" t="s">
        <v>24</v>
      </c>
      <c r="D15" s="60" t="n">
        <v>120</v>
      </c>
      <c r="E15" s="10" t="n">
        <v>199920</v>
      </c>
      <c r="F15" s="51" t="n">
        <f aca="false">IF(AND(D15&gt;0,N(E15)&gt;0),E15/D15,"")</f>
        <v>1666</v>
      </c>
      <c r="G15" s="42" t="n">
        <f aca="false">IFERROR(INDEX(Prices!$C$6:$C$300,MATCH(B15,Prices!$A$6:$A$300,0)),"")</f>
        <v>1432.05</v>
      </c>
      <c r="H15" s="8" t="n">
        <f aca="false">IF(ISNUMBER(G15),D15*G15,0)</f>
        <v>171846</v>
      </c>
      <c r="I15" s="8" t="n">
        <f aca="false">H15-N(E15)</f>
        <v>-28074</v>
      </c>
      <c r="J15" s="9" t="n">
        <f aca="false">IF(N(E15)&gt;0,I15/E15,"")</f>
        <v>-0.140426170468187</v>
      </c>
      <c r="K15" s="9" t="n">
        <f aca="false">IF($H$6=0,"",H15/$H$6)</f>
        <v>0.0367767681802144</v>
      </c>
      <c r="L15" s="10" t="n">
        <v>177720</v>
      </c>
      <c r="M15" s="51" t="n">
        <f aca="false">IF(ISNUMBER(L15),L15/D15,"")</f>
        <v>1481</v>
      </c>
      <c r="N15" s="8" t="n">
        <f aca="false">IF(ISNUMBER(L15),H15-L15,"")</f>
        <v>-5874</v>
      </c>
      <c r="O15" s="61" t="s">
        <v>174</v>
      </c>
    </row>
    <row r="16" customFormat="false" ht="15" hidden="false" customHeight="false" outlineLevel="0" collapsed="false">
      <c r="A16" s="5" t="n">
        <v>10</v>
      </c>
      <c r="B16" s="5" t="s">
        <v>78</v>
      </c>
      <c r="C16" s="5" t="s">
        <v>24</v>
      </c>
      <c r="D16" s="60" t="n">
        <v>17</v>
      </c>
      <c r="E16" s="10" t="n">
        <v>126249</v>
      </c>
      <c r="F16" s="51" t="n">
        <f aca="false">IF(AND(D16&gt;0,N(E16)&gt;0),E16/D16,"")</f>
        <v>7426.41176470588</v>
      </c>
      <c r="G16" s="42" t="n">
        <f aca="false">IFERROR(INDEX(Prices!$C$6:$C$300,MATCH(B16,Prices!$A$6:$A$300,0)),"")</f>
        <v>6767.5</v>
      </c>
      <c r="H16" s="8" t="n">
        <f aca="false">IF(ISNUMBER(G16),D16*G16,0)</f>
        <v>115047.5</v>
      </c>
      <c r="I16" s="8" t="n">
        <f aca="false">H16-N(E16)</f>
        <v>-11201.5</v>
      </c>
      <c r="J16" s="9" t="n">
        <f aca="false">IF(N(E16)&gt;0,I16/E16,"")</f>
        <v>-0.0887254552511307</v>
      </c>
      <c r="K16" s="9" t="n">
        <f aca="false">IF($H$6=0,"",H16/$H$6)</f>
        <v>0.0246213193045705</v>
      </c>
      <c r="L16" s="10" t="n">
        <v>117640</v>
      </c>
      <c r="M16" s="51" t="n">
        <f aca="false">IF(ISNUMBER(L16),L16/D16,"")</f>
        <v>6920</v>
      </c>
      <c r="N16" s="8" t="n">
        <f aca="false">IF(ISNUMBER(L16),H16-L16,"")</f>
        <v>-2592.5</v>
      </c>
      <c r="O16" s="61"/>
    </row>
    <row r="17" customFormat="false" ht="15" hidden="false" customHeight="false" outlineLevel="0" collapsed="false">
      <c r="A17" s="5" t="n">
        <v>11</v>
      </c>
      <c r="B17" s="5" t="s">
        <v>69</v>
      </c>
      <c r="C17" s="5" t="s">
        <v>24</v>
      </c>
      <c r="D17" s="60" t="n">
        <v>1326</v>
      </c>
      <c r="E17" s="10" t="n">
        <v>110708</v>
      </c>
      <c r="F17" s="51" t="n">
        <f aca="false">IF(AND(D17&gt;0,N(E17)&gt;0),E17/D17,"")</f>
        <v>83.4901960784314</v>
      </c>
      <c r="G17" s="42" t="n">
        <f aca="false">IFERROR(INDEX(Prices!$C$6:$C$300,MATCH(B17,Prices!$A$6:$A$300,0)),"")</f>
        <v>82.14</v>
      </c>
      <c r="H17" s="8" t="n">
        <f aca="false">IF(ISNUMBER(G17),D17*G17,0)</f>
        <v>108917.64</v>
      </c>
      <c r="I17" s="8" t="n">
        <f aca="false">H17-N(E17)</f>
        <v>-1790.36</v>
      </c>
      <c r="J17" s="9" t="n">
        <f aca="false">IF(N(E17)&gt;0,I17/E17,"")</f>
        <v>-0.0161719116956318</v>
      </c>
      <c r="K17" s="9" t="n">
        <f aca="false">IF($H$6=0,"",H17/$H$6)</f>
        <v>0.0233094677619266</v>
      </c>
      <c r="L17" s="10" t="n">
        <v>109528</v>
      </c>
      <c r="M17" s="51" t="n">
        <f aca="false">IF(ISNUMBER(L17),L17/D17,"")</f>
        <v>82.6003016591252</v>
      </c>
      <c r="N17" s="8" t="n">
        <f aca="false">IF(ISNUMBER(L17),H17-L17,"")</f>
        <v>-610.360000000001</v>
      </c>
      <c r="O17" s="61"/>
    </row>
    <row r="18" customFormat="false" ht="15" hidden="false" customHeight="false" outlineLevel="0" collapsed="false">
      <c r="A18" s="5" t="n">
        <v>12</v>
      </c>
      <c r="B18" s="5" t="s">
        <v>76</v>
      </c>
      <c r="C18" s="5" t="s">
        <v>24</v>
      </c>
      <c r="D18" s="60" t="n">
        <v>34</v>
      </c>
      <c r="E18" s="10" t="n">
        <v>113506</v>
      </c>
      <c r="F18" s="51" t="n">
        <f aca="false">IF(AND(D18&gt;0,N(E18)&gt;0),E18/D18,"")</f>
        <v>3338.41176470588</v>
      </c>
      <c r="G18" s="42" t="n">
        <f aca="false">IFERROR(INDEX(Prices!$C$6:$C$300,MATCH(B18,Prices!$A$6:$A$300,0)),"")</f>
        <v>2996</v>
      </c>
      <c r="H18" s="8" t="n">
        <f aca="false">IF(ISNUMBER(G18),D18*G18,0)</f>
        <v>101864</v>
      </c>
      <c r="I18" s="8" t="n">
        <f aca="false">H18-N(E18)</f>
        <v>-11642</v>
      </c>
      <c r="J18" s="9" t="n">
        <f aca="false">IF(N(E18)&gt;0,I18/E18,"")</f>
        <v>-0.102567265166599</v>
      </c>
      <c r="K18" s="9" t="n">
        <f aca="false">IF($H$6=0,"",H18/$H$6)</f>
        <v>0.0217999180307331</v>
      </c>
      <c r="L18" s="10" t="n">
        <v>105740</v>
      </c>
      <c r="M18" s="51" t="n">
        <f aca="false">IF(ISNUMBER(L18),L18/D18,"")</f>
        <v>3110</v>
      </c>
      <c r="N18" s="8" t="n">
        <f aca="false">IF(ISNUMBER(L18),H18-L18,"")</f>
        <v>-3876</v>
      </c>
      <c r="O18" s="61"/>
    </row>
    <row r="19" customFormat="false" ht="15" hidden="false" customHeight="false" outlineLevel="0" collapsed="false">
      <c r="A19" s="5" t="n">
        <v>13</v>
      </c>
      <c r="B19" s="5" t="s">
        <v>84</v>
      </c>
      <c r="C19" s="5" t="s">
        <v>24</v>
      </c>
      <c r="D19" s="60" t="n">
        <v>20</v>
      </c>
      <c r="E19" s="10" t="n">
        <v>103860</v>
      </c>
      <c r="F19" s="51" t="n">
        <f aca="false">IF(AND(D19&gt;0,N(E19)&gt;0),E19/D19,"")</f>
        <v>5193</v>
      </c>
      <c r="G19" s="42" t="n">
        <f aca="false">IFERROR(INDEX(Prices!$C$6:$C$300,MATCH(B19,Prices!$A$6:$A$300,0)),"")</f>
        <v>4813.1</v>
      </c>
      <c r="H19" s="8" t="n">
        <f aca="false">IF(ISNUMBER(G19),D19*G19,0)</f>
        <v>96262</v>
      </c>
      <c r="I19" s="8" t="n">
        <f aca="false">H19-N(E19)</f>
        <v>-7598</v>
      </c>
      <c r="J19" s="9" t="n">
        <f aca="false">IF(N(E19)&gt;0,I19/E19,"")</f>
        <v>-0.07315617176969</v>
      </c>
      <c r="K19" s="9" t="n">
        <f aca="false">IF($H$6=0,"",H19/$H$6)</f>
        <v>0.0206010338242601</v>
      </c>
      <c r="L19" s="10" t="n">
        <v>98600</v>
      </c>
      <c r="M19" s="51" t="n">
        <f aca="false">IF(ISNUMBER(L19),L19/D19,"")</f>
        <v>4930</v>
      </c>
      <c r="N19" s="8" t="n">
        <f aca="false">IF(ISNUMBER(L19),H19-L19,"")</f>
        <v>-2338</v>
      </c>
      <c r="O19" s="61"/>
    </row>
    <row r="20" customFormat="false" ht="15" hidden="false" customHeight="false" outlineLevel="0" collapsed="false">
      <c r="A20" s="5" t="n">
        <v>14</v>
      </c>
      <c r="B20" s="5" t="s">
        <v>73</v>
      </c>
      <c r="C20" s="5" t="s">
        <v>24</v>
      </c>
      <c r="D20" s="60" t="n">
        <v>16</v>
      </c>
      <c r="E20" s="10" t="n">
        <v>88018</v>
      </c>
      <c r="F20" s="51" t="n">
        <f aca="false">IF(AND(D20&gt;0,N(E20)&gt;0),E20/D20,"")</f>
        <v>5501.125</v>
      </c>
      <c r="G20" s="42" t="n">
        <f aca="false">IFERROR(INDEX(Prices!$C$6:$C$300,MATCH(B20,Prices!$A$6:$A$300,0)),"")</f>
        <v>5468</v>
      </c>
      <c r="H20" s="8" t="n">
        <f aca="false">IF(ISNUMBER(G20),D20*G20,0)</f>
        <v>87488</v>
      </c>
      <c r="I20" s="8" t="n">
        <f aca="false">H20-N(E20)</f>
        <v>-530</v>
      </c>
      <c r="J20" s="9" t="n">
        <f aca="false">IF(N(E20)&gt;0,I20/E20,"")</f>
        <v>-0.00602149560317208</v>
      </c>
      <c r="K20" s="9" t="n">
        <f aca="false">IF($H$6=0,"",H20/$H$6)</f>
        <v>0.0187233097922011</v>
      </c>
      <c r="L20" s="10" t="n">
        <v>88704</v>
      </c>
      <c r="M20" s="51" t="n">
        <f aca="false">IF(ISNUMBER(L20),L20/D20,"")</f>
        <v>5544</v>
      </c>
      <c r="N20" s="8" t="n">
        <f aca="false">IF(ISNUMBER(L20),H20-L20,"")</f>
        <v>-1216</v>
      </c>
      <c r="O20" s="61"/>
    </row>
    <row r="21" customFormat="false" ht="15" hidden="false" customHeight="false" outlineLevel="0" collapsed="false">
      <c r="A21" s="5" t="n">
        <v>15</v>
      </c>
      <c r="B21" s="5" t="s">
        <v>77</v>
      </c>
      <c r="C21" s="5" t="s">
        <v>24</v>
      </c>
      <c r="D21" s="60" t="n">
        <v>58</v>
      </c>
      <c r="E21" s="10" t="n">
        <v>95198</v>
      </c>
      <c r="F21" s="51" t="n">
        <f aca="false">IF(AND(D21&gt;0,N(E21)&gt;0),E21/D21,"")</f>
        <v>1641.34482758621</v>
      </c>
      <c r="G21" s="42" t="n">
        <f aca="false">IFERROR(INDEX(Prices!$C$6:$C$300,MATCH(B21,Prices!$A$6:$A$300,0)),"")</f>
        <v>1401.4</v>
      </c>
      <c r="H21" s="8" t="n">
        <f aca="false">IF(ISNUMBER(G21),D21*G21,0)</f>
        <v>81281.2</v>
      </c>
      <c r="I21" s="8" t="n">
        <f aca="false">H21-N(E21)</f>
        <v>-13916.8</v>
      </c>
      <c r="J21" s="9" t="n">
        <f aca="false">IF(N(E21)&gt;0,I21/E21,"")</f>
        <v>-0.146187945124897</v>
      </c>
      <c r="K21" s="9" t="n">
        <f aca="false">IF($H$6=0,"",H21/$H$6)</f>
        <v>0.0173949923175962</v>
      </c>
      <c r="L21" s="10" t="n">
        <v>84100</v>
      </c>
      <c r="M21" s="51" t="n">
        <f aca="false">IF(ISNUMBER(L21),L21/D21,"")</f>
        <v>1450</v>
      </c>
      <c r="N21" s="8" t="n">
        <f aca="false">IF(ISNUMBER(L21),H21-L21,"")</f>
        <v>-2818.79999999999</v>
      </c>
      <c r="O21" s="61"/>
    </row>
    <row r="22" customFormat="false" ht="15" hidden="false" customHeight="false" outlineLevel="0" collapsed="false">
      <c r="A22" s="5" t="n">
        <v>16</v>
      </c>
      <c r="B22" s="5" t="s">
        <v>80</v>
      </c>
      <c r="C22" s="5" t="s">
        <v>24</v>
      </c>
      <c r="D22" s="60" t="n">
        <v>28</v>
      </c>
      <c r="E22" s="10" t="n">
        <v>77644</v>
      </c>
      <c r="F22" s="51" t="n">
        <f aca="false">IF(AND(D22&gt;0,N(E22)&gt;0),E22/D22,"")</f>
        <v>2773</v>
      </c>
      <c r="G22" s="42" t="n">
        <f aca="false">IFERROR(INDEX(Prices!$C$6:$C$300,MATCH(B22,Prices!$A$6:$A$300,0)),"")</f>
        <v>2876.3</v>
      </c>
      <c r="H22" s="8" t="n">
        <f aca="false">IF(ISNUMBER(G22),D22*G22,0)</f>
        <v>80536.4</v>
      </c>
      <c r="I22" s="8" t="n">
        <f aca="false">H22-N(E22)</f>
        <v>2892.40000000001</v>
      </c>
      <c r="J22" s="9" t="n">
        <f aca="false">IF(N(E22)&gt;0,I22/E22,"")</f>
        <v>0.0372520735665346</v>
      </c>
      <c r="K22" s="9" t="n">
        <f aca="false">IF($H$6=0,"",H22/$H$6)</f>
        <v>0.0172355976448042</v>
      </c>
      <c r="L22" s="10" t="n">
        <v>72240</v>
      </c>
      <c r="M22" s="51" t="n">
        <f aca="false">IF(ISNUMBER(L22),L22/D22,"")</f>
        <v>2580</v>
      </c>
      <c r="N22" s="8" t="n">
        <f aca="false">IF(ISNUMBER(L22),H22-L22,"")</f>
        <v>8296.40000000001</v>
      </c>
      <c r="O22" s="61"/>
    </row>
    <row r="23" customFormat="false" ht="15" hidden="false" customHeight="false" outlineLevel="0" collapsed="false">
      <c r="A23" s="5" t="n">
        <v>17</v>
      </c>
      <c r="B23" s="5" t="s">
        <v>75</v>
      </c>
      <c r="C23" s="5" t="s">
        <v>24</v>
      </c>
      <c r="D23" s="60" t="n">
        <v>25</v>
      </c>
      <c r="E23" s="10" t="n">
        <v>84761</v>
      </c>
      <c r="F23" s="51" t="n">
        <f aca="false">IF(AND(D23&gt;0,N(E23)&gt;0),E23/D23,"")</f>
        <v>3390.44</v>
      </c>
      <c r="G23" s="42" t="n">
        <f aca="false">IFERROR(INDEX(Prices!$C$6:$C$300,MATCH(B23,Prices!$A$6:$A$300,0)),"")</f>
        <v>3176.6</v>
      </c>
      <c r="H23" s="8" t="n">
        <f aca="false">IF(ISNUMBER(G23),D23*G23,0)</f>
        <v>79415</v>
      </c>
      <c r="I23" s="8" t="n">
        <f aca="false">H23-N(E23)</f>
        <v>-5346</v>
      </c>
      <c r="J23" s="9" t="n">
        <f aca="false">IF(N(E23)&gt;0,I23/E23,"")</f>
        <v>-0.0630714597515367</v>
      </c>
      <c r="K23" s="9" t="n">
        <f aca="false">IF($H$6=0,"",H23/$H$6)</f>
        <v>0.0169956067934763</v>
      </c>
      <c r="L23" s="10" t="n">
        <v>81700</v>
      </c>
      <c r="M23" s="51" t="n">
        <f aca="false">IF(ISNUMBER(L23),L23/D23,"")</f>
        <v>3268</v>
      </c>
      <c r="N23" s="8" t="n">
        <f aca="false">IF(ISNUMBER(L23),H23-L23,"")</f>
        <v>-2285</v>
      </c>
      <c r="O23" s="61"/>
    </row>
    <row r="24" customFormat="false" ht="15" hidden="false" customHeight="false" outlineLevel="0" collapsed="false">
      <c r="A24" s="5" t="n">
        <v>18</v>
      </c>
      <c r="B24" s="5" t="s">
        <v>81</v>
      </c>
      <c r="C24" s="5" t="s">
        <v>24</v>
      </c>
      <c r="D24" s="60" t="n">
        <v>21</v>
      </c>
      <c r="E24" s="10" t="n">
        <v>80409</v>
      </c>
      <c r="F24" s="51" t="n">
        <f aca="false">IF(AND(D24&gt;0,N(E24)&gt;0),E24/D24,"")</f>
        <v>3829</v>
      </c>
      <c r="G24" s="42" t="n">
        <f aca="false">IFERROR(INDEX(Prices!$C$6:$C$300,MATCH(B24,Prices!$A$6:$A$300,0)),"")</f>
        <v>3585</v>
      </c>
      <c r="H24" s="8" t="n">
        <f aca="false">IF(ISNUMBER(G24),D24*G24,0)</f>
        <v>75285</v>
      </c>
      <c r="I24" s="8" t="n">
        <f aca="false">H24-N(E24)</f>
        <v>-5124</v>
      </c>
      <c r="J24" s="9" t="n">
        <f aca="false">IF(N(E24)&gt;0,I24/E24,"")</f>
        <v>-0.0637242099764952</v>
      </c>
      <c r="K24" s="9" t="n">
        <f aca="false">IF($H$6=0,"",H24/$H$6)</f>
        <v>0.0161117453560015</v>
      </c>
      <c r="L24" s="10" t="n">
        <v>80073</v>
      </c>
      <c r="M24" s="51" t="n">
        <f aca="false">IF(ISNUMBER(L24),L24/D24,"")</f>
        <v>3813</v>
      </c>
      <c r="N24" s="8" t="n">
        <f aca="false">IF(ISNUMBER(L24),H24-L24,"")</f>
        <v>-4788</v>
      </c>
      <c r="O24" s="61"/>
    </row>
    <row r="25" customFormat="false" ht="15" hidden="false" customHeight="false" outlineLevel="0" collapsed="false">
      <c r="A25" s="5" t="n">
        <v>19</v>
      </c>
      <c r="B25" s="5" t="s">
        <v>86</v>
      </c>
      <c r="C25" s="5" t="s">
        <v>24</v>
      </c>
      <c r="D25" s="60" t="n">
        <v>24</v>
      </c>
      <c r="E25" s="10" t="n">
        <v>61261</v>
      </c>
      <c r="F25" s="51" t="n">
        <f aca="false">IF(AND(D25&gt;0,N(E25)&gt;0),E25/D25,"")</f>
        <v>2552.54166666667</v>
      </c>
      <c r="G25" s="42" t="n">
        <f aca="false">IFERROR(INDEX(Prices!$C$6:$C$300,MATCH(B25,Prices!$A$6:$A$300,0)),"")</f>
        <v>2317</v>
      </c>
      <c r="H25" s="8" t="n">
        <f aca="false">IF(ISNUMBER(G25),D25*G25,0)</f>
        <v>55608</v>
      </c>
      <c r="I25" s="8" t="n">
        <f aca="false">H25-N(E25)</f>
        <v>-5653</v>
      </c>
      <c r="J25" s="9" t="n">
        <f aca="false">IF(N(E25)&gt;0,I25/E25,"")</f>
        <v>-0.0922773053002726</v>
      </c>
      <c r="K25" s="9" t="n">
        <f aca="false">IF($H$6=0,"",H25/$H$6)</f>
        <v>0.0119006699310159</v>
      </c>
      <c r="L25" s="10" t="n">
        <v>56160</v>
      </c>
      <c r="M25" s="51" t="n">
        <f aca="false">IF(ISNUMBER(L25),L25/D25,"")</f>
        <v>2340</v>
      </c>
      <c r="N25" s="8" t="n">
        <f aca="false">IF(ISNUMBER(L25),H25-L25,"")</f>
        <v>-552</v>
      </c>
      <c r="O25" s="61"/>
    </row>
    <row r="26" customFormat="false" ht="15" hidden="false" customHeight="false" outlineLevel="0" collapsed="false">
      <c r="A26" s="5" t="n">
        <v>20</v>
      </c>
      <c r="B26" s="5" t="s">
        <v>87</v>
      </c>
      <c r="C26" s="5" t="s">
        <v>24</v>
      </c>
      <c r="D26" s="60" t="n">
        <v>63</v>
      </c>
      <c r="E26" s="10" t="n">
        <v>52533</v>
      </c>
      <c r="F26" s="51" t="n">
        <f aca="false">IF(AND(D26&gt;0,N(E26)&gt;0),E26/D26,"")</f>
        <v>833.857142857143</v>
      </c>
      <c r="G26" s="42" t="n">
        <f aca="false">IFERROR(INDEX(Prices!$C$6:$C$300,MATCH(B26,Prices!$A$6:$A$300,0)),"")</f>
        <v>830.95</v>
      </c>
      <c r="H26" s="8" t="n">
        <f aca="false">IF(ISNUMBER(G26),D26*G26,0)</f>
        <v>52349.85</v>
      </c>
      <c r="I26" s="8" t="n">
        <f aca="false">H26-N(E26)</f>
        <v>-183.149999999994</v>
      </c>
      <c r="J26" s="9" t="n">
        <f aca="false">IF(N(E26)&gt;0,I26/E26,"")</f>
        <v>-0.00348637998972064</v>
      </c>
      <c r="K26" s="9" t="n">
        <f aca="false">IF($H$6=0,"",H26/$H$6)</f>
        <v>0.0112033931410623</v>
      </c>
      <c r="L26" s="10" t="n">
        <v>52983</v>
      </c>
      <c r="M26" s="51" t="n">
        <f aca="false">IF(ISNUMBER(L26),L26/D26,"")</f>
        <v>841</v>
      </c>
      <c r="N26" s="8" t="n">
        <f aca="false">IF(ISNUMBER(L26),H26-L26,"")</f>
        <v>-633.149999999994</v>
      </c>
      <c r="O26" s="61"/>
    </row>
    <row r="27" customFormat="false" ht="15" hidden="false" customHeight="false" outlineLevel="0" collapsed="false">
      <c r="A27" s="5" t="n">
        <v>21</v>
      </c>
      <c r="B27" s="5" t="s">
        <v>72</v>
      </c>
      <c r="C27" s="5" t="s">
        <v>24</v>
      </c>
      <c r="D27" s="60" t="n">
        <v>692</v>
      </c>
      <c r="E27" s="10" t="n">
        <v>39486</v>
      </c>
      <c r="F27" s="51" t="n">
        <f aca="false">IF(AND(D27&gt;0,N(E27)&gt;0),E27/D27,"")</f>
        <v>57.0606936416185</v>
      </c>
      <c r="G27" s="42" t="n">
        <f aca="false">IFERROR(INDEX(Prices!$C$6:$C$300,MATCH(B27,Prices!$A$6:$A$300,0)),"")</f>
        <v>55.99</v>
      </c>
      <c r="H27" s="8" t="n">
        <f aca="false">IF(ISNUMBER(G27),D27*G27,0)</f>
        <v>38745.08</v>
      </c>
      <c r="I27" s="8" t="n">
        <f aca="false">H27-N(E27)</f>
        <v>-740.919999999998</v>
      </c>
      <c r="J27" s="9" t="n">
        <f aca="false">IF(N(E27)&gt;0,I27/E27,"")</f>
        <v>-0.0187641189282277</v>
      </c>
      <c r="K27" s="9" t="n">
        <f aca="false">IF($H$6=0,"",H27/$H$6)</f>
        <v>0.0082918358605022</v>
      </c>
      <c r="L27" s="10" t="n">
        <v>38544</v>
      </c>
      <c r="M27" s="51" t="n">
        <f aca="false">IF(ISNUMBER(L27),L27/D27,"")</f>
        <v>55.6994219653179</v>
      </c>
      <c r="N27" s="8" t="n">
        <f aca="false">IF(ISNUMBER(L27),H27-L27,"")</f>
        <v>201.080000000002</v>
      </c>
      <c r="O27" s="61"/>
    </row>
    <row r="28" customFormat="false" ht="15" hidden="false" customHeight="false" outlineLevel="0" collapsed="false">
      <c r="A28" s="5" t="n">
        <v>22</v>
      </c>
      <c r="B28" s="5" t="s">
        <v>83</v>
      </c>
      <c r="C28" s="5" t="s">
        <v>24</v>
      </c>
      <c r="D28" s="60" t="n">
        <v>22</v>
      </c>
      <c r="E28" s="10" t="n">
        <v>27683</v>
      </c>
      <c r="F28" s="51" t="n">
        <f aca="false">IF(AND(D28&gt;0,N(E28)&gt;0),E28/D28,"")</f>
        <v>1258.31818181818</v>
      </c>
      <c r="G28" s="42" t="n">
        <f aca="false">IFERROR(INDEX(Prices!$C$6:$C$300,MATCH(B28,Prices!$A$6:$A$300,0)),"")</f>
        <v>1319</v>
      </c>
      <c r="H28" s="8" t="n">
        <f aca="false">IF(ISNUMBER(G28),D28*G28,0)</f>
        <v>29018</v>
      </c>
      <c r="I28" s="8" t="n">
        <f aca="false">H28-N(E28)</f>
        <v>1335</v>
      </c>
      <c r="J28" s="9" t="n">
        <f aca="false">IF(N(E28)&gt;0,I28/E28,"")</f>
        <v>0.0482245421377741</v>
      </c>
      <c r="K28" s="9" t="n">
        <f aca="false">IF($H$6=0,"",H28/$H$6)</f>
        <v>0.00621014314591821</v>
      </c>
      <c r="L28" s="10" t="n">
        <v>28776</v>
      </c>
      <c r="M28" s="51" t="n">
        <f aca="false">IF(ISNUMBER(L28),L28/D28,"")</f>
        <v>1308</v>
      </c>
      <c r="N28" s="8" t="n">
        <f aca="false">IF(ISNUMBER(L28),H28-L28,"")</f>
        <v>242</v>
      </c>
      <c r="O28" s="61"/>
    </row>
    <row r="29" customFormat="false" ht="15" hidden="false" customHeight="false" outlineLevel="0" collapsed="false">
      <c r="A29" s="5" t="n">
        <v>23</v>
      </c>
      <c r="B29" s="5" t="s">
        <v>98</v>
      </c>
      <c r="C29" s="5" t="s">
        <v>24</v>
      </c>
      <c r="D29" s="60" t="n">
        <v>80</v>
      </c>
      <c r="E29" s="10" t="n">
        <v>25126</v>
      </c>
      <c r="F29" s="51" t="n">
        <f aca="false">IF(AND(D29&gt;0,N(E29)&gt;0),E29/D29,"")</f>
        <v>314.075</v>
      </c>
      <c r="G29" s="42" t="n">
        <f aca="false">IFERROR(INDEX(Prices!$C$6:$C$300,MATCH(B29,Prices!$A$6:$A$300,0)),"")</f>
        <v>307.05</v>
      </c>
      <c r="H29" s="8" t="n">
        <f aca="false">IF(ISNUMBER(G29),D29*G29,0)</f>
        <v>24564</v>
      </c>
      <c r="I29" s="8" t="n">
        <f aca="false">H29-N(E29)</f>
        <v>-562</v>
      </c>
      <c r="J29" s="9" t="n">
        <f aca="false">IF(N(E29)&gt;0,I29/E29,"")</f>
        <v>-0.0223672689644193</v>
      </c>
      <c r="K29" s="9" t="n">
        <f aca="false">IF($H$6=0,"",H29/$H$6)</f>
        <v>0.00525694245765852</v>
      </c>
      <c r="L29" s="10" t="n">
        <v>25120</v>
      </c>
      <c r="M29" s="51" t="n">
        <f aca="false">IF(ISNUMBER(L29),L29/D29,"")</f>
        <v>314</v>
      </c>
      <c r="N29" s="8" t="n">
        <f aca="false">IF(ISNUMBER(L29),H29-L29,"")</f>
        <v>-556</v>
      </c>
      <c r="O29" s="61"/>
    </row>
    <row r="30" customFormat="false" ht="15" hidden="false" customHeight="false" outlineLevel="0" collapsed="false">
      <c r="A30" s="5" t="n">
        <v>24</v>
      </c>
      <c r="B30" s="5" t="s">
        <v>110</v>
      </c>
      <c r="C30" s="5" t="s">
        <v>24</v>
      </c>
      <c r="D30" s="60" t="n">
        <v>250</v>
      </c>
      <c r="E30" s="10" t="n">
        <v>19250</v>
      </c>
      <c r="F30" s="51" t="n">
        <f aca="false">IF(AND(D30&gt;0,N(E30)&gt;0),E30/D30,"")</f>
        <v>77</v>
      </c>
      <c r="G30" s="42" t="n">
        <f aca="false">IFERROR(INDEX(Prices!$C$6:$C$300,MATCH(B30,Prices!$A$6:$A$300,0)),"")</f>
        <v>65.8</v>
      </c>
      <c r="H30" s="8" t="n">
        <f aca="false">IF(ISNUMBER(G30),D30*G30,0)</f>
        <v>16450</v>
      </c>
      <c r="I30" s="8" t="n">
        <f aca="false">H30-N(E30)</f>
        <v>-2800</v>
      </c>
      <c r="J30" s="9" t="n">
        <f aca="false">IF(N(E30)&gt;0,I30/E30,"")</f>
        <v>-0.145454545454545</v>
      </c>
      <c r="K30" s="9" t="n">
        <f aca="false">IF($H$6=0,"",H30/$H$6)</f>
        <v>0.00352046504756891</v>
      </c>
      <c r="L30" s="10" t="n">
        <v>16850</v>
      </c>
      <c r="M30" s="51" t="n">
        <f aca="false">IF(ISNUMBER(L30),L30/D30,"")</f>
        <v>67.4</v>
      </c>
      <c r="N30" s="8" t="n">
        <f aca="false">IF(ISNUMBER(L30),H30-L30,"")</f>
        <v>-400</v>
      </c>
      <c r="O30" s="61"/>
    </row>
    <row r="31" customFormat="false" ht="15" hidden="false" customHeight="false" outlineLevel="0" collapsed="false">
      <c r="A31" s="5" t="n">
        <v>25</v>
      </c>
      <c r="B31" s="5" t="s">
        <v>114</v>
      </c>
      <c r="C31" s="5" t="s">
        <v>24</v>
      </c>
      <c r="D31" s="60" t="n">
        <v>150</v>
      </c>
      <c r="E31" s="10" t="n">
        <v>16050</v>
      </c>
      <c r="F31" s="51" t="n">
        <f aca="false">IF(AND(D31&gt;0,N(E31)&gt;0),E31/D31,"")</f>
        <v>107</v>
      </c>
      <c r="G31" s="42" t="n">
        <f aca="false">IFERROR(INDEX(Prices!$C$6:$C$300,MATCH(B31,Prices!$A$6:$A$300,0)),"")</f>
        <v>106.52</v>
      </c>
      <c r="H31" s="8" t="n">
        <f aca="false">IF(ISNUMBER(G31),D31*G31,0)</f>
        <v>15978</v>
      </c>
      <c r="I31" s="8" t="n">
        <f aca="false">H31-N(E31)</f>
        <v>-72</v>
      </c>
      <c r="J31" s="9" t="n">
        <f aca="false">IF(N(E31)&gt;0,I31/E31,"")</f>
        <v>-0.00448598130841122</v>
      </c>
      <c r="K31" s="9" t="n">
        <f aca="false">IF($H$6=0,"",H31/$H$6)</f>
        <v>0.00341945231185751</v>
      </c>
      <c r="L31" s="10" t="n">
        <v>16050</v>
      </c>
      <c r="M31" s="51" t="n">
        <f aca="false">IF(ISNUMBER(L31),L31/D31,"")</f>
        <v>107</v>
      </c>
      <c r="N31" s="8" t="n">
        <f aca="false">IF(ISNUMBER(L31),H31-L31,"")</f>
        <v>-72</v>
      </c>
      <c r="O31" s="61"/>
    </row>
    <row r="32" customFormat="false" ht="15" hidden="false" customHeight="false" outlineLevel="0" collapsed="false">
      <c r="A32" s="5" t="n">
        <v>26</v>
      </c>
      <c r="B32" s="5" t="s">
        <v>118</v>
      </c>
      <c r="C32" s="5" t="s">
        <v>24</v>
      </c>
      <c r="D32" s="60" t="n">
        <v>121</v>
      </c>
      <c r="E32" s="10" t="n">
        <v>13310</v>
      </c>
      <c r="F32" s="51" t="n">
        <f aca="false">IF(AND(D32&gt;0,N(E32)&gt;0),E32/D32,"")</f>
        <v>110</v>
      </c>
      <c r="G32" s="42" t="n">
        <f aca="false">IFERROR(INDEX(Prices!$C$6:$C$300,MATCH(B32,Prices!$A$6:$A$300,0)),"")</f>
        <v>121</v>
      </c>
      <c r="H32" s="8" t="n">
        <f aca="false">IF(ISNUMBER(G32),D32*G32,0)</f>
        <v>14641</v>
      </c>
      <c r="I32" s="8" t="n">
        <f aca="false">H32-N(E32)</f>
        <v>1331</v>
      </c>
      <c r="J32" s="9" t="n">
        <f aca="false">IF(N(E32)&gt;0,I32/E32,"")</f>
        <v>0.1</v>
      </c>
      <c r="K32" s="9" t="n">
        <f aca="false">IF($H$6=0,"",H32/$H$6)</f>
        <v>0.00313332089735297</v>
      </c>
      <c r="L32" s="10" t="n">
        <v>14883</v>
      </c>
      <c r="M32" s="51" t="n">
        <f aca="false">IF(ISNUMBER(L32),L32/D32,"")</f>
        <v>123</v>
      </c>
      <c r="N32" s="8" t="n">
        <f aca="false">IF(ISNUMBER(L32),H32-L32,"")</f>
        <v>-242</v>
      </c>
      <c r="O32" s="61"/>
    </row>
    <row r="33" customFormat="false" ht="15" hidden="false" customHeight="false" outlineLevel="0" collapsed="false">
      <c r="A33" s="5" t="n">
        <v>27</v>
      </c>
      <c r="B33" s="5" t="s">
        <v>82</v>
      </c>
      <c r="C33" s="5" t="s">
        <v>24</v>
      </c>
      <c r="D33" s="60" t="n">
        <v>10</v>
      </c>
      <c r="E33" s="10" t="n">
        <v>11941</v>
      </c>
      <c r="F33" s="51" t="n">
        <f aca="false">IF(AND(D33&gt;0,N(E33)&gt;0),E33/D33,"")</f>
        <v>1194.1</v>
      </c>
      <c r="G33" s="42" t="n">
        <f aca="false">IFERROR(INDEX(Prices!$C$6:$C$300,MATCH(B33,Prices!$A$6:$A$300,0)),"")</f>
        <v>1120.8</v>
      </c>
      <c r="H33" s="8" t="n">
        <f aca="false">IF(ISNUMBER(G33),D33*G33,0)</f>
        <v>11208</v>
      </c>
      <c r="I33" s="8" t="n">
        <f aca="false">H33-N(E33)</f>
        <v>-733</v>
      </c>
      <c r="J33" s="9" t="n">
        <f aca="false">IF(N(E33)&gt;0,I33/E33,"")</f>
        <v>-0.0613851436228122</v>
      </c>
      <c r="K33" s="9" t="n">
        <f aca="false">IF($H$6=0,"",H33/$H$6)</f>
        <v>0.00239862445307917</v>
      </c>
      <c r="L33" s="10" t="n">
        <v>12080</v>
      </c>
      <c r="M33" s="51" t="n">
        <f aca="false">IF(ISNUMBER(L33),L33/D33,"")</f>
        <v>1208</v>
      </c>
      <c r="N33" s="8" t="n">
        <f aca="false">IF(ISNUMBER(L33),H33-L33,"")</f>
        <v>-872</v>
      </c>
      <c r="O33" s="61"/>
    </row>
    <row r="34" customFormat="false" ht="15" hidden="false" customHeight="false" outlineLevel="0" collapsed="false">
      <c r="A34" s="5" t="n">
        <v>28</v>
      </c>
      <c r="B34" s="5" t="s">
        <v>122</v>
      </c>
      <c r="C34" s="5" t="s">
        <v>24</v>
      </c>
      <c r="D34" s="60" t="n">
        <v>5</v>
      </c>
      <c r="E34" s="10" t="n">
        <v>9610</v>
      </c>
      <c r="F34" s="51" t="n">
        <f aca="false">IF(AND(D34&gt;0,N(E34)&gt;0),E34/D34,"")</f>
        <v>1922</v>
      </c>
      <c r="G34" s="42" t="n">
        <f aca="false">IFERROR(INDEX(Prices!$C$6:$C$300,MATCH(B34,Prices!$A$6:$A$300,0)),"")</f>
        <v>1804.6</v>
      </c>
      <c r="H34" s="8" t="n">
        <f aca="false">IF(ISNUMBER(G34),D34*G34,0)</f>
        <v>9023</v>
      </c>
      <c r="I34" s="8" t="n">
        <f aca="false">H34-N(E34)</f>
        <v>-587</v>
      </c>
      <c r="J34" s="9" t="n">
        <f aca="false">IF(N(E34)&gt;0,I34/E34,"")</f>
        <v>-0.0610822060353798</v>
      </c>
      <c r="K34" s="9" t="n">
        <f aca="false">IF($H$6=0,"",H34/$H$6)</f>
        <v>0.00193101253034737</v>
      </c>
      <c r="L34" s="10" t="n">
        <v>8705</v>
      </c>
      <c r="M34" s="51" t="n">
        <f aca="false">IF(ISNUMBER(L34),L34/D34,"")</f>
        <v>1741</v>
      </c>
      <c r="N34" s="8" t="n">
        <f aca="false">IF(ISNUMBER(L34),H34-L34,"")</f>
        <v>318</v>
      </c>
      <c r="O34" s="61"/>
    </row>
    <row r="35" customFormat="false" ht="15" hidden="false" customHeight="false" outlineLevel="0" collapsed="false">
      <c r="A35" s="5" t="n">
        <v>29</v>
      </c>
      <c r="B35" s="5" t="s">
        <v>124</v>
      </c>
      <c r="C35" s="5" t="s">
        <v>24</v>
      </c>
      <c r="D35" s="60" t="n">
        <v>25</v>
      </c>
      <c r="E35" s="10" t="n">
        <v>4500</v>
      </c>
      <c r="F35" s="51" t="n">
        <f aca="false">IF(AND(D35&gt;0,N(E35)&gt;0),E35/D35,"")</f>
        <v>180</v>
      </c>
      <c r="G35" s="42" t="n">
        <f aca="false">IFERROR(INDEX(Prices!$C$6:$C$300,MATCH(B35,Prices!$A$6:$A$300,0)),"")</f>
        <v>162.95</v>
      </c>
      <c r="H35" s="8" t="n">
        <f aca="false">IF(ISNUMBER(G35),D35*G35,0)</f>
        <v>4073.75</v>
      </c>
      <c r="I35" s="8" t="n">
        <f aca="false">H35-N(E35)</f>
        <v>-426.25</v>
      </c>
      <c r="J35" s="9" t="n">
        <f aca="false">IF(N(E35)&gt;0,I35/E35,"")</f>
        <v>-0.0947222222222223</v>
      </c>
      <c r="K35" s="9" t="n">
        <f aca="false">IF($H$6=0,"",H35/$H$6)</f>
        <v>0.000871823373102361</v>
      </c>
      <c r="L35" s="10" t="n">
        <v>3850</v>
      </c>
      <c r="M35" s="51" t="n">
        <f aca="false">IF(ISNUMBER(L35),L35/D35,"")</f>
        <v>154</v>
      </c>
      <c r="N35" s="8" t="n">
        <f aca="false">IF(ISNUMBER(L35),H35-L35,"")</f>
        <v>223.75</v>
      </c>
      <c r="O35" s="61"/>
    </row>
    <row r="36" customFormat="false" ht="15" hidden="false" customHeight="false" outlineLevel="0" collapsed="false">
      <c r="A36" s="5" t="n">
        <v>30</v>
      </c>
      <c r="B36" s="5" t="s">
        <v>113</v>
      </c>
      <c r="C36" s="5" t="s">
        <v>24</v>
      </c>
      <c r="D36" s="60" t="n">
        <v>27</v>
      </c>
      <c r="E36" s="10" t="n">
        <v>3672</v>
      </c>
      <c r="F36" s="51" t="n">
        <f aca="false">IF(AND(D36&gt;0,N(E36)&gt;0),E36/D36,"")</f>
        <v>136</v>
      </c>
      <c r="G36" s="42" t="n">
        <f aca="false">IFERROR(INDEX(Prices!$C$6:$C$300,MATCH(B36,Prices!$A$6:$A$300,0)),"")</f>
        <v>127</v>
      </c>
      <c r="H36" s="8" t="n">
        <f aca="false">IF(ISNUMBER(G36),D36*G36,0)</f>
        <v>3429</v>
      </c>
      <c r="I36" s="8" t="n">
        <f aca="false">H36-N(E36)</f>
        <v>-243</v>
      </c>
      <c r="J36" s="9" t="n">
        <f aca="false">IF(N(E36)&gt;0,I36/E36,"")</f>
        <v>-0.0661764705882353</v>
      </c>
      <c r="K36" s="9" t="n">
        <f aca="false">IF($H$6=0,"",H36/$H$6)</f>
        <v>0.000733840404140656</v>
      </c>
      <c r="L36" s="10" t="n">
        <v>3429</v>
      </c>
      <c r="M36" s="51" t="n">
        <f aca="false">IF(ISNUMBER(L36),L36/D36,"")</f>
        <v>127</v>
      </c>
      <c r="N36" s="8" t="n">
        <f aca="false">IF(ISNUMBER(L36),H36-L36,"")</f>
        <v>0</v>
      </c>
      <c r="O36" s="61"/>
    </row>
    <row r="37" customFormat="false" ht="15" hidden="false" customHeight="false" outlineLevel="0" collapsed="false">
      <c r="A37" s="69" t="n">
        <v>31</v>
      </c>
      <c r="B37" s="69" t="s">
        <v>128</v>
      </c>
      <c r="C37" s="69" t="s">
        <v>24</v>
      </c>
      <c r="D37" s="70" t="n">
        <v>144</v>
      </c>
      <c r="E37" s="71"/>
      <c r="F37" s="72" t="str">
        <f aca="false">IF(AND(D37&gt;0,N(E37)&gt;0),E37/D37,"")</f>
        <v/>
      </c>
      <c r="G37" s="73" t="str">
        <f aca="false">IFERROR(INDEX(Prices!$C$6:$C$300,MATCH(B37,Prices!$A$6:$A$300,0)),"")</f>
        <v/>
      </c>
      <c r="H37" s="74" t="n">
        <f aca="false">IF(ISNUMBER(G37),D37*G37,0)</f>
        <v>0</v>
      </c>
      <c r="I37" s="74" t="n">
        <f aca="false">H37-N(E37)</f>
        <v>0</v>
      </c>
      <c r="J37" s="75" t="str">
        <f aca="false">IF(N(E37)&gt;0,I37/E37,"")</f>
        <v/>
      </c>
      <c r="K37" s="75" t="n">
        <f aca="false">IF($H$6=0,"",H37/$H$6)</f>
        <v>0</v>
      </c>
      <c r="L37" s="71"/>
      <c r="M37" s="72" t="str">
        <f aca="false">IF(ISNUMBER(L37),L37/D37,"")</f>
        <v/>
      </c>
      <c r="N37" s="74" t="str">
        <f aca="false">IF(ISNUMBER(L37),H37-L37,"")</f>
        <v/>
      </c>
      <c r="O37" s="76" t="s">
        <v>175</v>
      </c>
    </row>
    <row r="38" customFormat="false" ht="15" hidden="false" customHeight="false" outlineLevel="0" collapsed="false">
      <c r="A38" s="69" t="n">
        <v>32</v>
      </c>
      <c r="B38" s="69" t="s">
        <v>129</v>
      </c>
      <c r="C38" s="69" t="s">
        <v>24</v>
      </c>
      <c r="D38" s="70" t="n">
        <v>1000</v>
      </c>
      <c r="E38" s="71"/>
      <c r="F38" s="72" t="str">
        <f aca="false">IF(AND(D38&gt;0,N(E38)&gt;0),E38/D38,"")</f>
        <v/>
      </c>
      <c r="G38" s="73" t="str">
        <f aca="false">IFERROR(INDEX(Prices!$C$6:$C$300,MATCH(B38,Prices!$A$6:$A$300,0)),"")</f>
        <v/>
      </c>
      <c r="H38" s="74" t="n">
        <f aca="false">IF(ISNUMBER(G38),D38*G38,0)</f>
        <v>0</v>
      </c>
      <c r="I38" s="74" t="n">
        <f aca="false">H38-N(E38)</f>
        <v>0</v>
      </c>
      <c r="J38" s="75" t="str">
        <f aca="false">IF(N(E38)&gt;0,I38/E38,"")</f>
        <v/>
      </c>
      <c r="K38" s="75" t="n">
        <f aca="false">IF($H$6=0,"",H38/$H$6)</f>
        <v>0</v>
      </c>
      <c r="L38" s="71"/>
      <c r="M38" s="72" t="str">
        <f aca="false">IF(ISNUMBER(L38),L38/D38,"")</f>
        <v/>
      </c>
      <c r="N38" s="74" t="str">
        <f aca="false">IF(ISNUMBER(L38),H38-L38,"")</f>
        <v/>
      </c>
      <c r="O38" s="76" t="s">
        <v>175</v>
      </c>
    </row>
  </sheetData>
  <conditionalFormatting sqref="G7:G300">
    <cfRule type="expression" priority="2" aboveAverage="0" equalAverage="0" bottom="0" percent="0" rank="0" text="" dxfId="0">
      <formula>ISNUMBER(SEARCH("stale",INDEX(Prices!$D$6:$D$300,MATCH($B7,Prices!$A$6:$A$300,0))))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7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176</v>
      </c>
    </row>
    <row r="3" customFormat="false" ht="15" hidden="false" customHeight="false" outlineLevel="0" collapsed="false">
      <c r="A3" s="2" t="s">
        <v>146</v>
      </c>
    </row>
    <row r="5" customFormat="false" ht="31.5" hidden="false" customHeight="true" outlineLevel="0" collapsed="false">
      <c r="A5" s="23" t="s">
        <v>53</v>
      </c>
      <c r="B5" s="23" t="s">
        <v>147</v>
      </c>
      <c r="C5" s="23" t="s">
        <v>3</v>
      </c>
      <c r="D5" s="23" t="s">
        <v>148</v>
      </c>
      <c r="E5" s="23" t="s">
        <v>149</v>
      </c>
      <c r="F5" s="23" t="s">
        <v>58</v>
      </c>
      <c r="G5" s="23" t="s">
        <v>54</v>
      </c>
      <c r="H5" s="23" t="s">
        <v>8</v>
      </c>
      <c r="I5" s="23" t="s">
        <v>9</v>
      </c>
      <c r="J5" s="23" t="s">
        <v>10</v>
      </c>
      <c r="K5" s="23" t="s">
        <v>150</v>
      </c>
      <c r="L5" s="23" t="s">
        <v>151</v>
      </c>
      <c r="M5" s="23" t="s">
        <v>152</v>
      </c>
      <c r="N5" s="23" t="s">
        <v>153</v>
      </c>
      <c r="O5" s="23" t="s">
        <v>154</v>
      </c>
    </row>
    <row r="6" customFormat="false" ht="15" hidden="false" customHeight="false" outlineLevel="0" collapsed="false">
      <c r="A6" s="13"/>
      <c r="B6" s="13" t="s">
        <v>62</v>
      </c>
      <c r="C6" s="13"/>
      <c r="D6" s="13"/>
      <c r="E6" s="77" t="n">
        <f aca="false">SUM(E7:E59)</f>
        <v>4364996</v>
      </c>
      <c r="F6" s="13"/>
      <c r="G6" s="13"/>
      <c r="H6" s="77" t="n">
        <f aca="false">SUM(H7:H59)</f>
        <v>3877935.64</v>
      </c>
      <c r="I6" s="77" t="n">
        <f aca="false">H6-E6</f>
        <v>-487060.36</v>
      </c>
      <c r="J6" s="78" t="n">
        <f aca="false">IF(E6&gt;0,I6/E6,"")</f>
        <v>-0.111583231691392</v>
      </c>
      <c r="K6" s="78" t="n">
        <f aca="false">SUM(K7:K59)</f>
        <v>1</v>
      </c>
      <c r="L6" s="77" t="n">
        <f aca="false">SUM(L7:L59)</f>
        <v>4141021</v>
      </c>
      <c r="M6" s="13"/>
      <c r="N6" s="77" t="n">
        <f aca="false">SUM(N7:N59)</f>
        <v>-263085.36</v>
      </c>
      <c r="O6" s="13"/>
    </row>
    <row r="7" customFormat="false" ht="15" hidden="false" customHeight="false" outlineLevel="0" collapsed="false">
      <c r="A7" s="5" t="n">
        <v>1</v>
      </c>
      <c r="B7" s="5" t="s">
        <v>63</v>
      </c>
      <c r="C7" s="5" t="s">
        <v>177</v>
      </c>
      <c r="D7" s="60" t="n">
        <v>915</v>
      </c>
      <c r="E7" s="10" t="n">
        <v>964117</v>
      </c>
      <c r="F7" s="51" t="n">
        <f aca="false">IF(AND(D7&gt;0,N(E7)&gt;0),E7/D7,"")</f>
        <v>1053.67978142077</v>
      </c>
      <c r="G7" s="42" t="n">
        <f aca="false">IFERROR(INDEX(Prices!$C$6:$C$300,MATCH(B7,Prices!$A$6:$A$300,0)),"")</f>
        <v>955.95</v>
      </c>
      <c r="H7" s="8" t="n">
        <f aca="false">IF(ISNUMBER(G7),D7*G7,0)</f>
        <v>874694.25</v>
      </c>
      <c r="I7" s="8" t="n">
        <f aca="false">H7-N(E7)</f>
        <v>-89422.75</v>
      </c>
      <c r="J7" s="9" t="n">
        <f aca="false">IF(N(E7)&gt;0,I7/E7,"")</f>
        <v>-0.0927509316815283</v>
      </c>
      <c r="K7" s="9" t="n">
        <f aca="false">IF($H$6=0,"",H7/$H$6)</f>
        <v>0.225556670146284</v>
      </c>
      <c r="L7" s="10" t="n">
        <v>946110</v>
      </c>
      <c r="M7" s="51" t="n">
        <f aca="false">IF(ISNUMBER(L7),L7/D7,"")</f>
        <v>1034</v>
      </c>
      <c r="N7" s="8" t="n">
        <f aca="false">IF(ISNUMBER(L7),H7-L7,"")</f>
        <v>-71415.75</v>
      </c>
      <c r="O7" s="61"/>
    </row>
    <row r="8" customFormat="false" ht="15" hidden="false" customHeight="false" outlineLevel="0" collapsed="false">
      <c r="A8" s="5" t="n">
        <v>2</v>
      </c>
      <c r="B8" s="5" t="s">
        <v>65</v>
      </c>
      <c r="C8" s="5" t="s">
        <v>177</v>
      </c>
      <c r="D8" s="60" t="n">
        <v>792</v>
      </c>
      <c r="E8" s="10" t="n">
        <v>376533</v>
      </c>
      <c r="F8" s="51" t="n">
        <f aca="false">IF(AND(D8&gt;0,N(E8)&gt;0),E8/D8,"")</f>
        <v>475.420454545455</v>
      </c>
      <c r="G8" s="42" t="n">
        <f aca="false">IFERROR(INDEX(Prices!$C$6:$C$300,MATCH(B8,Prices!$A$6:$A$300,0)),"")</f>
        <v>437.9</v>
      </c>
      <c r="H8" s="8" t="n">
        <f aca="false">IF(ISNUMBER(G8),D8*G8,0)</f>
        <v>346816.8</v>
      </c>
      <c r="I8" s="8" t="n">
        <f aca="false">H8-N(E8)</f>
        <v>-29716.2</v>
      </c>
      <c r="J8" s="9" t="n">
        <f aca="false">IF(N(E8)&gt;0,I8/E8,"")</f>
        <v>-0.0789205726988073</v>
      </c>
      <c r="K8" s="9" t="n">
        <f aca="false">IF($H$6=0,"",H8/$H$6)</f>
        <v>0.0894333563514221</v>
      </c>
      <c r="L8" s="10" t="n">
        <v>352440</v>
      </c>
      <c r="M8" s="51" t="n">
        <f aca="false">IF(ISNUMBER(L8),L8/D8,"")</f>
        <v>445</v>
      </c>
      <c r="N8" s="8" t="n">
        <f aca="false">IF(ISNUMBER(L8),H8-L8,"")</f>
        <v>-5623.20000000001</v>
      </c>
      <c r="O8" s="61"/>
    </row>
    <row r="9" customFormat="false" ht="15" hidden="false" customHeight="false" outlineLevel="0" collapsed="false">
      <c r="A9" s="5" t="n">
        <v>3</v>
      </c>
      <c r="B9" s="5" t="s">
        <v>64</v>
      </c>
      <c r="C9" s="5" t="s">
        <v>177</v>
      </c>
      <c r="D9" s="60" t="n">
        <v>59</v>
      </c>
      <c r="E9" s="10" t="n">
        <v>260113</v>
      </c>
      <c r="F9" s="51" t="n">
        <f aca="false">IF(AND(D9&gt;0,N(E9)&gt;0),E9/D9,"")</f>
        <v>4408.69491525424</v>
      </c>
      <c r="G9" s="42" t="n">
        <f aca="false">IFERROR(INDEX(Prices!$C$6:$C$300,MATCH(B9,Prices!$A$6:$A$300,0)),"")</f>
        <v>4359.5</v>
      </c>
      <c r="H9" s="8" t="n">
        <f aca="false">IF(ISNUMBER(G9),D9*G9,0)</f>
        <v>257210.5</v>
      </c>
      <c r="I9" s="8" t="n">
        <f aca="false">H9-N(E9)</f>
        <v>-2902.5</v>
      </c>
      <c r="J9" s="9" t="n">
        <f aca="false">IF(N(E9)&gt;0,I9/E9,"")</f>
        <v>-0.0111586118340875</v>
      </c>
      <c r="K9" s="9" t="n">
        <f aca="false">IF($H$6=0,"",H9/$H$6)</f>
        <v>0.0663266551788363</v>
      </c>
      <c r="L9" s="10" t="n">
        <v>295590</v>
      </c>
      <c r="M9" s="51" t="n">
        <f aca="false">IF(ISNUMBER(L9),L9/D9,"")</f>
        <v>5010</v>
      </c>
      <c r="N9" s="8" t="n">
        <f aca="false">IF(ISNUMBER(L9),H9-L9,"")</f>
        <v>-38379.5</v>
      </c>
      <c r="O9" s="61"/>
    </row>
    <row r="10" customFormat="false" ht="15" hidden="false" customHeight="false" outlineLevel="0" collapsed="false">
      <c r="A10" s="5" t="n">
        <v>4</v>
      </c>
      <c r="B10" s="5" t="s">
        <v>66</v>
      </c>
      <c r="C10" s="5" t="s">
        <v>177</v>
      </c>
      <c r="D10" s="60" t="n">
        <v>337</v>
      </c>
      <c r="E10" s="10" t="n">
        <v>250961</v>
      </c>
      <c r="F10" s="51" t="n">
        <f aca="false">IF(AND(D10&gt;0,N(E10)&gt;0),E10/D10,"")</f>
        <v>744.691394658754</v>
      </c>
      <c r="G10" s="42" t="n">
        <f aca="false">IFERROR(INDEX(Prices!$C$6:$C$300,MATCH(B10,Prices!$A$6:$A$300,0)),"")</f>
        <v>692.25</v>
      </c>
      <c r="H10" s="8" t="n">
        <f aca="false">IF(ISNUMBER(G10),D10*G10,0)</f>
        <v>233288.25</v>
      </c>
      <c r="I10" s="8" t="n">
        <f aca="false">H10-N(E10)</f>
        <v>-17672.75</v>
      </c>
      <c r="J10" s="9" t="n">
        <f aca="false">IF(N(E10)&gt;0,I10/E10,"")</f>
        <v>-0.0704203043500783</v>
      </c>
      <c r="K10" s="9" t="n">
        <f aca="false">IF($H$6=0,"",H10/$H$6)</f>
        <v>0.0601578447031679</v>
      </c>
      <c r="L10" s="10" t="n">
        <v>238596</v>
      </c>
      <c r="M10" s="51" t="n">
        <f aca="false">IF(ISNUMBER(L10),L10/D10,"")</f>
        <v>708</v>
      </c>
      <c r="N10" s="8" t="n">
        <f aca="false">IF(ISNUMBER(L10),H10-L10,"")</f>
        <v>-5307.75</v>
      </c>
      <c r="O10" s="61"/>
    </row>
    <row r="11" customFormat="false" ht="15" hidden="false" customHeight="false" outlineLevel="0" collapsed="false">
      <c r="A11" s="5" t="n">
        <v>5</v>
      </c>
      <c r="B11" s="5" t="s">
        <v>68</v>
      </c>
      <c r="C11" s="5" t="s">
        <v>178</v>
      </c>
      <c r="D11" s="60" t="n">
        <v>800</v>
      </c>
      <c r="E11" s="10" t="n">
        <v>180000</v>
      </c>
      <c r="F11" s="51" t="n">
        <f aca="false">IF(AND(D11&gt;0,N(E11)&gt;0),E11/D11,"")</f>
        <v>225</v>
      </c>
      <c r="G11" s="42" t="n">
        <f aca="false">IFERROR(INDEX(Prices!$C$6:$C$300,MATCH(B11,Prices!$A$6:$A$300,0)),"")</f>
        <v>245</v>
      </c>
      <c r="H11" s="8" t="n">
        <f aca="false">IF(ISNUMBER(G11),D11*G11,0)</f>
        <v>196000</v>
      </c>
      <c r="I11" s="8" t="n">
        <f aca="false">H11-N(E11)</f>
        <v>16000</v>
      </c>
      <c r="J11" s="9" t="n">
        <f aca="false">IF(N(E11)&gt;0,I11/E11,"")</f>
        <v>0.0888888888888889</v>
      </c>
      <c r="K11" s="9" t="n">
        <f aca="false">IF($H$6=0,"",H11/$H$6)</f>
        <v>0.0505423550556914</v>
      </c>
      <c r="L11" s="10" t="n">
        <v>212000</v>
      </c>
      <c r="M11" s="51" t="n">
        <f aca="false">IF(ISNUMBER(L11),L11/D11,"")</f>
        <v>265</v>
      </c>
      <c r="N11" s="8" t="n">
        <f aca="false">IF(ISNUMBER(L11),H11-L11,"")</f>
        <v>-16000</v>
      </c>
      <c r="O11" s="61" t="s">
        <v>179</v>
      </c>
    </row>
    <row r="12" customFormat="false" ht="15" hidden="false" customHeight="false" outlineLevel="0" collapsed="false">
      <c r="A12" s="5" t="n">
        <v>6</v>
      </c>
      <c r="B12" s="5" t="s">
        <v>79</v>
      </c>
      <c r="C12" s="5" t="s">
        <v>24</v>
      </c>
      <c r="D12" s="60" t="n">
        <v>146</v>
      </c>
      <c r="E12" s="10" t="n">
        <v>198998</v>
      </c>
      <c r="F12" s="51" t="n">
        <f aca="false">IF(AND(D12&gt;0,N(E12)&gt;0),E12/D12,"")</f>
        <v>1363</v>
      </c>
      <c r="G12" s="42" t="n">
        <f aca="false">IFERROR(INDEX(Prices!$C$6:$C$300,MATCH(B12,Prices!$A$6:$A$300,0)),"")</f>
        <v>1178</v>
      </c>
      <c r="H12" s="8" t="n">
        <f aca="false">IF(ISNUMBER(G12),D12*G12,0)</f>
        <v>171988</v>
      </c>
      <c r="I12" s="8" t="n">
        <f aca="false">H12-N(E12)</f>
        <v>-27010</v>
      </c>
      <c r="J12" s="9" t="n">
        <f aca="false">IF(N(E12)&gt;0,I12/E12,"")</f>
        <v>-0.135730007336757</v>
      </c>
      <c r="K12" s="9" t="n">
        <f aca="false">IF($H$6=0,"",H12/$H$6)</f>
        <v>0.0443504008230523</v>
      </c>
      <c r="L12" s="10" t="n">
        <v>183668</v>
      </c>
      <c r="M12" s="51" t="n">
        <f aca="false">IF(ISNUMBER(L12),L12/D12,"")</f>
        <v>1258</v>
      </c>
      <c r="N12" s="8" t="n">
        <f aca="false">IF(ISNUMBER(L12),H12-L12,"")</f>
        <v>-11680</v>
      </c>
      <c r="O12" s="61"/>
    </row>
    <row r="13" customFormat="false" ht="15" hidden="false" customHeight="false" outlineLevel="0" collapsed="false">
      <c r="A13" s="5" t="n">
        <v>7</v>
      </c>
      <c r="B13" s="5" t="s">
        <v>67</v>
      </c>
      <c r="C13" s="5" t="s">
        <v>178</v>
      </c>
      <c r="D13" s="60" t="n">
        <v>120</v>
      </c>
      <c r="E13" s="10" t="n">
        <v>169080</v>
      </c>
      <c r="F13" s="51" t="n">
        <f aca="false">IF(AND(D13&gt;0,N(E13)&gt;0),E13/D13,"")</f>
        <v>1409</v>
      </c>
      <c r="G13" s="42" t="n">
        <f aca="false">IFERROR(INDEX(Prices!$C$6:$C$300,MATCH(B13,Prices!$A$6:$A$300,0)),"")</f>
        <v>1432.05</v>
      </c>
      <c r="H13" s="8" t="n">
        <f aca="false">IF(ISNUMBER(G13),D13*G13,0)</f>
        <v>171846</v>
      </c>
      <c r="I13" s="8" t="n">
        <f aca="false">H13-N(E13)</f>
        <v>2766</v>
      </c>
      <c r="J13" s="9" t="n">
        <f aca="false">IF(N(E13)&gt;0,I13/E13,"")</f>
        <v>0.0163591199432221</v>
      </c>
      <c r="K13" s="9" t="n">
        <f aca="false">IF($H$6=0,"",H13/$H$6)</f>
        <v>0.0443137834025528</v>
      </c>
      <c r="L13" s="10" t="n">
        <v>184800</v>
      </c>
      <c r="M13" s="51" t="n">
        <f aca="false">IF(ISNUMBER(L13),L13/D13,"")</f>
        <v>1540</v>
      </c>
      <c r="N13" s="8" t="n">
        <f aca="false">IF(ISNUMBER(L13),H13-L13,"")</f>
        <v>-12954</v>
      </c>
      <c r="O13" s="61" t="s">
        <v>180</v>
      </c>
    </row>
    <row r="14" customFormat="false" ht="15" hidden="false" customHeight="false" outlineLevel="0" collapsed="false">
      <c r="A14" s="5" t="n">
        <v>8</v>
      </c>
      <c r="B14" s="5" t="s">
        <v>69</v>
      </c>
      <c r="C14" s="5" t="s">
        <v>177</v>
      </c>
      <c r="D14" s="60" t="n">
        <v>1732</v>
      </c>
      <c r="E14" s="10" t="n">
        <v>172732</v>
      </c>
      <c r="F14" s="51" t="n">
        <f aca="false">IF(AND(D14&gt;0,N(E14)&gt;0),E14/D14,"")</f>
        <v>99.729792147806</v>
      </c>
      <c r="G14" s="42" t="n">
        <f aca="false">IFERROR(INDEX(Prices!$C$6:$C$300,MATCH(B14,Prices!$A$6:$A$300,0)),"")</f>
        <v>82.14</v>
      </c>
      <c r="H14" s="8" t="n">
        <f aca="false">IF(ISNUMBER(G14),D14*G14,0)</f>
        <v>142266.48</v>
      </c>
      <c r="I14" s="8" t="n">
        <f aca="false">H14-N(E14)</f>
        <v>-30465.52</v>
      </c>
      <c r="J14" s="9" t="n">
        <f aca="false">IF(N(E14)&gt;0,I14/E14,"")</f>
        <v>-0.176374499224232</v>
      </c>
      <c r="K14" s="9" t="n">
        <f aca="false">IF($H$6=0,"",H14/$H$6)</f>
        <v>0.0366861374728746</v>
      </c>
      <c r="L14" s="10" t="n">
        <v>145488</v>
      </c>
      <c r="M14" s="51" t="n">
        <f aca="false">IF(ISNUMBER(L14),L14/D14,"")</f>
        <v>84</v>
      </c>
      <c r="N14" s="8" t="n">
        <f aca="false">IF(ISNUMBER(L14),H14-L14,"")</f>
        <v>-3221.51999999999</v>
      </c>
      <c r="O14" s="61"/>
    </row>
    <row r="15" customFormat="false" ht="15" hidden="false" customHeight="false" outlineLevel="0" collapsed="false">
      <c r="A15" s="5" t="n">
        <v>9</v>
      </c>
      <c r="B15" s="5" t="s">
        <v>72</v>
      </c>
      <c r="C15" s="5" t="s">
        <v>24</v>
      </c>
      <c r="D15" s="60" t="n">
        <v>2030</v>
      </c>
      <c r="E15" s="10" t="n">
        <v>69020</v>
      </c>
      <c r="F15" s="51" t="n">
        <f aca="false">IF(AND(D15&gt;0,N(E15)&gt;0),E15/D15,"")</f>
        <v>34</v>
      </c>
      <c r="G15" s="42" t="n">
        <f aca="false">IFERROR(INDEX(Prices!$C$6:$C$300,MATCH(B15,Prices!$A$6:$A$300,0)),"")</f>
        <v>55.99</v>
      </c>
      <c r="H15" s="8" t="n">
        <f aca="false">IF(ISNUMBER(G15),D15*G15,0)</f>
        <v>113659.7</v>
      </c>
      <c r="I15" s="8" t="n">
        <f aca="false">H15-N(E15)</f>
        <v>44639.7</v>
      </c>
      <c r="J15" s="9" t="n">
        <f aca="false">IF(N(E15)&gt;0,I15/E15,"")</f>
        <v>0.646764705882353</v>
      </c>
      <c r="K15" s="9" t="n">
        <f aca="false">IF($H$6=0,"",H15/$H$6)</f>
        <v>0.0293093311883846</v>
      </c>
      <c r="L15" s="10" t="n">
        <v>117131</v>
      </c>
      <c r="M15" s="51" t="n">
        <f aca="false">IF(ISNUMBER(L15),L15/D15,"")</f>
        <v>57.7</v>
      </c>
      <c r="N15" s="8" t="n">
        <f aca="false">IF(ISNUMBER(L15),H15-L15,"")</f>
        <v>-3471.3</v>
      </c>
      <c r="O15" s="61"/>
    </row>
    <row r="16" customFormat="false" ht="15" hidden="false" customHeight="false" outlineLevel="0" collapsed="false">
      <c r="A16" s="5" t="n">
        <v>10</v>
      </c>
      <c r="B16" s="5" t="s">
        <v>73</v>
      </c>
      <c r="C16" s="5" t="s">
        <v>177</v>
      </c>
      <c r="D16" s="60" t="n">
        <v>18</v>
      </c>
      <c r="E16" s="10" t="n">
        <v>91873</v>
      </c>
      <c r="F16" s="51" t="n">
        <f aca="false">IF(AND(D16&gt;0,N(E16)&gt;0),E16/D16,"")</f>
        <v>5104.05555555556</v>
      </c>
      <c r="G16" s="42" t="n">
        <f aca="false">IFERROR(INDEX(Prices!$C$6:$C$300,MATCH(B16,Prices!$A$6:$A$300,0)),"")</f>
        <v>5468</v>
      </c>
      <c r="H16" s="8" t="n">
        <f aca="false">IF(ISNUMBER(G16),D16*G16,0)</f>
        <v>98424</v>
      </c>
      <c r="I16" s="8" t="n">
        <f aca="false">H16-N(E16)</f>
        <v>6551</v>
      </c>
      <c r="J16" s="9" t="n">
        <f aca="false">IF(N(E16)&gt;0,I16/E16,"")</f>
        <v>0.0713049535772207</v>
      </c>
      <c r="K16" s="9" t="n">
        <f aca="false">IF($H$6=0,"",H16/$H$6)</f>
        <v>0.0253805140510274</v>
      </c>
      <c r="L16" s="10" t="n">
        <v>99288</v>
      </c>
      <c r="M16" s="51" t="n">
        <f aca="false">IF(ISNUMBER(L16),L16/D16,"")</f>
        <v>5516</v>
      </c>
      <c r="N16" s="8" t="n">
        <f aca="false">IF(ISNUMBER(L16),H16-L16,"")</f>
        <v>-864</v>
      </c>
      <c r="O16" s="61"/>
    </row>
    <row r="17" customFormat="false" ht="15" hidden="false" customHeight="false" outlineLevel="0" collapsed="false">
      <c r="A17" s="5" t="n">
        <v>11</v>
      </c>
      <c r="B17" s="5" t="s">
        <v>85</v>
      </c>
      <c r="C17" s="5" t="s">
        <v>24</v>
      </c>
      <c r="D17" s="60" t="n">
        <v>374</v>
      </c>
      <c r="E17" s="10" t="n">
        <v>94996</v>
      </c>
      <c r="F17" s="51" t="n">
        <f aca="false">IF(AND(D17&gt;0,N(E17)&gt;0),E17/D17,"")</f>
        <v>254</v>
      </c>
      <c r="G17" s="42" t="n">
        <f aca="false">IFERROR(INDEX(Prices!$C$6:$C$300,MATCH(B17,Prices!$A$6:$A$300,0)),"")</f>
        <v>211</v>
      </c>
      <c r="H17" s="8" t="n">
        <f aca="false">IF(ISNUMBER(G17),D17*G17,0)</f>
        <v>78914</v>
      </c>
      <c r="I17" s="8" t="n">
        <f aca="false">H17-N(E17)</f>
        <v>-16082</v>
      </c>
      <c r="J17" s="9" t="n">
        <f aca="false">IF(N(E17)&gt;0,I17/E17,"")</f>
        <v>-0.169291338582677</v>
      </c>
      <c r="K17" s="9" t="n">
        <f aca="false">IF($H$6=0,"",H17/$H$6)</f>
        <v>0.0203494867697185</v>
      </c>
      <c r="L17" s="10" t="n">
        <v>86020</v>
      </c>
      <c r="M17" s="51" t="n">
        <f aca="false">IF(ISNUMBER(L17),L17/D17,"")</f>
        <v>230</v>
      </c>
      <c r="N17" s="8" t="n">
        <f aca="false">IF(ISNUMBER(L17),H17-L17,"")</f>
        <v>-7106</v>
      </c>
      <c r="O17" s="61"/>
    </row>
    <row r="18" customFormat="false" ht="15" hidden="false" customHeight="false" outlineLevel="0" collapsed="false">
      <c r="A18" s="5" t="n">
        <v>12</v>
      </c>
      <c r="B18" s="5" t="s">
        <v>75</v>
      </c>
      <c r="C18" s="5" t="s">
        <v>177</v>
      </c>
      <c r="D18" s="60" t="n">
        <v>24</v>
      </c>
      <c r="E18" s="10" t="n">
        <v>85824</v>
      </c>
      <c r="F18" s="51" t="n">
        <f aca="false">IF(AND(D18&gt;0,N(E18)&gt;0),E18/D18,"")</f>
        <v>3576</v>
      </c>
      <c r="G18" s="42" t="n">
        <f aca="false">IFERROR(INDEX(Prices!$C$6:$C$300,MATCH(B18,Prices!$A$6:$A$300,0)),"")</f>
        <v>3176.6</v>
      </c>
      <c r="H18" s="8" t="n">
        <f aca="false">IF(ISNUMBER(G18),D18*G18,0)</f>
        <v>76238.4</v>
      </c>
      <c r="I18" s="8" t="n">
        <f aca="false">H18-N(E18)</f>
        <v>-9585.60000000001</v>
      </c>
      <c r="J18" s="9" t="n">
        <f aca="false">IF(N(E18)&gt;0,I18/E18,"")</f>
        <v>-0.11168903803132</v>
      </c>
      <c r="K18" s="9" t="n">
        <f aca="false">IF($H$6=0,"",H18/$H$6)</f>
        <v>0.0196595320493767</v>
      </c>
      <c r="L18" s="10" t="n">
        <v>80088</v>
      </c>
      <c r="M18" s="51" t="n">
        <f aca="false">IF(ISNUMBER(L18),L18/D18,"")</f>
        <v>3337</v>
      </c>
      <c r="N18" s="8" t="n">
        <f aca="false">IF(ISNUMBER(L18),H18-L18,"")</f>
        <v>-3849.60000000001</v>
      </c>
      <c r="O18" s="61"/>
    </row>
    <row r="19" customFormat="false" ht="15" hidden="false" customHeight="false" outlineLevel="0" collapsed="false">
      <c r="A19" s="5" t="n">
        <v>13</v>
      </c>
      <c r="B19" s="5" t="s">
        <v>83</v>
      </c>
      <c r="C19" s="5" t="s">
        <v>178</v>
      </c>
      <c r="D19" s="60" t="n">
        <v>52</v>
      </c>
      <c r="E19" s="10" t="n">
        <v>65780</v>
      </c>
      <c r="F19" s="51" t="n">
        <f aca="false">IF(AND(D19&gt;0,N(E19)&gt;0),E19/D19,"")</f>
        <v>1265</v>
      </c>
      <c r="G19" s="42" t="n">
        <f aca="false">IFERROR(INDEX(Prices!$C$6:$C$300,MATCH(B19,Prices!$A$6:$A$300,0)),"")</f>
        <v>1319</v>
      </c>
      <c r="H19" s="8" t="n">
        <f aca="false">IF(ISNUMBER(G19),D19*G19,0)</f>
        <v>68588</v>
      </c>
      <c r="I19" s="8" t="n">
        <f aca="false">H19-N(E19)</f>
        <v>2808</v>
      </c>
      <c r="J19" s="9" t="n">
        <f aca="false">IF(N(E19)&gt;0,I19/E19,"")</f>
        <v>0.0426877470355731</v>
      </c>
      <c r="K19" s="9" t="n">
        <f aca="false">IF($H$6=0,"",H19/$H$6)</f>
        <v>0.0176867298395906</v>
      </c>
      <c r="L19" s="10" t="n">
        <v>71916</v>
      </c>
      <c r="M19" s="51" t="n">
        <f aca="false">IF(ISNUMBER(L19),L19/D19,"")</f>
        <v>1383</v>
      </c>
      <c r="N19" s="8" t="n">
        <f aca="false">IF(ISNUMBER(L19),H19-L19,"")</f>
        <v>-3328</v>
      </c>
      <c r="O19" s="61"/>
    </row>
    <row r="20" customFormat="false" ht="15" hidden="false" customHeight="false" outlineLevel="0" collapsed="false">
      <c r="A20" s="5" t="n">
        <v>14</v>
      </c>
      <c r="B20" s="5" t="s">
        <v>77</v>
      </c>
      <c r="C20" s="5" t="s">
        <v>177</v>
      </c>
      <c r="D20" s="60" t="n">
        <v>45</v>
      </c>
      <c r="E20" s="10" t="n">
        <v>74914</v>
      </c>
      <c r="F20" s="51" t="n">
        <f aca="false">IF(AND(D20&gt;0,N(E20)&gt;0),E20/D20,"")</f>
        <v>1664.75555555556</v>
      </c>
      <c r="G20" s="42" t="n">
        <f aca="false">IFERROR(INDEX(Prices!$C$6:$C$300,MATCH(B20,Prices!$A$6:$A$300,0)),"")</f>
        <v>1401.4</v>
      </c>
      <c r="H20" s="8" t="n">
        <f aca="false">IF(ISNUMBER(G20),D20*G20,0)</f>
        <v>63063</v>
      </c>
      <c r="I20" s="8" t="n">
        <f aca="false">H20-N(E20)</f>
        <v>-11851</v>
      </c>
      <c r="J20" s="9" t="n">
        <f aca="false">IF(N(E20)&gt;0,I20/E20,"")</f>
        <v>-0.158194729957017</v>
      </c>
      <c r="K20" s="9" t="n">
        <f aca="false">IF($H$6=0,"",H20/$H$6)</f>
        <v>0.0162620027391687</v>
      </c>
      <c r="L20" s="10" t="n">
        <v>70560</v>
      </c>
      <c r="M20" s="51" t="n">
        <f aca="false">IF(ISNUMBER(L20),L20/D20,"")</f>
        <v>1568</v>
      </c>
      <c r="N20" s="8" t="n">
        <f aca="false">IF(ISNUMBER(L20),H20-L20,"")</f>
        <v>-7496.99999999999</v>
      </c>
      <c r="O20" s="61"/>
    </row>
    <row r="21" customFormat="false" ht="15" hidden="false" customHeight="false" outlineLevel="0" collapsed="false">
      <c r="A21" s="5" t="n">
        <v>15</v>
      </c>
      <c r="B21" s="5" t="s">
        <v>76</v>
      </c>
      <c r="C21" s="5" t="s">
        <v>177</v>
      </c>
      <c r="D21" s="60" t="n">
        <v>20</v>
      </c>
      <c r="E21" s="10" t="n">
        <v>74720</v>
      </c>
      <c r="F21" s="51" t="n">
        <f aca="false">IF(AND(D21&gt;0,N(E21)&gt;0),E21/D21,"")</f>
        <v>3736</v>
      </c>
      <c r="G21" s="42" t="n">
        <f aca="false">IFERROR(INDEX(Prices!$C$6:$C$300,MATCH(B21,Prices!$A$6:$A$300,0)),"")</f>
        <v>2996</v>
      </c>
      <c r="H21" s="8" t="n">
        <f aca="false">IF(ISNUMBER(G21),D21*G21,0)</f>
        <v>59920</v>
      </c>
      <c r="I21" s="8" t="n">
        <f aca="false">H21-N(E21)</f>
        <v>-14800</v>
      </c>
      <c r="J21" s="9" t="n">
        <f aca="false">IF(N(E21)&gt;0,I21/E21,"")</f>
        <v>-0.198072805139186</v>
      </c>
      <c r="K21" s="9" t="n">
        <f aca="false">IF($H$6=0,"",H21/$H$6)</f>
        <v>0.0154515199741685</v>
      </c>
      <c r="L21" s="10" t="n">
        <v>67660</v>
      </c>
      <c r="M21" s="51" t="n">
        <f aca="false">IF(ISNUMBER(L21),L21/D21,"")</f>
        <v>3383</v>
      </c>
      <c r="N21" s="8" t="n">
        <f aca="false">IF(ISNUMBER(L21),H21-L21,"")</f>
        <v>-7740</v>
      </c>
      <c r="O21" s="61"/>
    </row>
    <row r="22" customFormat="false" ht="15" hidden="false" customHeight="false" outlineLevel="0" collapsed="false">
      <c r="A22" s="5" t="n">
        <v>16</v>
      </c>
      <c r="B22" s="5" t="s">
        <v>78</v>
      </c>
      <c r="C22" s="5" t="s">
        <v>177</v>
      </c>
      <c r="D22" s="60" t="n">
        <v>8</v>
      </c>
      <c r="E22" s="10" t="n">
        <v>64347</v>
      </c>
      <c r="F22" s="51" t="n">
        <f aca="false">IF(AND(D22&gt;0,N(E22)&gt;0),E22/D22,"")</f>
        <v>8043.375</v>
      </c>
      <c r="G22" s="42" t="n">
        <f aca="false">IFERROR(INDEX(Prices!$C$6:$C$300,MATCH(B22,Prices!$A$6:$A$300,0)),"")</f>
        <v>6767.5</v>
      </c>
      <c r="H22" s="8" t="n">
        <f aca="false">IF(ISNUMBER(G22),D22*G22,0)</f>
        <v>54140</v>
      </c>
      <c r="I22" s="8" t="n">
        <f aca="false">H22-N(E22)</f>
        <v>-10207</v>
      </c>
      <c r="J22" s="9" t="n">
        <f aca="false">IF(N(E22)&gt;0,I22/E22,"")</f>
        <v>-0.15862433369077</v>
      </c>
      <c r="K22" s="9" t="n">
        <f aca="false">IF($H$6=0,"",H22/$H$6)</f>
        <v>0.0139610362383425</v>
      </c>
      <c r="L22" s="10" t="n">
        <v>60240</v>
      </c>
      <c r="M22" s="51" t="n">
        <f aca="false">IF(ISNUMBER(L22),L22/D22,"")</f>
        <v>7530</v>
      </c>
      <c r="N22" s="8" t="n">
        <f aca="false">IF(ISNUMBER(L22),H22-L22,"")</f>
        <v>-6100</v>
      </c>
      <c r="O22" s="61"/>
    </row>
    <row r="23" customFormat="false" ht="15" hidden="false" customHeight="false" outlineLevel="0" collapsed="false">
      <c r="A23" s="5" t="n">
        <v>17</v>
      </c>
      <c r="B23" s="5" t="s">
        <v>80</v>
      </c>
      <c r="C23" s="5" t="s">
        <v>177</v>
      </c>
      <c r="D23" s="60" t="n">
        <v>18</v>
      </c>
      <c r="E23" s="10" t="n">
        <v>53931</v>
      </c>
      <c r="F23" s="51" t="n">
        <f aca="false">IF(AND(D23&gt;0,N(E23)&gt;0),E23/D23,"")</f>
        <v>2996.16666666667</v>
      </c>
      <c r="G23" s="42" t="n">
        <f aca="false">IFERROR(INDEX(Prices!$C$6:$C$300,MATCH(B23,Prices!$A$6:$A$300,0)),"")</f>
        <v>2876.3</v>
      </c>
      <c r="H23" s="8" t="n">
        <f aca="false">IF(ISNUMBER(G23),D23*G23,0)</f>
        <v>51773.4</v>
      </c>
      <c r="I23" s="8" t="n">
        <f aca="false">H23-N(E23)</f>
        <v>-2157.6</v>
      </c>
      <c r="J23" s="9" t="n">
        <f aca="false">IF(N(E23)&gt;0,I23/E23,"")</f>
        <v>-0.0400066751960839</v>
      </c>
      <c r="K23" s="9" t="n">
        <f aca="false">IF($H$6=0,"",H23/$H$6)</f>
        <v>0.0133507630879609</v>
      </c>
      <c r="L23" s="10" t="n">
        <v>50436</v>
      </c>
      <c r="M23" s="51" t="n">
        <f aca="false">IF(ISNUMBER(L23),L23/D23,"")</f>
        <v>2802</v>
      </c>
      <c r="N23" s="8" t="n">
        <f aca="false">IF(ISNUMBER(L23),H23-L23,"")</f>
        <v>1337.4</v>
      </c>
      <c r="O23" s="61"/>
    </row>
    <row r="24" customFormat="false" ht="15" hidden="false" customHeight="false" outlineLevel="0" collapsed="false">
      <c r="A24" s="5" t="n">
        <v>18</v>
      </c>
      <c r="B24" s="5" t="s">
        <v>89</v>
      </c>
      <c r="C24" s="5" t="s">
        <v>24</v>
      </c>
      <c r="D24" s="60" t="n">
        <v>399</v>
      </c>
      <c r="E24" s="10" t="n">
        <v>70623</v>
      </c>
      <c r="F24" s="51" t="n">
        <f aca="false">IF(AND(D24&gt;0,N(E24)&gt;0),E24/D24,"")</f>
        <v>177</v>
      </c>
      <c r="G24" s="42" t="n">
        <f aca="false">IFERROR(INDEX(Prices!$C$6:$C$300,MATCH(B24,Prices!$A$6:$A$300,0)),"")</f>
        <v>119.93</v>
      </c>
      <c r="H24" s="8" t="n">
        <f aca="false">IF(ISNUMBER(G24),D24*G24,0)</f>
        <v>47852.07</v>
      </c>
      <c r="I24" s="8" t="n">
        <f aca="false">H24-N(E24)</f>
        <v>-22770.93</v>
      </c>
      <c r="J24" s="9" t="n">
        <f aca="false">IF(N(E24)&gt;0,I24/E24,"")</f>
        <v>-0.322429378531073</v>
      </c>
      <c r="K24" s="9" t="n">
        <f aca="false">IF($H$6=0,"",H24/$H$6)</f>
        <v>0.0123395730208663</v>
      </c>
      <c r="L24" s="10" t="n">
        <v>56259</v>
      </c>
      <c r="M24" s="51" t="n">
        <f aca="false">IF(ISNUMBER(L24),L24/D24,"")</f>
        <v>141</v>
      </c>
      <c r="N24" s="8" t="n">
        <f aca="false">IF(ISNUMBER(L24),H24-L24,"")</f>
        <v>-8406.93</v>
      </c>
      <c r="O24" s="61"/>
    </row>
    <row r="25" customFormat="false" ht="15" hidden="false" customHeight="false" outlineLevel="0" collapsed="false">
      <c r="A25" s="5" t="n">
        <v>19</v>
      </c>
      <c r="B25" s="5" t="s">
        <v>81</v>
      </c>
      <c r="C25" s="5" t="s">
        <v>177</v>
      </c>
      <c r="D25" s="60" t="n">
        <v>13</v>
      </c>
      <c r="E25" s="10" t="n">
        <v>51822</v>
      </c>
      <c r="F25" s="51" t="n">
        <f aca="false">IF(AND(D25&gt;0,N(E25)&gt;0),E25/D25,"")</f>
        <v>3986.30769230769</v>
      </c>
      <c r="G25" s="42" t="n">
        <f aca="false">IFERROR(INDEX(Prices!$C$6:$C$300,MATCH(B25,Prices!$A$6:$A$300,0)),"")</f>
        <v>3585</v>
      </c>
      <c r="H25" s="8" t="n">
        <f aca="false">IF(ISNUMBER(G25),D25*G25,0)</f>
        <v>46605</v>
      </c>
      <c r="I25" s="8" t="n">
        <f aca="false">H25-N(E25)</f>
        <v>-5217</v>
      </c>
      <c r="J25" s="9" t="n">
        <f aca="false">IF(N(E25)&gt;0,I25/E25,"")</f>
        <v>-0.10067152946625</v>
      </c>
      <c r="K25" s="9" t="n">
        <f aca="false">IF($H$6=0,"",H25/$H$6)</f>
        <v>0.0120179921294413</v>
      </c>
      <c r="L25" s="10" t="n">
        <v>47944</v>
      </c>
      <c r="M25" s="51" t="n">
        <f aca="false">IF(ISNUMBER(L25),L25/D25,"")</f>
        <v>3688</v>
      </c>
      <c r="N25" s="8" t="n">
        <f aca="false">IF(ISNUMBER(L25),H25-L25,"")</f>
        <v>-1339</v>
      </c>
      <c r="O25" s="61"/>
    </row>
    <row r="26" customFormat="false" ht="15" hidden="false" customHeight="false" outlineLevel="0" collapsed="false">
      <c r="A26" s="5" t="n">
        <v>20</v>
      </c>
      <c r="B26" s="5" t="s">
        <v>90</v>
      </c>
      <c r="C26" s="5" t="s">
        <v>178</v>
      </c>
      <c r="D26" s="60" t="n">
        <v>111</v>
      </c>
      <c r="E26" s="10" t="n">
        <v>45510</v>
      </c>
      <c r="F26" s="51" t="n">
        <f aca="false">IF(AND(D26&gt;0,N(E26)&gt;0),E26/D26,"")</f>
        <v>410</v>
      </c>
      <c r="G26" s="42" t="n">
        <f aca="false">IFERROR(INDEX(Prices!$C$6:$C$300,MATCH(B26,Prices!$A$6:$A$300,0)),"")</f>
        <v>373</v>
      </c>
      <c r="H26" s="8" t="n">
        <f aca="false">IF(ISNUMBER(G26),D26*G26,0)</f>
        <v>41403</v>
      </c>
      <c r="I26" s="8" t="n">
        <f aca="false">H26-N(E26)</f>
        <v>-4107</v>
      </c>
      <c r="J26" s="9" t="n">
        <f aca="false">IF(N(E26)&gt;0,I26/E26,"")</f>
        <v>-0.0902439024390244</v>
      </c>
      <c r="K26" s="9" t="n">
        <f aca="false">IF($H$6=0,"",H26/$H$6)</f>
        <v>0.0106765567671979</v>
      </c>
      <c r="L26" s="10" t="n">
        <v>43068</v>
      </c>
      <c r="M26" s="51" t="n">
        <f aca="false">IF(ISNUMBER(L26),L26/D26,"")</f>
        <v>388</v>
      </c>
      <c r="N26" s="8" t="n">
        <f aca="false">IF(ISNUMBER(L26),H26-L26,"")</f>
        <v>-1665</v>
      </c>
      <c r="O26" s="61"/>
    </row>
    <row r="27" customFormat="false" ht="15" hidden="false" customHeight="false" outlineLevel="0" collapsed="false">
      <c r="A27" s="5" t="n">
        <v>21</v>
      </c>
      <c r="B27" s="5" t="s">
        <v>91</v>
      </c>
      <c r="C27" s="5" t="s">
        <v>24</v>
      </c>
      <c r="D27" s="60" t="n">
        <v>230</v>
      </c>
      <c r="E27" s="10" t="n">
        <v>64400</v>
      </c>
      <c r="F27" s="51" t="n">
        <f aca="false">IF(AND(D27&gt;0,N(E27)&gt;0),E27/D27,"")</f>
        <v>280</v>
      </c>
      <c r="G27" s="42" t="n">
        <f aca="false">IFERROR(INDEX(Prices!$C$6:$C$300,MATCH(B27,Prices!$A$6:$A$300,0)),"")</f>
        <v>177.19</v>
      </c>
      <c r="H27" s="8" t="n">
        <f aca="false">IF(ISNUMBER(G27),D27*G27,0)</f>
        <v>40753.7</v>
      </c>
      <c r="I27" s="8" t="n">
        <f aca="false">H27-N(E27)</f>
        <v>-23646.3</v>
      </c>
      <c r="J27" s="9" t="n">
        <f aca="false">IF(N(E27)&gt;0,I27/E27,"")</f>
        <v>-0.367178571428571</v>
      </c>
      <c r="K27" s="9" t="n">
        <f aca="false">IF($H$6=0,"",H27/$H$6)</f>
        <v>0.010509122322618</v>
      </c>
      <c r="L27" s="10" t="n">
        <v>44160</v>
      </c>
      <c r="M27" s="51" t="n">
        <f aca="false">IF(ISNUMBER(L27),L27/D27,"")</f>
        <v>192</v>
      </c>
      <c r="N27" s="8" t="n">
        <f aca="false">IF(ISNUMBER(L27),H27-L27,"")</f>
        <v>-3406.3</v>
      </c>
      <c r="O27" s="61"/>
    </row>
    <row r="28" customFormat="false" ht="15" hidden="false" customHeight="false" outlineLevel="0" collapsed="false">
      <c r="A28" s="5" t="n">
        <v>22</v>
      </c>
      <c r="B28" s="5" t="s">
        <v>88</v>
      </c>
      <c r="C28" s="5" t="s">
        <v>178</v>
      </c>
      <c r="D28" s="60" t="n">
        <v>33</v>
      </c>
      <c r="E28" s="10" t="n">
        <v>47223</v>
      </c>
      <c r="F28" s="51" t="n">
        <f aca="false">IF(AND(D28&gt;0,N(E28)&gt;0),E28/D28,"")</f>
        <v>1431</v>
      </c>
      <c r="G28" s="42" t="n">
        <f aca="false">IFERROR(INDEX(Prices!$C$6:$C$300,MATCH(B28,Prices!$A$6:$A$300,0)),"")</f>
        <v>1176.9</v>
      </c>
      <c r="H28" s="8" t="n">
        <f aca="false">IF(ISNUMBER(G28),D28*G28,0)</f>
        <v>38837.7</v>
      </c>
      <c r="I28" s="8" t="n">
        <f aca="false">H28-N(E28)</f>
        <v>-8385.3</v>
      </c>
      <c r="J28" s="9" t="n">
        <f aca="false">IF(N(E28)&gt;0,I28/E28,"")</f>
        <v>-0.177568134171908</v>
      </c>
      <c r="K28" s="9" t="n">
        <f aca="false">IF($H$6=0,"",H28/$H$6)</f>
        <v>0.0100150450150328</v>
      </c>
      <c r="L28" s="10" t="n">
        <v>39798</v>
      </c>
      <c r="M28" s="51" t="n">
        <f aca="false">IF(ISNUMBER(L28),L28/D28,"")</f>
        <v>1206</v>
      </c>
      <c r="N28" s="8" t="n">
        <f aca="false">IF(ISNUMBER(L28),H28-L28,"")</f>
        <v>-960.299999999996</v>
      </c>
      <c r="O28" s="61"/>
    </row>
    <row r="29" customFormat="false" ht="15" hidden="false" customHeight="false" outlineLevel="0" collapsed="false">
      <c r="A29" s="5" t="n">
        <v>23</v>
      </c>
      <c r="B29" s="5" t="s">
        <v>93</v>
      </c>
      <c r="C29" s="5" t="s">
        <v>178</v>
      </c>
      <c r="D29" s="60" t="n">
        <v>187</v>
      </c>
      <c r="E29" s="10" t="n">
        <v>41888</v>
      </c>
      <c r="F29" s="51" t="n">
        <f aca="false">IF(AND(D29&gt;0,N(E29)&gt;0),E29/D29,"")</f>
        <v>224</v>
      </c>
      <c r="G29" s="42" t="n">
        <f aca="false">IFERROR(INDEX(Prices!$C$6:$C$300,MATCH(B29,Prices!$A$6:$A$300,0)),"")</f>
        <v>186.71</v>
      </c>
      <c r="H29" s="8" t="n">
        <f aca="false">IF(ISNUMBER(G29),D29*G29,0)</f>
        <v>34914.77</v>
      </c>
      <c r="I29" s="8" t="n">
        <f aca="false">H29-N(E29)</f>
        <v>-6973.23</v>
      </c>
      <c r="J29" s="9" t="n">
        <f aca="false">IF(N(E29)&gt;0,I29/E29,"")</f>
        <v>-0.166473214285714</v>
      </c>
      <c r="K29" s="9" t="n">
        <f aca="false">IF($H$6=0,"",H29/$H$6)</f>
        <v>0.00900344235728471</v>
      </c>
      <c r="L29" s="10" t="n">
        <v>39270</v>
      </c>
      <c r="M29" s="51" t="n">
        <f aca="false">IF(ISNUMBER(L29),L29/D29,"")</f>
        <v>210</v>
      </c>
      <c r="N29" s="8" t="n">
        <f aca="false">IF(ISNUMBER(L29),H29-L29,"")</f>
        <v>-4355.23</v>
      </c>
      <c r="O29" s="61"/>
    </row>
    <row r="30" customFormat="false" ht="15" hidden="false" customHeight="false" outlineLevel="0" collapsed="false">
      <c r="A30" s="5" t="n">
        <v>24</v>
      </c>
      <c r="B30" s="5" t="s">
        <v>94</v>
      </c>
      <c r="C30" s="5" t="s">
        <v>24</v>
      </c>
      <c r="D30" s="60" t="n">
        <v>40</v>
      </c>
      <c r="E30" s="10" t="n">
        <v>41520</v>
      </c>
      <c r="F30" s="51" t="n">
        <f aca="false">IF(AND(D30&gt;0,N(E30)&gt;0),E30/D30,"")</f>
        <v>1038</v>
      </c>
      <c r="G30" s="42" t="n">
        <f aca="false">IFERROR(INDEX(Prices!$C$6:$C$300,MATCH(B30,Prices!$A$6:$A$300,0)),"")</f>
        <v>865</v>
      </c>
      <c r="H30" s="8" t="n">
        <f aca="false">IF(ISNUMBER(G30),D30*G30,0)</f>
        <v>34600</v>
      </c>
      <c r="I30" s="8" t="n">
        <f aca="false">H30-N(E30)</f>
        <v>-6920</v>
      </c>
      <c r="J30" s="9" t="n">
        <f aca="false">IF(N(E30)&gt;0,I30/E30,"")</f>
        <v>-0.166666666666667</v>
      </c>
      <c r="K30" s="9" t="n">
        <f aca="false">IF($H$6=0,"",H30/$H$6)</f>
        <v>0.00892227288228022</v>
      </c>
      <c r="L30" s="10" t="n">
        <v>34600</v>
      </c>
      <c r="M30" s="51" t="n">
        <f aca="false">IF(ISNUMBER(L30),L30/D30,"")</f>
        <v>865</v>
      </c>
      <c r="N30" s="8" t="n">
        <f aca="false">IF(ISNUMBER(L30),H30-L30,"")</f>
        <v>0</v>
      </c>
      <c r="O30" s="61"/>
    </row>
    <row r="31" customFormat="false" ht="15" hidden="false" customHeight="false" outlineLevel="0" collapsed="false">
      <c r="A31" s="5" t="n">
        <v>25</v>
      </c>
      <c r="B31" s="5" t="s">
        <v>95</v>
      </c>
      <c r="C31" s="5" t="s">
        <v>178</v>
      </c>
      <c r="D31" s="60" t="n">
        <v>1072</v>
      </c>
      <c r="E31" s="10" t="n">
        <v>46096</v>
      </c>
      <c r="F31" s="51" t="n">
        <f aca="false">IF(AND(D31&gt;0,N(E31)&gt;0),E31/D31,"")</f>
        <v>43</v>
      </c>
      <c r="G31" s="42" t="n">
        <f aca="false">IFERROR(INDEX(Prices!$C$6:$C$300,MATCH(B31,Prices!$A$6:$A$300,0)),"")</f>
        <v>31.89</v>
      </c>
      <c r="H31" s="8" t="n">
        <f aca="false">IF(ISNUMBER(G31),D31*G31,0)</f>
        <v>34186.08</v>
      </c>
      <c r="I31" s="8" t="n">
        <f aca="false">H31-N(E31)</f>
        <v>-11909.92</v>
      </c>
      <c r="J31" s="9" t="n">
        <f aca="false">IF(N(E31)&gt;0,I31/E31,"")</f>
        <v>-0.258372093023256</v>
      </c>
      <c r="K31" s="9" t="n">
        <f aca="false">IF($H$6=0,"",H31/$H$6)</f>
        <v>0.00881553568021567</v>
      </c>
      <c r="L31" s="10" t="n">
        <v>36448</v>
      </c>
      <c r="M31" s="51" t="n">
        <f aca="false">IF(ISNUMBER(L31),L31/D31,"")</f>
        <v>34</v>
      </c>
      <c r="N31" s="8" t="n">
        <f aca="false">IF(ISNUMBER(L31),H31-L31,"")</f>
        <v>-2261.92</v>
      </c>
      <c r="O31" s="61"/>
    </row>
    <row r="32" customFormat="false" ht="15" hidden="false" customHeight="false" outlineLevel="0" collapsed="false">
      <c r="A32" s="5" t="n">
        <v>26</v>
      </c>
      <c r="B32" s="5" t="s">
        <v>96</v>
      </c>
      <c r="C32" s="5" t="s">
        <v>24</v>
      </c>
      <c r="D32" s="60" t="n">
        <v>66</v>
      </c>
      <c r="E32" s="10" t="n">
        <v>43428</v>
      </c>
      <c r="F32" s="51" t="n">
        <f aca="false">IF(AND(D32&gt;0,N(E32)&gt;0),E32/D32,"")</f>
        <v>658</v>
      </c>
      <c r="G32" s="42" t="n">
        <f aca="false">IFERROR(INDEX(Prices!$C$6:$C$300,MATCH(B32,Prices!$A$6:$A$300,0)),"")</f>
        <v>489.9</v>
      </c>
      <c r="H32" s="8" t="n">
        <f aca="false">IF(ISNUMBER(G32),D32*G32,0)</f>
        <v>32333.4</v>
      </c>
      <c r="I32" s="8" t="n">
        <f aca="false">H32-N(E32)</f>
        <v>-11094.6</v>
      </c>
      <c r="J32" s="9" t="n">
        <f aca="false">IF(N(E32)&gt;0,I32/E32,"")</f>
        <v>-0.255471124620061</v>
      </c>
      <c r="K32" s="9" t="n">
        <f aca="false">IF($H$6=0,"",H32/$H$6)</f>
        <v>0.00833778664774333</v>
      </c>
      <c r="L32" s="10" t="n">
        <v>38412</v>
      </c>
      <c r="M32" s="51" t="n">
        <f aca="false">IF(ISNUMBER(L32),L32/D32,"")</f>
        <v>582</v>
      </c>
      <c r="N32" s="8" t="n">
        <f aca="false">IF(ISNUMBER(L32),H32-L32,"")</f>
        <v>-6078.6</v>
      </c>
      <c r="O32" s="61"/>
    </row>
    <row r="33" customFormat="false" ht="15" hidden="false" customHeight="false" outlineLevel="0" collapsed="false">
      <c r="A33" s="5" t="n">
        <v>27</v>
      </c>
      <c r="B33" s="5" t="s">
        <v>97</v>
      </c>
      <c r="C33" s="5" t="s">
        <v>177</v>
      </c>
      <c r="D33" s="60" t="n">
        <v>19</v>
      </c>
      <c r="E33" s="10" t="n">
        <v>26923</v>
      </c>
      <c r="F33" s="51" t="n">
        <f aca="false">IF(AND(D33&gt;0,N(E33)&gt;0),E33/D33,"")</f>
        <v>1417</v>
      </c>
      <c r="G33" s="42" t="n">
        <f aca="false">IFERROR(INDEX(Prices!$C$6:$C$300,MATCH(B33,Prices!$A$6:$A$300,0)),"")</f>
        <v>1529.7</v>
      </c>
      <c r="H33" s="8" t="n">
        <f aca="false">IF(ISNUMBER(G33),D33*G33,0)</f>
        <v>29064.3</v>
      </c>
      <c r="I33" s="8" t="n">
        <f aca="false">H33-N(E33)</f>
        <v>2141.3</v>
      </c>
      <c r="J33" s="9" t="n">
        <f aca="false">IF(N(E33)&gt;0,I33/E33,"")</f>
        <v>0.0795342272406492</v>
      </c>
      <c r="K33" s="9" t="n">
        <f aca="false">IF($H$6=0,"",H33/$H$6)</f>
        <v>0.00749478658186292</v>
      </c>
      <c r="L33" s="10" t="n">
        <v>26828</v>
      </c>
      <c r="M33" s="51" t="n">
        <f aca="false">IF(ISNUMBER(L33),L33/D33,"")</f>
        <v>1412</v>
      </c>
      <c r="N33" s="8" t="n">
        <f aca="false">IF(ISNUMBER(L33),H33-L33,"")</f>
        <v>2236.3</v>
      </c>
      <c r="O33" s="61"/>
    </row>
    <row r="34" customFormat="false" ht="15" hidden="false" customHeight="false" outlineLevel="0" collapsed="false">
      <c r="A34" s="5" t="n">
        <v>28</v>
      </c>
      <c r="B34" s="5" t="s">
        <v>74</v>
      </c>
      <c r="C34" s="5" t="s">
        <v>177</v>
      </c>
      <c r="D34" s="60" t="n">
        <v>13</v>
      </c>
      <c r="E34" s="10" t="n">
        <v>31148</v>
      </c>
      <c r="F34" s="51" t="n">
        <f aca="false">IF(AND(D34&gt;0,N(E34)&gt;0),E34/D34,"")</f>
        <v>2396</v>
      </c>
      <c r="G34" s="42" t="n">
        <f aca="false">IFERROR(INDEX(Prices!$C$6:$C$300,MATCH(B34,Prices!$A$6:$A$300,0)),"")</f>
        <v>2076</v>
      </c>
      <c r="H34" s="8" t="n">
        <f aca="false">IF(ISNUMBER(G34),D34*G34,0)</f>
        <v>26988</v>
      </c>
      <c r="I34" s="8" t="n">
        <f aca="false">H34-N(E34)</f>
        <v>-4160</v>
      </c>
      <c r="J34" s="9" t="n">
        <f aca="false">IF(N(E34)&gt;0,I34/E34,"")</f>
        <v>-0.13355592654424</v>
      </c>
      <c r="K34" s="9" t="n">
        <f aca="false">IF($H$6=0,"",H34/$H$6)</f>
        <v>0.00695937284817857</v>
      </c>
      <c r="L34" s="10" t="n">
        <v>28613</v>
      </c>
      <c r="M34" s="51" t="n">
        <f aca="false">IF(ISNUMBER(L34),L34/D34,"")</f>
        <v>2201</v>
      </c>
      <c r="N34" s="8" t="n">
        <f aca="false">IF(ISNUMBER(L34),H34-L34,"")</f>
        <v>-1625</v>
      </c>
      <c r="O34" s="61"/>
    </row>
    <row r="35" customFormat="false" ht="15" hidden="false" customHeight="false" outlineLevel="0" collapsed="false">
      <c r="A35" s="5" t="n">
        <v>29</v>
      </c>
      <c r="B35" s="5" t="s">
        <v>99</v>
      </c>
      <c r="C35" s="5" t="s">
        <v>178</v>
      </c>
      <c r="D35" s="60" t="n">
        <v>110</v>
      </c>
      <c r="E35" s="10" t="n">
        <v>43010</v>
      </c>
      <c r="F35" s="51" t="n">
        <f aca="false">IF(AND(D35&gt;0,N(E35)&gt;0),E35/D35,"")</f>
        <v>391</v>
      </c>
      <c r="G35" s="42" t="n">
        <f aca="false">IFERROR(INDEX(Prices!$C$6:$C$300,MATCH(B35,Prices!$A$6:$A$300,0)),"")</f>
        <v>219.86</v>
      </c>
      <c r="H35" s="8" t="n">
        <f aca="false">IF(ISNUMBER(G35),D35*G35,0)</f>
        <v>24184.6</v>
      </c>
      <c r="I35" s="8" t="n">
        <f aca="false">H35-N(E35)</f>
        <v>-18825.4</v>
      </c>
      <c r="J35" s="9" t="n">
        <f aca="false">IF(N(E35)&gt;0,I35/E35,"")</f>
        <v>-0.43769820971867</v>
      </c>
      <c r="K35" s="9" t="n">
        <f aca="false">IF($H$6=0,"",H35/$H$6)</f>
        <v>0.00623646244938712</v>
      </c>
      <c r="L35" s="10" t="n">
        <v>26620</v>
      </c>
      <c r="M35" s="51" t="n">
        <f aca="false">IF(ISNUMBER(L35),L35/D35,"")</f>
        <v>242</v>
      </c>
      <c r="N35" s="8" t="n">
        <f aca="false">IF(ISNUMBER(L35),H35-L35,"")</f>
        <v>-2435.4</v>
      </c>
      <c r="O35" s="61" t="s">
        <v>181</v>
      </c>
    </row>
    <row r="36" customFormat="false" ht="15" hidden="false" customHeight="false" outlineLevel="0" collapsed="false">
      <c r="A36" s="5" t="n">
        <v>30</v>
      </c>
      <c r="B36" s="5" t="s">
        <v>100</v>
      </c>
      <c r="C36" s="5" t="s">
        <v>178</v>
      </c>
      <c r="D36" s="60" t="n">
        <v>33</v>
      </c>
      <c r="E36" s="10" t="n">
        <v>27093</v>
      </c>
      <c r="F36" s="51" t="n">
        <f aca="false">IF(AND(D36&gt;0,N(E36)&gt;0),E36/D36,"")</f>
        <v>821</v>
      </c>
      <c r="G36" s="42" t="n">
        <f aca="false">IFERROR(INDEX(Prices!$C$6:$C$300,MATCH(B36,Prices!$A$6:$A$300,0)),"")</f>
        <v>714.75</v>
      </c>
      <c r="H36" s="8" t="n">
        <f aca="false">IF(ISNUMBER(G36),D36*G36,0)</f>
        <v>23586.75</v>
      </c>
      <c r="I36" s="8" t="n">
        <f aca="false">H36-N(E36)</f>
        <v>-3506.25</v>
      </c>
      <c r="J36" s="9" t="n">
        <f aca="false">IF(N(E36)&gt;0,I36/E36,"")</f>
        <v>-0.129415347137637</v>
      </c>
      <c r="K36" s="9" t="n">
        <f aca="false">IF($H$6=0,"",H36/$H$6)</f>
        <v>0.00608229537300934</v>
      </c>
      <c r="L36" s="10" t="n">
        <v>23100</v>
      </c>
      <c r="M36" s="51" t="n">
        <f aca="false">IF(ISNUMBER(L36),L36/D36,"")</f>
        <v>700</v>
      </c>
      <c r="N36" s="8" t="n">
        <f aca="false">IF(ISNUMBER(L36),H36-L36,"")</f>
        <v>486.75</v>
      </c>
      <c r="O36" s="61"/>
    </row>
    <row r="37" customFormat="false" ht="15" hidden="false" customHeight="false" outlineLevel="0" collapsed="false">
      <c r="A37" s="5" t="n">
        <v>31</v>
      </c>
      <c r="B37" s="5" t="s">
        <v>101</v>
      </c>
      <c r="C37" s="5" t="s">
        <v>178</v>
      </c>
      <c r="D37" s="60" t="n">
        <v>166</v>
      </c>
      <c r="E37" s="10" t="n">
        <v>33864</v>
      </c>
      <c r="F37" s="51" t="n">
        <f aca="false">IF(AND(D37&gt;0,N(E37)&gt;0),E37/D37,"")</f>
        <v>204</v>
      </c>
      <c r="G37" s="42" t="n">
        <f aca="false">IFERROR(INDEX(Prices!$C$6:$C$300,MATCH(B37,Prices!$A$6:$A$300,0)),"")</f>
        <v>142.03</v>
      </c>
      <c r="H37" s="8" t="n">
        <f aca="false">IF(ISNUMBER(G37),D37*G37,0)</f>
        <v>23576.98</v>
      </c>
      <c r="I37" s="8" t="n">
        <f aca="false">H37-N(E37)</f>
        <v>-10287.02</v>
      </c>
      <c r="J37" s="9" t="n">
        <f aca="false">IF(N(E37)&gt;0,I37/E37,"")</f>
        <v>-0.303774509803922</v>
      </c>
      <c r="K37" s="9" t="n">
        <f aca="false">IF($H$6=0,"",H37/$H$6)</f>
        <v>0.00607977599133131</v>
      </c>
      <c r="L37" s="10" t="n">
        <v>25232</v>
      </c>
      <c r="M37" s="51" t="n">
        <f aca="false">IF(ISNUMBER(L37),L37/D37,"")</f>
        <v>152</v>
      </c>
      <c r="N37" s="8" t="n">
        <f aca="false">IF(ISNUMBER(L37),H37-L37,"")</f>
        <v>-1655.02</v>
      </c>
      <c r="O37" s="61"/>
    </row>
    <row r="38" customFormat="false" ht="15" hidden="false" customHeight="false" outlineLevel="0" collapsed="false">
      <c r="A38" s="5" t="n">
        <v>32</v>
      </c>
      <c r="B38" s="5" t="s">
        <v>102</v>
      </c>
      <c r="C38" s="5" t="s">
        <v>178</v>
      </c>
      <c r="D38" s="60" t="n">
        <v>116</v>
      </c>
      <c r="E38" s="10" t="n">
        <v>29696</v>
      </c>
      <c r="F38" s="51" t="n">
        <f aca="false">IF(AND(D38&gt;0,N(E38)&gt;0),E38/D38,"")</f>
        <v>256</v>
      </c>
      <c r="G38" s="42" t="n">
        <f aca="false">IFERROR(INDEX(Prices!$C$6:$C$300,MATCH(B38,Prices!$A$6:$A$300,0)),"")</f>
        <v>195.85</v>
      </c>
      <c r="H38" s="8" t="n">
        <f aca="false">IF(ISNUMBER(G38),D38*G38,0)</f>
        <v>22718.6</v>
      </c>
      <c r="I38" s="8" t="n">
        <f aca="false">H38-N(E38)</f>
        <v>-6977.4</v>
      </c>
      <c r="J38" s="9" t="n">
        <f aca="false">IF(N(E38)&gt;0,I38/E38,"")</f>
        <v>-0.2349609375</v>
      </c>
      <c r="K38" s="9" t="n">
        <f aca="false">IF($H$6=0,"",H38/$H$6)</f>
        <v>0.00585842626310322</v>
      </c>
      <c r="L38" s="10" t="n">
        <v>24244</v>
      </c>
      <c r="M38" s="51" t="n">
        <f aca="false">IF(ISNUMBER(L38),L38/D38,"")</f>
        <v>209</v>
      </c>
      <c r="N38" s="8" t="n">
        <f aca="false">IF(ISNUMBER(L38),H38-L38,"")</f>
        <v>-1525.4</v>
      </c>
      <c r="O38" s="61"/>
    </row>
    <row r="39" customFormat="false" ht="15" hidden="false" customHeight="false" outlineLevel="0" collapsed="false">
      <c r="A39" s="5" t="n">
        <v>33</v>
      </c>
      <c r="B39" s="5" t="s">
        <v>103</v>
      </c>
      <c r="C39" s="5" t="s">
        <v>178</v>
      </c>
      <c r="D39" s="60" t="n">
        <v>302</v>
      </c>
      <c r="E39" s="10" t="n">
        <v>48018</v>
      </c>
      <c r="F39" s="51" t="n">
        <f aca="false">IF(AND(D39&gt;0,N(E39)&gt;0),E39/D39,"")</f>
        <v>159</v>
      </c>
      <c r="G39" s="42" t="n">
        <f aca="false">IFERROR(INDEX(Prices!$C$6:$C$300,MATCH(B39,Prices!$A$6:$A$300,0)),"")</f>
        <v>74.3</v>
      </c>
      <c r="H39" s="8" t="n">
        <f aca="false">IF(ISNUMBER(G39),D39*G39,0)</f>
        <v>22438.6</v>
      </c>
      <c r="I39" s="8" t="n">
        <f aca="false">H39-N(E39)</f>
        <v>-25579.4</v>
      </c>
      <c r="J39" s="9" t="n">
        <f aca="false">IF(N(E39)&gt;0,I39/E39,"")</f>
        <v>-0.532704402515723</v>
      </c>
      <c r="K39" s="9" t="n">
        <f aca="false">IF($H$6=0,"",H39/$H$6)</f>
        <v>0.00578622289873795</v>
      </c>
      <c r="L39" s="10" t="n">
        <v>24462</v>
      </c>
      <c r="M39" s="51" t="n">
        <f aca="false">IF(ISNUMBER(L39),L39/D39,"")</f>
        <v>81</v>
      </c>
      <c r="N39" s="8" t="n">
        <f aca="false">IF(ISNUMBER(L39),H39-L39,"")</f>
        <v>-2023.4</v>
      </c>
      <c r="O39" s="61"/>
    </row>
    <row r="40" customFormat="false" ht="15" hidden="false" customHeight="false" outlineLevel="0" collapsed="false">
      <c r="A40" s="5" t="n">
        <v>34</v>
      </c>
      <c r="B40" s="5" t="s">
        <v>104</v>
      </c>
      <c r="C40" s="5" t="s">
        <v>178</v>
      </c>
      <c r="D40" s="60" t="n">
        <v>245</v>
      </c>
      <c r="E40" s="10" t="n">
        <v>27195</v>
      </c>
      <c r="F40" s="51" t="n">
        <f aca="false">IF(AND(D40&gt;0,N(E40)&gt;0),E40/D40,"")</f>
        <v>111</v>
      </c>
      <c r="G40" s="42" t="n">
        <f aca="false">IFERROR(INDEX(Prices!$C$6:$C$300,MATCH(B40,Prices!$A$6:$A$300,0)),"")</f>
        <v>90.8</v>
      </c>
      <c r="H40" s="8" t="n">
        <f aca="false">IF(ISNUMBER(G40),D40*G40,0)</f>
        <v>22246</v>
      </c>
      <c r="I40" s="8" t="n">
        <f aca="false">H40-N(E40)</f>
        <v>-4949</v>
      </c>
      <c r="J40" s="9" t="n">
        <f aca="false">IF(N(E40)&gt;0,I40/E40,"")</f>
        <v>-0.181981981981982</v>
      </c>
      <c r="K40" s="9" t="n">
        <f aca="false">IF($H$6=0,"",H40/$H$6)</f>
        <v>0.00573655729882098</v>
      </c>
      <c r="L40" s="10" t="n">
        <v>21315</v>
      </c>
      <c r="M40" s="51" t="n">
        <f aca="false">IF(ISNUMBER(L40),L40/D40,"")</f>
        <v>87</v>
      </c>
      <c r="N40" s="8" t="n">
        <f aca="false">IF(ISNUMBER(L40),H40-L40,"")</f>
        <v>931</v>
      </c>
      <c r="O40" s="61"/>
    </row>
    <row r="41" customFormat="false" ht="15" hidden="false" customHeight="false" outlineLevel="0" collapsed="false">
      <c r="A41" s="5" t="n">
        <v>35</v>
      </c>
      <c r="B41" s="5" t="s">
        <v>105</v>
      </c>
      <c r="C41" s="5" t="s">
        <v>178</v>
      </c>
      <c r="D41" s="60" t="n">
        <v>380</v>
      </c>
      <c r="E41" s="10" t="n">
        <v>18620</v>
      </c>
      <c r="F41" s="51" t="n">
        <f aca="false">IF(AND(D41&gt;0,N(E41)&gt;0),E41/D41,"")</f>
        <v>49</v>
      </c>
      <c r="G41" s="42" t="n">
        <f aca="false">IFERROR(INDEX(Prices!$C$6:$C$300,MATCH(B41,Prices!$A$6:$A$300,0)),"")</f>
        <v>54.91</v>
      </c>
      <c r="H41" s="8" t="n">
        <f aca="false">IF(ISNUMBER(G41),D41*G41,0)</f>
        <v>20865.8</v>
      </c>
      <c r="I41" s="8" t="n">
        <f aca="false">H41-N(E41)</f>
        <v>2245.8</v>
      </c>
      <c r="J41" s="9" t="n">
        <f aca="false">IF(N(E41)&gt;0,I41/E41,"")</f>
        <v>0.120612244897959</v>
      </c>
      <c r="K41" s="9" t="n">
        <f aca="false">IF($H$6=0,"",H41/$H$6)</f>
        <v>0.00538064628633187</v>
      </c>
      <c r="L41" s="10" t="n">
        <v>22040</v>
      </c>
      <c r="M41" s="51" t="n">
        <f aca="false">IF(ISNUMBER(L41),L41/D41,"")</f>
        <v>58</v>
      </c>
      <c r="N41" s="8" t="n">
        <f aca="false">IF(ISNUMBER(L41),H41-L41,"")</f>
        <v>-1174.2</v>
      </c>
      <c r="O41" s="61"/>
    </row>
    <row r="42" customFormat="false" ht="15" hidden="false" customHeight="false" outlineLevel="0" collapsed="false">
      <c r="A42" s="5" t="n">
        <v>36</v>
      </c>
      <c r="B42" s="5" t="s">
        <v>70</v>
      </c>
      <c r="C42" s="5" t="s">
        <v>177</v>
      </c>
      <c r="D42" s="60" t="n">
        <v>5</v>
      </c>
      <c r="E42" s="10" t="n">
        <v>23660</v>
      </c>
      <c r="F42" s="51" t="n">
        <f aca="false">IF(AND(D42&gt;0,N(E42)&gt;0),E42/D42,"")</f>
        <v>4732</v>
      </c>
      <c r="G42" s="42" t="n">
        <f aca="false">IFERROR(INDEX(Prices!$C$6:$C$300,MATCH(B42,Prices!$A$6:$A$300,0)),"")</f>
        <v>3915</v>
      </c>
      <c r="H42" s="8" t="n">
        <f aca="false">IF(ISNUMBER(G42),D42*G42,0)</f>
        <v>19575</v>
      </c>
      <c r="I42" s="8" t="n">
        <f aca="false">H42-N(E42)</f>
        <v>-4085</v>
      </c>
      <c r="J42" s="9" t="n">
        <f aca="false">IF(N(E42)&gt;0,I42/E42,"")</f>
        <v>-0.172654268808115</v>
      </c>
      <c r="K42" s="9" t="n">
        <f aca="false">IF($H$6=0,"",H42/$H$6)</f>
        <v>0.00504778877660796</v>
      </c>
      <c r="L42" s="10" t="n">
        <v>21375</v>
      </c>
      <c r="M42" s="51" t="n">
        <f aca="false">IF(ISNUMBER(L42),L42/D42,"")</f>
        <v>4275</v>
      </c>
      <c r="N42" s="8" t="n">
        <f aca="false">IF(ISNUMBER(L42),H42-L42,"")</f>
        <v>-1800</v>
      </c>
      <c r="O42" s="61" t="s">
        <v>182</v>
      </c>
    </row>
    <row r="43" customFormat="false" ht="15" hidden="false" customHeight="false" outlineLevel="0" collapsed="false">
      <c r="A43" s="5" t="n">
        <v>37</v>
      </c>
      <c r="B43" s="5" t="s">
        <v>106</v>
      </c>
      <c r="C43" s="5" t="s">
        <v>178</v>
      </c>
      <c r="D43" s="60" t="n">
        <v>124</v>
      </c>
      <c r="E43" s="10" t="n">
        <v>28024</v>
      </c>
      <c r="F43" s="51" t="n">
        <f aca="false">IF(AND(D43&gt;0,N(E43)&gt;0),E43/D43,"")</f>
        <v>226</v>
      </c>
      <c r="G43" s="42" t="n">
        <f aca="false">IFERROR(INDEX(Prices!$C$6:$C$300,MATCH(B43,Prices!$A$6:$A$300,0)),"")</f>
        <v>156.99</v>
      </c>
      <c r="H43" s="8" t="n">
        <f aca="false">IF(ISNUMBER(G43),D43*G43,0)</f>
        <v>19466.76</v>
      </c>
      <c r="I43" s="8" t="n">
        <f aca="false">H43-N(E43)</f>
        <v>-8557.24</v>
      </c>
      <c r="J43" s="9" t="n">
        <f aca="false">IF(N(E43)&gt;0,I43/E43,"")</f>
        <v>-0.305353982300885</v>
      </c>
      <c r="K43" s="9" t="n">
        <f aca="false">IF($H$6=0,"",H43/$H$6)</f>
        <v>0.00501987701889761</v>
      </c>
      <c r="L43" s="10" t="n">
        <v>21452</v>
      </c>
      <c r="M43" s="51" t="n">
        <f aca="false">IF(ISNUMBER(L43),L43/D43,"")</f>
        <v>173</v>
      </c>
      <c r="N43" s="8" t="n">
        <f aca="false">IF(ISNUMBER(L43),H43-L43,"")</f>
        <v>-1985.24</v>
      </c>
      <c r="O43" s="61"/>
    </row>
    <row r="44" customFormat="false" ht="15" hidden="false" customHeight="false" outlineLevel="0" collapsed="false">
      <c r="A44" s="5" t="n">
        <v>38</v>
      </c>
      <c r="B44" s="5" t="s">
        <v>107</v>
      </c>
      <c r="C44" s="5" t="s">
        <v>178</v>
      </c>
      <c r="D44" s="60" t="n">
        <v>35</v>
      </c>
      <c r="E44" s="10" t="n">
        <v>24710</v>
      </c>
      <c r="F44" s="51" t="n">
        <f aca="false">IF(AND(D44&gt;0,N(E44)&gt;0),E44/D44,"")</f>
        <v>706</v>
      </c>
      <c r="G44" s="42" t="n">
        <f aca="false">IFERROR(INDEX(Prices!$C$6:$C$300,MATCH(B44,Prices!$A$6:$A$300,0)),"")</f>
        <v>547.2</v>
      </c>
      <c r="H44" s="8" t="n">
        <f aca="false">IF(ISNUMBER(G44),D44*G44,0)</f>
        <v>19152</v>
      </c>
      <c r="I44" s="8" t="n">
        <f aca="false">H44-N(E44)</f>
        <v>-5558</v>
      </c>
      <c r="J44" s="9" t="n">
        <f aca="false">IF(N(E44)&gt;0,I44/E44,"")</f>
        <v>-0.224929178470255</v>
      </c>
      <c r="K44" s="9" t="n">
        <f aca="false">IF($H$6=0,"",H44/$H$6)</f>
        <v>0.00493871012258471</v>
      </c>
      <c r="L44" s="10" t="n">
        <v>22365</v>
      </c>
      <c r="M44" s="51" t="n">
        <f aca="false">IF(ISNUMBER(L44),L44/D44,"")</f>
        <v>639</v>
      </c>
      <c r="N44" s="8" t="n">
        <f aca="false">IF(ISNUMBER(L44),H44-L44,"")</f>
        <v>-3213</v>
      </c>
      <c r="O44" s="61"/>
    </row>
    <row r="45" customFormat="false" ht="15" hidden="false" customHeight="false" outlineLevel="0" collapsed="false">
      <c r="A45" s="5" t="n">
        <v>39</v>
      </c>
      <c r="B45" s="5" t="s">
        <v>86</v>
      </c>
      <c r="C45" s="5" t="s">
        <v>24</v>
      </c>
      <c r="D45" s="60" t="n">
        <v>8</v>
      </c>
      <c r="E45" s="10" t="n">
        <v>14064</v>
      </c>
      <c r="F45" s="51" t="n">
        <f aca="false">IF(AND(D45&gt;0,N(E45)&gt;0),E45/D45,"")</f>
        <v>1758</v>
      </c>
      <c r="G45" s="42" t="n">
        <f aca="false">IFERROR(INDEX(Prices!$C$6:$C$300,MATCH(B45,Prices!$A$6:$A$300,0)),"")</f>
        <v>2317</v>
      </c>
      <c r="H45" s="8" t="n">
        <f aca="false">IF(ISNUMBER(G45),D45*G45,0)</f>
        <v>18536</v>
      </c>
      <c r="I45" s="8" t="n">
        <f aca="false">H45-N(E45)</f>
        <v>4472</v>
      </c>
      <c r="J45" s="9" t="n">
        <f aca="false">IF(N(E45)&gt;0,I45/E45,"")</f>
        <v>0.317974971558589</v>
      </c>
      <c r="K45" s="9" t="n">
        <f aca="false">IF($H$6=0,"",H45/$H$6)</f>
        <v>0.0047798627209811</v>
      </c>
      <c r="L45" s="10" t="n">
        <v>21000</v>
      </c>
      <c r="M45" s="51" t="n">
        <f aca="false">IF(ISNUMBER(L45),L45/D45,"")</f>
        <v>2625</v>
      </c>
      <c r="N45" s="8" t="n">
        <f aca="false">IF(ISNUMBER(L45),H45-L45,"")</f>
        <v>-2464</v>
      </c>
      <c r="O45" s="61"/>
    </row>
    <row r="46" customFormat="false" ht="15" hidden="false" customHeight="false" outlineLevel="0" collapsed="false">
      <c r="A46" s="5" t="n">
        <v>40</v>
      </c>
      <c r="B46" s="5" t="s">
        <v>108</v>
      </c>
      <c r="C46" s="5" t="s">
        <v>178</v>
      </c>
      <c r="D46" s="60" t="n">
        <v>51</v>
      </c>
      <c r="E46" s="10" t="n">
        <v>30804</v>
      </c>
      <c r="F46" s="51" t="n">
        <f aca="false">IF(AND(D46&gt;0,N(E46)&gt;0),E46/D46,"")</f>
        <v>604</v>
      </c>
      <c r="G46" s="42" t="n">
        <f aca="false">IFERROR(INDEX(Prices!$C$6:$C$300,MATCH(B46,Prices!$A$6:$A$300,0)),"")</f>
        <v>346</v>
      </c>
      <c r="H46" s="8" t="n">
        <f aca="false">IF(ISNUMBER(G46),D46*G46,0)</f>
        <v>17646</v>
      </c>
      <c r="I46" s="8" t="n">
        <f aca="false">H46-N(E46)</f>
        <v>-13158</v>
      </c>
      <c r="J46" s="9" t="n">
        <f aca="false">IF(N(E46)&gt;0,I46/E46,"")</f>
        <v>-0.427152317880795</v>
      </c>
      <c r="K46" s="9" t="n">
        <f aca="false">IF($H$6=0,"",H46/$H$6)</f>
        <v>0.00455035916996291</v>
      </c>
      <c r="L46" s="10" t="n">
        <v>19533</v>
      </c>
      <c r="M46" s="51" t="n">
        <f aca="false">IF(ISNUMBER(L46),L46/D46,"")</f>
        <v>383</v>
      </c>
      <c r="N46" s="8" t="n">
        <f aca="false">IF(ISNUMBER(L46),H46-L46,"")</f>
        <v>-1887</v>
      </c>
      <c r="O46" s="61"/>
    </row>
    <row r="47" customFormat="false" ht="15" hidden="false" customHeight="false" outlineLevel="0" collapsed="false">
      <c r="A47" s="5" t="n">
        <v>41</v>
      </c>
      <c r="B47" s="5" t="s">
        <v>109</v>
      </c>
      <c r="C47" s="5" t="s">
        <v>178</v>
      </c>
      <c r="D47" s="60" t="n">
        <v>49</v>
      </c>
      <c r="E47" s="10" t="n">
        <v>25823</v>
      </c>
      <c r="F47" s="51" t="n">
        <f aca="false">IF(AND(D47&gt;0,N(E47)&gt;0),E47/D47,"")</f>
        <v>527</v>
      </c>
      <c r="G47" s="42" t="n">
        <f aca="false">IFERROR(INDEX(Prices!$C$6:$C$300,MATCH(B47,Prices!$A$6:$A$300,0)),"")</f>
        <v>341</v>
      </c>
      <c r="H47" s="8" t="n">
        <f aca="false">IF(ISNUMBER(G47),D47*G47,0)</f>
        <v>16709</v>
      </c>
      <c r="I47" s="8" t="n">
        <f aca="false">H47-N(E47)</f>
        <v>-9114</v>
      </c>
      <c r="J47" s="9" t="n">
        <f aca="false">IF(N(E47)&gt;0,I47/E47,"")</f>
        <v>-0.352941176470588</v>
      </c>
      <c r="K47" s="9" t="n">
        <f aca="false">IF($H$6=0,"",H47/$H$6)</f>
        <v>0.00430873576849769</v>
      </c>
      <c r="L47" s="10" t="n">
        <v>19208</v>
      </c>
      <c r="M47" s="51" t="n">
        <f aca="false">IF(ISNUMBER(L47),L47/D47,"")</f>
        <v>392</v>
      </c>
      <c r="N47" s="8" t="n">
        <f aca="false">IF(ISNUMBER(L47),H47-L47,"")</f>
        <v>-2499</v>
      </c>
      <c r="O47" s="61"/>
    </row>
    <row r="48" customFormat="false" ht="15" hidden="false" customHeight="false" outlineLevel="0" collapsed="false">
      <c r="A48" s="5" t="n">
        <v>42</v>
      </c>
      <c r="B48" s="5" t="s">
        <v>111</v>
      </c>
      <c r="C48" s="5" t="s">
        <v>24</v>
      </c>
      <c r="D48" s="60" t="n">
        <v>78</v>
      </c>
      <c r="E48" s="10" t="n">
        <v>30030</v>
      </c>
      <c r="F48" s="51" t="n">
        <f aca="false">IF(AND(D48&gt;0,N(E48)&gt;0),E48/D48,"")</f>
        <v>385</v>
      </c>
      <c r="G48" s="42" t="n">
        <f aca="false">IFERROR(INDEX(Prices!$C$6:$C$300,MATCH(B48,Prices!$A$6:$A$300,0)),"")</f>
        <v>209.8</v>
      </c>
      <c r="H48" s="8" t="n">
        <f aca="false">IF(ISNUMBER(G48),D48*G48,0)</f>
        <v>16364.4</v>
      </c>
      <c r="I48" s="8" t="n">
        <f aca="false">H48-N(E48)</f>
        <v>-13665.6</v>
      </c>
      <c r="J48" s="9" t="n">
        <f aca="false">IF(N(E48)&gt;0,I48/E48,"")</f>
        <v>-0.455064935064935</v>
      </c>
      <c r="K48" s="9" t="n">
        <f aca="false">IF($H$6=0,"",H48/$H$6)</f>
        <v>0.00421987405649672</v>
      </c>
      <c r="L48" s="10" t="n">
        <v>17160</v>
      </c>
      <c r="M48" s="51" t="n">
        <f aca="false">IF(ISNUMBER(L48),L48/D48,"")</f>
        <v>220</v>
      </c>
      <c r="N48" s="8" t="n">
        <f aca="false">IF(ISNUMBER(L48),H48-L48,"")</f>
        <v>-795.599999999999</v>
      </c>
      <c r="O48" s="61"/>
    </row>
    <row r="49" customFormat="false" ht="15" hidden="false" customHeight="false" outlineLevel="0" collapsed="false">
      <c r="A49" s="5" t="n">
        <v>43</v>
      </c>
      <c r="B49" s="5" t="s">
        <v>112</v>
      </c>
      <c r="C49" s="5" t="s">
        <v>178</v>
      </c>
      <c r="D49" s="60" t="n">
        <v>67</v>
      </c>
      <c r="E49" s="10" t="n">
        <v>28140</v>
      </c>
      <c r="F49" s="51" t="n">
        <f aca="false">IF(AND(D49&gt;0,N(E49)&gt;0),E49/D49,"")</f>
        <v>420</v>
      </c>
      <c r="G49" s="42" t="n">
        <f aca="false">IFERROR(INDEX(Prices!$C$6:$C$300,MATCH(B49,Prices!$A$6:$A$300,0)),"")</f>
        <v>240.9</v>
      </c>
      <c r="H49" s="8" t="n">
        <f aca="false">IF(ISNUMBER(G49),D49*G49,0)</f>
        <v>16140.3</v>
      </c>
      <c r="I49" s="8" t="n">
        <f aca="false">H49-N(E49)</f>
        <v>-11999.7</v>
      </c>
      <c r="J49" s="9" t="n">
        <f aca="false">IF(N(E49)&gt;0,I49/E49,"")</f>
        <v>-0.426428571428571</v>
      </c>
      <c r="K49" s="9" t="n">
        <f aca="false">IF($H$6=0,"",H49/$H$6)</f>
        <v>0.00416208557808866</v>
      </c>
      <c r="L49" s="10" t="n">
        <v>17822</v>
      </c>
      <c r="M49" s="51" t="n">
        <f aca="false">IF(ISNUMBER(L49),L49/D49,"")</f>
        <v>266</v>
      </c>
      <c r="N49" s="8" t="n">
        <f aca="false">IF(ISNUMBER(L49),H49-L49,"")</f>
        <v>-1681.7</v>
      </c>
      <c r="O49" s="61"/>
    </row>
    <row r="50" customFormat="false" ht="15" hidden="false" customHeight="false" outlineLevel="0" collapsed="false">
      <c r="A50" s="5" t="n">
        <v>44</v>
      </c>
      <c r="B50" s="5" t="s">
        <v>115</v>
      </c>
      <c r="C50" s="5" t="s">
        <v>178</v>
      </c>
      <c r="D50" s="60" t="n">
        <v>54</v>
      </c>
      <c r="E50" s="10" t="n">
        <v>27540</v>
      </c>
      <c r="F50" s="51" t="n">
        <f aca="false">IF(AND(D50&gt;0,N(E50)&gt;0),E50/D50,"")</f>
        <v>510</v>
      </c>
      <c r="G50" s="42" t="n">
        <f aca="false">IFERROR(INDEX(Prices!$C$6:$C$300,MATCH(B50,Prices!$A$6:$A$300,0)),"")</f>
        <v>295</v>
      </c>
      <c r="H50" s="8" t="n">
        <f aca="false">IF(ISNUMBER(G50),D50*G50,0)</f>
        <v>15930</v>
      </c>
      <c r="I50" s="8" t="n">
        <f aca="false">H50-N(E50)</f>
        <v>-11610</v>
      </c>
      <c r="J50" s="9" t="n">
        <f aca="false">IF(N(E50)&gt;0,I50/E50,"")</f>
        <v>-0.42156862745098</v>
      </c>
      <c r="K50" s="9" t="n">
        <f aca="false">IF($H$6=0,"",H50/$H$6)</f>
        <v>0.00410785569406717</v>
      </c>
      <c r="L50" s="10" t="n">
        <v>16902</v>
      </c>
      <c r="M50" s="51" t="n">
        <f aca="false">IF(ISNUMBER(L50),L50/D50,"")</f>
        <v>313</v>
      </c>
      <c r="N50" s="8" t="n">
        <f aca="false">IF(ISNUMBER(L50),H50-L50,"")</f>
        <v>-972</v>
      </c>
      <c r="O50" s="61"/>
    </row>
    <row r="51" customFormat="false" ht="15" hidden="false" customHeight="false" outlineLevel="0" collapsed="false">
      <c r="A51" s="5" t="n">
        <v>45</v>
      </c>
      <c r="B51" s="5" t="s">
        <v>116</v>
      </c>
      <c r="C51" s="5" t="s">
        <v>178</v>
      </c>
      <c r="D51" s="60" t="n">
        <v>48</v>
      </c>
      <c r="E51" s="10" t="n">
        <v>19392</v>
      </c>
      <c r="F51" s="51" t="n">
        <f aca="false">IF(AND(D51&gt;0,N(E51)&gt;0),E51/D51,"")</f>
        <v>404</v>
      </c>
      <c r="G51" s="42" t="n">
        <f aca="false">IFERROR(INDEX(Prices!$C$6:$C$300,MATCH(B51,Prices!$A$6:$A$300,0)),"")</f>
        <v>330.25</v>
      </c>
      <c r="H51" s="8" t="n">
        <f aca="false">IF(ISNUMBER(G51),D51*G51,0)</f>
        <v>15852</v>
      </c>
      <c r="I51" s="8" t="n">
        <f aca="false">H51-N(E51)</f>
        <v>-3540</v>
      </c>
      <c r="J51" s="9" t="n">
        <f aca="false">IF(N(E51)&gt;0,I51/E51,"")</f>
        <v>-0.182549504950495</v>
      </c>
      <c r="K51" s="9" t="n">
        <f aca="false">IF($H$6=0,"",H51/$H$6)</f>
        <v>0.00408774189970827</v>
      </c>
      <c r="L51" s="10" t="n">
        <v>16992</v>
      </c>
      <c r="M51" s="51" t="n">
        <f aca="false">IF(ISNUMBER(L51),L51/D51,"")</f>
        <v>354</v>
      </c>
      <c r="N51" s="8" t="n">
        <f aca="false">IF(ISNUMBER(L51),H51-L51,"")</f>
        <v>-1140</v>
      </c>
      <c r="O51" s="61"/>
    </row>
    <row r="52" customFormat="false" ht="15" hidden="false" customHeight="false" outlineLevel="0" collapsed="false">
      <c r="A52" s="5" t="n">
        <v>46</v>
      </c>
      <c r="B52" s="5" t="s">
        <v>117</v>
      </c>
      <c r="C52" s="5" t="s">
        <v>178</v>
      </c>
      <c r="D52" s="60" t="n">
        <v>150</v>
      </c>
      <c r="E52" s="10" t="n">
        <v>24000</v>
      </c>
      <c r="F52" s="51" t="n">
        <f aca="false">IF(AND(D52&gt;0,N(E52)&gt;0),E52/D52,"")</f>
        <v>160</v>
      </c>
      <c r="G52" s="42" t="n">
        <f aca="false">IFERROR(INDEX(Prices!$C$6:$C$300,MATCH(B52,Prices!$A$6:$A$300,0)),"")</f>
        <v>103.75</v>
      </c>
      <c r="H52" s="8" t="n">
        <f aca="false">IF(ISNUMBER(G52),D52*G52,0)</f>
        <v>15562.5</v>
      </c>
      <c r="I52" s="8" t="n">
        <f aca="false">H52-N(E52)</f>
        <v>-8437.5</v>
      </c>
      <c r="J52" s="9" t="n">
        <f aca="false">IF(N(E52)&gt;0,I52/E52,"")</f>
        <v>-0.3515625</v>
      </c>
      <c r="K52" s="9" t="n">
        <f aca="false">IF($H$6=0,"",H52/$H$6)</f>
        <v>0.00401308877833775</v>
      </c>
      <c r="L52" s="10" t="n">
        <v>17100</v>
      </c>
      <c r="M52" s="51" t="n">
        <f aca="false">IF(ISNUMBER(L52),L52/D52,"")</f>
        <v>114</v>
      </c>
      <c r="N52" s="8" t="n">
        <f aca="false">IF(ISNUMBER(L52),H52-L52,"")</f>
        <v>-1537.5</v>
      </c>
      <c r="O52" s="61"/>
    </row>
    <row r="53" customFormat="false" ht="15" hidden="false" customHeight="false" outlineLevel="0" collapsed="false">
      <c r="A53" s="5" t="n">
        <v>47</v>
      </c>
      <c r="B53" s="5" t="s">
        <v>119</v>
      </c>
      <c r="C53" s="5" t="s">
        <v>178</v>
      </c>
      <c r="D53" s="60" t="n">
        <v>33</v>
      </c>
      <c r="E53" s="10" t="n">
        <v>17886</v>
      </c>
      <c r="F53" s="51" t="n">
        <f aca="false">IF(AND(D53&gt;0,N(E53)&gt;0),E53/D53,"")</f>
        <v>542</v>
      </c>
      <c r="G53" s="42" t="n">
        <f aca="false">IFERROR(INDEX(Prices!$C$6:$C$300,MATCH(B53,Prices!$A$6:$A$300,0)),"")</f>
        <v>426.65</v>
      </c>
      <c r="H53" s="8" t="n">
        <f aca="false">IF(ISNUMBER(G53),D53*G53,0)</f>
        <v>14079.45</v>
      </c>
      <c r="I53" s="8" t="n">
        <f aca="false">H53-N(E53)</f>
        <v>-3806.55</v>
      </c>
      <c r="J53" s="9" t="n">
        <f aca="false">IF(N(E53)&gt;0,I53/E53,"")</f>
        <v>-0.212822878228782</v>
      </c>
      <c r="K53" s="9" t="n">
        <f aca="false">IF($H$6=0,"",H53/$H$6)</f>
        <v>0.00363065592290232</v>
      </c>
      <c r="L53" s="10" t="n">
        <v>16302</v>
      </c>
      <c r="M53" s="51" t="n">
        <f aca="false">IF(ISNUMBER(L53),L53/D53,"")</f>
        <v>494</v>
      </c>
      <c r="N53" s="8" t="n">
        <f aca="false">IF(ISNUMBER(L53),H53-L53,"")</f>
        <v>-2222.55</v>
      </c>
      <c r="O53" s="61"/>
    </row>
    <row r="54" customFormat="false" ht="15" hidden="false" customHeight="false" outlineLevel="0" collapsed="false">
      <c r="A54" s="5" t="n">
        <v>48</v>
      </c>
      <c r="B54" s="5" t="s">
        <v>120</v>
      </c>
      <c r="C54" s="5" t="s">
        <v>178</v>
      </c>
      <c r="D54" s="60" t="n">
        <v>132</v>
      </c>
      <c r="E54" s="10" t="n">
        <v>23496</v>
      </c>
      <c r="F54" s="51" t="n">
        <f aca="false">IF(AND(D54&gt;0,N(E54)&gt;0),E54/D54,"")</f>
        <v>178</v>
      </c>
      <c r="G54" s="42" t="n">
        <f aca="false">IFERROR(INDEX(Prices!$C$6:$C$300,MATCH(B54,Prices!$A$6:$A$300,0)),"")</f>
        <v>101.4</v>
      </c>
      <c r="H54" s="8" t="n">
        <f aca="false">IF(ISNUMBER(G54),D54*G54,0)</f>
        <v>13384.8</v>
      </c>
      <c r="I54" s="8" t="n">
        <f aca="false">H54-N(E54)</f>
        <v>-10111.2</v>
      </c>
      <c r="J54" s="9" t="n">
        <f aca="false">IF(N(E54)&gt;0,I54/E54,"")</f>
        <v>-0.430337078651685</v>
      </c>
      <c r="K54" s="9" t="n">
        <f aca="false">IF($H$6=0,"",H54/$H$6)</f>
        <v>0.00345152711198683</v>
      </c>
      <c r="L54" s="10" t="n">
        <v>15048</v>
      </c>
      <c r="M54" s="51" t="n">
        <f aca="false">IF(ISNUMBER(L54),L54/D54,"")</f>
        <v>114</v>
      </c>
      <c r="N54" s="8" t="n">
        <f aca="false">IF(ISNUMBER(L54),H54-L54,"")</f>
        <v>-1663.2</v>
      </c>
      <c r="O54" s="61"/>
    </row>
    <row r="55" customFormat="false" ht="15" hidden="false" customHeight="false" outlineLevel="0" collapsed="false">
      <c r="A55" s="5" t="n">
        <v>49</v>
      </c>
      <c r="B55" s="5" t="s">
        <v>113</v>
      </c>
      <c r="C55" s="5" t="s">
        <v>24</v>
      </c>
      <c r="D55" s="60" t="n">
        <v>99</v>
      </c>
      <c r="E55" s="10" t="n">
        <v>12177</v>
      </c>
      <c r="F55" s="51" t="n">
        <f aca="false">IF(AND(D55&gt;0,N(E55)&gt;0),E55/D55,"")</f>
        <v>123</v>
      </c>
      <c r="G55" s="42" t="n">
        <f aca="false">IFERROR(INDEX(Prices!$C$6:$C$300,MATCH(B55,Prices!$A$6:$A$300,0)),"")</f>
        <v>127</v>
      </c>
      <c r="H55" s="8" t="n">
        <f aca="false">IF(ISNUMBER(G55),D55*G55,0)</f>
        <v>12573</v>
      </c>
      <c r="I55" s="8" t="n">
        <f aca="false">H55-N(E55)</f>
        <v>396</v>
      </c>
      <c r="J55" s="9" t="n">
        <f aca="false">IF(N(E55)&gt;0,I55/E55,"")</f>
        <v>0.032520325203252</v>
      </c>
      <c r="K55" s="9" t="n">
        <f aca="false">IF($H$6=0,"",H55/$H$6)</f>
        <v>0.00324218892915923</v>
      </c>
      <c r="L55" s="10" t="n">
        <v>12771</v>
      </c>
      <c r="M55" s="51" t="n">
        <f aca="false">IF(ISNUMBER(L55),L55/D55,"")</f>
        <v>129</v>
      </c>
      <c r="N55" s="8" t="n">
        <f aca="false">IF(ISNUMBER(L55),H55-L55,"")</f>
        <v>-198</v>
      </c>
      <c r="O55" s="61"/>
    </row>
    <row r="56" customFormat="false" ht="15" hidden="false" customHeight="false" outlineLevel="0" collapsed="false">
      <c r="A56" s="5" t="n">
        <v>50</v>
      </c>
      <c r="B56" s="5" t="s">
        <v>121</v>
      </c>
      <c r="C56" s="5" t="s">
        <v>178</v>
      </c>
      <c r="D56" s="60" t="n">
        <v>9</v>
      </c>
      <c r="E56" s="10" t="n">
        <v>12114</v>
      </c>
      <c r="F56" s="51" t="n">
        <f aca="false">IF(AND(D56&gt;0,N(E56)&gt;0),E56/D56,"")</f>
        <v>1346</v>
      </c>
      <c r="G56" s="42" t="n">
        <f aca="false">IFERROR(INDEX(Prices!$C$6:$C$300,MATCH(B56,Prices!$A$6:$A$300,0)),"")</f>
        <v>1084.7</v>
      </c>
      <c r="H56" s="8" t="n">
        <f aca="false">IF(ISNUMBER(G56),D56*G56,0)</f>
        <v>9762.3</v>
      </c>
      <c r="I56" s="8" t="n">
        <f aca="false">H56-N(E56)</f>
        <v>-2351.7</v>
      </c>
      <c r="J56" s="9" t="n">
        <f aca="false">IF(N(E56)&gt;0,I56/E56,"")</f>
        <v>-0.194130757800891</v>
      </c>
      <c r="K56" s="9" t="n">
        <f aca="false">IF($H$6=0,"",H56/$H$6)</f>
        <v>0.0025173960855111</v>
      </c>
      <c r="L56" s="10" t="n">
        <v>9531</v>
      </c>
      <c r="M56" s="51" t="n">
        <f aca="false">IF(ISNUMBER(L56),L56/D56,"")</f>
        <v>1059</v>
      </c>
      <c r="N56" s="8" t="n">
        <f aca="false">IF(ISNUMBER(L56),H56-L56,"")</f>
        <v>231.300000000001</v>
      </c>
      <c r="O56" s="61"/>
    </row>
    <row r="57" customFormat="false" ht="15" hidden="false" customHeight="false" outlineLevel="0" collapsed="false">
      <c r="A57" s="5" t="n">
        <v>51</v>
      </c>
      <c r="B57" s="5" t="s">
        <v>123</v>
      </c>
      <c r="C57" s="5" t="s">
        <v>24</v>
      </c>
      <c r="D57" s="60" t="n">
        <v>560</v>
      </c>
      <c r="E57" s="10" t="n">
        <v>30800</v>
      </c>
      <c r="F57" s="51" t="n">
        <f aca="false">IF(AND(D57&gt;0,N(E57)&gt;0),E57/D57,"")</f>
        <v>55</v>
      </c>
      <c r="G57" s="42" t="n">
        <f aca="false">IFERROR(INDEX(Prices!$C$6:$C$300,MATCH(B57,Prices!$A$6:$A$300,0)),"")</f>
        <v>13.64</v>
      </c>
      <c r="H57" s="8" t="n">
        <f aca="false">IF(ISNUMBER(G57),D57*G57,0)</f>
        <v>7638.4</v>
      </c>
      <c r="I57" s="8" t="n">
        <f aca="false">H57-N(E57)</f>
        <v>-23161.6</v>
      </c>
      <c r="J57" s="9" t="n">
        <f aca="false">IF(N(E57)&gt;0,I57/E57,"")</f>
        <v>-0.752</v>
      </c>
      <c r="K57" s="9" t="n">
        <f aca="false">IF($H$6=0,"",H57/$H$6)</f>
        <v>0.00196970777988466</v>
      </c>
      <c r="L57" s="10" t="n">
        <v>8120</v>
      </c>
      <c r="M57" s="51" t="n">
        <f aca="false">IF(ISNUMBER(L57),L57/D57,"")</f>
        <v>14.5</v>
      </c>
      <c r="N57" s="8" t="n">
        <f aca="false">IF(ISNUMBER(L57),H57-L57,"")</f>
        <v>-481.599999999999</v>
      </c>
      <c r="O57" s="61"/>
    </row>
    <row r="58" customFormat="false" ht="15" hidden="false" customHeight="false" outlineLevel="0" collapsed="false">
      <c r="A58" s="5" t="n">
        <v>52</v>
      </c>
      <c r="B58" s="5" t="s">
        <v>125</v>
      </c>
      <c r="C58" s="5" t="s">
        <v>178</v>
      </c>
      <c r="D58" s="60" t="n">
        <v>20</v>
      </c>
      <c r="E58" s="10" t="n">
        <v>6320</v>
      </c>
      <c r="F58" s="51" t="n">
        <f aca="false">IF(AND(D58&gt;0,N(E58)&gt;0),E58/D58,"")</f>
        <v>316</v>
      </c>
      <c r="G58" s="42" t="n">
        <f aca="false">IFERROR(INDEX(Prices!$C$6:$C$300,MATCH(B58,Prices!$A$6:$A$300,0)),"")</f>
        <v>110.08</v>
      </c>
      <c r="H58" s="8" t="n">
        <f aca="false">IF(ISNUMBER(G58),D58*G58,0)</f>
        <v>2201.6</v>
      </c>
      <c r="I58" s="8" t="n">
        <f aca="false">H58-N(E58)</f>
        <v>-4118.4</v>
      </c>
      <c r="J58" s="9" t="n">
        <f aca="false">IF(N(E58)&gt;0,I58/E58,"")</f>
        <v>-0.651645569620253</v>
      </c>
      <c r="K58" s="9" t="n">
        <f aca="false">IF($H$6=0,"",H58/$H$6)</f>
        <v>0.000567724739237807</v>
      </c>
      <c r="L58" s="10" t="n">
        <v>2520</v>
      </c>
      <c r="M58" s="51" t="n">
        <f aca="false">IF(ISNUMBER(L58),L58/D58,"")</f>
        <v>126</v>
      </c>
      <c r="N58" s="8" t="n">
        <f aca="false">IF(ISNUMBER(L58),H58-L58,"")</f>
        <v>-318.4</v>
      </c>
      <c r="O58" s="61"/>
    </row>
    <row r="59" customFormat="false" ht="15" hidden="false" customHeight="false" outlineLevel="0" collapsed="false">
      <c r="A59" s="5" t="n">
        <v>53</v>
      </c>
      <c r="B59" s="5" t="s">
        <v>126</v>
      </c>
      <c r="C59" s="5" t="s">
        <v>24</v>
      </c>
      <c r="D59" s="60" t="n">
        <v>344</v>
      </c>
      <c r="E59" s="10" t="n">
        <v>0</v>
      </c>
      <c r="F59" s="51" t="str">
        <f aca="false">IF(AND(D59&gt;0,N(E59)&gt;0),E59/D59,"")</f>
        <v/>
      </c>
      <c r="G59" s="42" t="n">
        <f aca="false">IFERROR(INDEX(Prices!$C$6:$C$300,MATCH(B59,Prices!$A$6:$A$300,0)),"")</f>
        <v>4</v>
      </c>
      <c r="H59" s="8" t="n">
        <f aca="false">IF(ISNUMBER(G59),D59*G59,0)</f>
        <v>1376</v>
      </c>
      <c r="I59" s="8" t="n">
        <f aca="false">H59-N(E59)</f>
        <v>1376</v>
      </c>
      <c r="J59" s="9" t="str">
        <f aca="false">IF(N(E59)&gt;0,I59/E59,"")</f>
        <v/>
      </c>
      <c r="K59" s="9" t="n">
        <f aca="false">IF($H$6=0,"",H59/$H$6)</f>
        <v>0.00035482796202363</v>
      </c>
      <c r="L59" s="10" t="n">
        <v>1376</v>
      </c>
      <c r="M59" s="51" t="n">
        <f aca="false">IF(ISNUMBER(L59),L59/D59,"")</f>
        <v>4</v>
      </c>
      <c r="N59" s="8" t="n">
        <f aca="false">IF(ISNUMBER(L59),H59-L59,"")</f>
        <v>0</v>
      </c>
      <c r="O59" s="61" t="s">
        <v>183</v>
      </c>
    </row>
  </sheetData>
  <conditionalFormatting sqref="G7:G300">
    <cfRule type="expression" priority="2" aboveAverage="0" equalAverage="0" bottom="0" percent="0" rank="0" text="" dxfId="0">
      <formula>ISNUMBER(SEARCH("stale",INDEX(Prices!$D$6:$D$300,MATCH($B7,Prices!$A$6:$A$300,0))))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2026-10-23T00:46:17Z</dcterms:created>
  <dc:creator>openpyxl</dc:creator>
  <dc:description/>
  <dc:language>en-US</dc:language>
  <cp:lastModifiedBy/>
  <dcterms:modified xsi:type="dcterms:W3CDTF">2026-10-23T00:46:18Z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