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<sst xmlns="http://schemas.openxmlformats.org/spreadsheetml/2006/main" count="1366" uniqueCount="296">
  <si>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</si>
  <si>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</si>
  <si>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</si>
  <si>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</si>
  <si>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</si>
  <si>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</si>
  <si>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</si>
  <si>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</si>
  <si>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</si>
  <si>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</si>
  <si>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</si>
  <si>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</si>
  <si>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</si>
  <si>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</si>
  <si>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</si>
  <si>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</si>
  <si>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</si>
  <si>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</si>
  <si>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</si>
  <si>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</si>
  <si>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</si>
  <si>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</si>
  <si>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</si>
  <si>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</si>
  <si>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</si>
  <si>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</si>
  <si>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</si>
  <si>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</si>
  <si>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</si>
  <si>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</si>
  <si>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</si>
  <si>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</si>
  <si>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</si>
  <si>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</si>
  <si>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</si>
  <si>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</si>
  <si>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</si>
  <si>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</si>
  <si>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</si>
  <si>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</si>
  <si>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</si>
  <si>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</si>
  <si>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</si>
  <si>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</si>
  <si>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</si>
  <si>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</si>
  <si>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</si>
  <si>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</si>
  <si>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</si>
  <si>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</si>
  <si>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</si>
  <si>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</si>
  <si>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</si>
  <si>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</si>
  <si>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</si>
  <si>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</si>
  <si>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</si>
  <si>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</si>
  <si>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</si>
  <si>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</si>
  <si>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</si>
  <si>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</si>
  <si>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</si>
  <si>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</si>
  <si>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</si>
  <si>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</si>
  <si>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</si>
  <si>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</si>
  <si>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</si>
  <si>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</si>
  <si>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</si>
  <si>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</si>
  <si>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</si>
  <si>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</si>
  <si>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</si>
  <si>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</si>
  <si>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</si>
  <si>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</si>
  <si>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</si>
  <si>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</si>
  <si>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</si>
  <si>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</si>
  <si>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</si>
  <si>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</si>
  <si>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</si>
  <si>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</si>
  <si>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</si>
  <si>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</si>
  <si>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</si>
  <si>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</si>
  <si>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</si>
  <si>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</si>
  <si>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</si>
  <si>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</si>
  <si>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</si>
  <si>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</si>
  <si>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</si>
  <si>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</si>
  <si>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</si>
  <si>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</si>
  <si>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</si>
  <si>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</si>
  <si>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</si>
  <si>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</si>
  <si>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</si>
  <si>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</si>
  <si>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</si>
  <si>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</si>
  <si>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</si>
  <si>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</si>
  <si>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</si>
  <si>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</si>
  <si>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</si>
  <si>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</si>
  <si>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</si>
  <si>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</si>
  <si>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</si>
  <si>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</si>
  <si>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</si>
  <si>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</si>
  <si>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</si>
  <si>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</si>
  <si>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</si>
  <si>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</si>
  <si>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</si>
  <si>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</si>
  <si>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</si>
  <si>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</si>
  <si>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</si>
  <si>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</si>
  <si>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</si>
  <si>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</si>
  <si>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</si>
  <si>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</si>
  <si>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</si>
  <si>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</si>
  <si>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</si>
  <si>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</si>
  <si>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</si>
  <si>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</si>
  <si>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</si>
  <si>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</si>
  <si>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</si>
  <si>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</si>
  <si>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</si>
  <si>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</si>
  <si>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</si>
  <si>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</si>
  <si>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</si>
  <si>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</si>
  <si>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</si>
  <si>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</si>
  <si>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</si>
  <si>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</si>
  <si>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</si>
  <si>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</si>
  <si>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</si>
  <si>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</si>
  <si>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</si>
  <si>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</si>
  <si>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</si>
  <si>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</si>
  <si>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</si>
  <si>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</si>
  <si>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</si>
  <si>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</si>
  <si>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</si>
  <si>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</si>
  <si>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</si>
  <si>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</si>
  <si>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</si>
  <si>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</si>
  <si>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</si>
  <si>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</si>
  <si>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</si>
  <si>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</si>
  <si>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</si>
  <si>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</si>
  <si>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</si>
  <si>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</si>
  <si>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</si>
  <si>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</si>
  <si>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</si>
  <si>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</si>
  <si>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</si>
  <si>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</si>
  <si>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</si>
  <si>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</si>
  <si>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</si>
  <si>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</si>
  <si>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</si>
  <si>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</si>
  <si>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</si>
  <si>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</si>
  <si>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</si>
  <si>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</si>
  <si>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</si>
  <si>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</si>
  <si>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</si>
  <si>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</si>
  <si>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</si>
  <si>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</si>
  <si>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</si>
  <si>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</si>
  <si>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</si>
  <si>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</si>
  <si>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</si>
  <si>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</si>
  <si>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</si>
  <si>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</si>
  <si>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</si>
  <si>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</si>
  <si>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</si>
  <si>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</si>
  <si>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</si>
  <si>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</si>
  <si>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</si>
  <si>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</si>
  <si>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</si>
  <si>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</si>
  <si>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</si>
  <si>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</si>
  <si>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</si>
  <si>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</si>
  <si>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</si>
  <si>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</si>
  <si>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</si>
  <si>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</si>
  <si>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</si>
  <si>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</si>
  <si>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(Manish) order book of 29.10.2026 – 5 executed buys; order book carries no fill price, so cost uses its Close Price column (previous close) until the tradebook is supplied</t>
  </si>
  <si>
    <t xml:space="preserve">Axis Direct (Shilpa) + Axis Direct (Manish) + HDFC Securities (Manish)</t>
  </si>
  <si>
    <t xml:space="preserve">Axis Direct Shilpa 226; Axis Direct Manish 3205; HDFC Securities Manish 504; incl. 29.10 buy 40 (Axis Direct Manish, costed at order-book Close Price, fill price not given)</t>
  </si>
  <si>
    <t xml:space="preserve">29.10.2026 10:31–10:42</t>
  </si>
  <si>
    <t xml:space="preserve">Axis Direct Shilpa 10; Axis Direct Manish 11049; HDFC Securities Manish 101</t>
  </si>
  <si>
    <t xml:space="preserve">Axis Direct Shilpa 7; Axis Direct Manish 153; HDFC Securities Manish 5</t>
  </si>
  <si>
    <t xml:space="preserve">Axis Direct Shilpa 58; Axis Direct Manish 913; HDFC Securities Manish 56; incl. 29.10 buy 14 (Axis Direct Manish, costed at order-book Close Price, fill price not given)</t>
  </si>
  <si>
    <t xml:space="preserve">Axis Direct Shilpa 206; Axis Direct Manish 1201; HDFC Securities Manish 8; incl. 29.10 buy 21 (Axis Direct Manish, costed at order-book Close Price, fill price not given)</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</si>
  <si>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</si>
  <si>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</si>
  <si>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</si>
  <si>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3444; HDFC Securities Manish 99; incl. 29.10 buy 48 (Axis Direct Manish, costed at order-book Close Price, fill price not given)</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</si>
  <si>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</si>
  <si>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</si>
  <si>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</si>
  <si>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</si>
  <si>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</si>
  <si>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</si>
  <si>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</si>
  <si>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</si>
  <si>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</si>
  <si>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</si>
  <si>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</si>
  <si>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76; incl. 29.10 buy 1 (Axis Direct Manish, costed at order-book Close Price, fill price not given)</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</si>
  <si>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</si>
  <si>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</si>
  <si>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</si>
  <si>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</si>
  <si>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</si>
  <si>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</si>
  <si>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</si>
  <si>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 Cash added 29.10.2026</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</si>
  <si>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</si>
  <si>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</si>
  <si>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</si>
  <si>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</si>
  <si>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</si>
  <si>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</si>
  <si>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</si>
  <si>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</si>
  <si>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</si>
  <si>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</si>
  <si>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</si>
  <si>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</si>
  <si>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</si>
  <si>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</si>
  <si>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</si>
  <si>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</si>
  <si>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</si>
  <si>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</si>
  <si>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</si>
  <si>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</si>
  <si>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</si>
  <si>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</si>
  <si>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</si>
  <si>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</si>
  <si>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</si>
  <si>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</si>
  <si>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</si>
  <si>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</si>
  <si>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</si>
  <si>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</si>
  <si>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</si>
  <si>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</si>
  <si>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3810.0, 436419.72, null, "Axis Direct Shilpa 267; Axis Direct Manish 3444; HDFC Securities Manish 99; incl. 29.10 buy 48 (Axis Direct Manish, costed at order-book Close Price, fill price not given)"],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169.0, 15473.53, null, "Axis Direct Shilpa 93; Axis Direct Manish 76; incl. 29.10 buy 1 (Axis Direct Manish, costed at order-book Close Price, fill price not given)"],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3935.0, 2948869.0, null, "Axis Direct Shilpa 226; Axis Direct Manish 3205; HDFC Securities Manish 504; incl. 29.10 buy 40 (Axis Direct Manish, costed at order-book Close Price, fill price not given)"],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1027.0, 822205.8, null, "Axis Direct Shilpa 58; Axis Direct Manish 913; HDFC Securities Manish 56; incl. 29.10 buy 14 (Axis Direct Manish, costed at order-book Close Price, fill price not given)"],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1415.0, 630971.8, null, "Axis Direct Shilpa 206; Axis Direct Manish 1201; HDFC Securities Manish 8; incl. 29.10 buy 21 (Axis Direct Manish, costed at order-book Close Price, fill price not given)"],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"Axis Direct (Manish) order book of 29.10.2026 – 5 executed buys; order book carries no fill price, so cost uses its Close Price column (previous close) until the tradebook is supplied", "trades": [["29.10.2026 10:31–10:42", "BUY", "HDFC Gold ETF", 1.0, 119.53, 119.53], ["29.10.2026 10:31–10:42", "BUY", "HDFC Bank Ltd", 14.0, 680.2, 9522.8], ["29.10.2026 10:31–10:42", "BUY", "Poonawalla Fincorp Ltd", 21.0, 402.8, 8458.8], ["29.10.2026 10:31–10:42", "BUY", "Bajaj Housing Finance Ltd", 48.0, 77.64, 3726.72], </t>
  </si>
  <si>
    <t xml:space="preserve">["29.10.2026 10:31–10:42", "BUY", "Bajaj Finance Ltd", 40.0, 912.0, 36480.0]], "base": {"label": "Year 3 base", "amount": 11949395, "cash": [["Cash added", 850000], ["Cash added 29.10.2026", 60000]]}},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</si>
</sst>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5569484.68659864</v>
      </c>
      <c r="H6" s="8" t="n">
        <f aca="false">G6-F6</f>
        <v>-431171.543401361</v>
      </c>
      <c r="I6" s="9" t="n">
        <f aca="false">IF(F6&gt;0,H6/F6,"")</f>
        <v>-0.0718540651013698</v>
      </c>
      <c r="J6" s="9" t="n">
        <f aca="false">IF($G$12=0,"",G6/$G$12)</f>
        <v>0.145769305327902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3971760.89</v>
      </c>
      <c r="H7" s="8" t="n">
        <f aca="false">G7-F7</f>
        <v>-602660.11</v>
      </c>
      <c r="I7" s="9" t="n">
        <f aca="false">IF(F7&gt;0,H7/F7,"")</f>
        <v>-0.131745659177413</v>
      </c>
      <c r="J7" s="9" t="n">
        <f aca="false">IF($G$12=0,"",G7/$G$12)</f>
        <v>0.103952314880573</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9916085.85</v>
      </c>
      <c r="G8" s="7" t="n">
        <f aca="false">'Manish Shilpa'!H54</f>
        <v>11624670.7570748</v>
      </c>
      <c r="H8" s="8" t="n">
        <f aca="false">G8-F8</f>
        <v>1708584.90707483</v>
      </c>
      <c r="I8" s="9" t="n">
        <f aca="false">IF(F8&gt;0,H8/F8,"")</f>
        <v>0.172304368167086</v>
      </c>
      <c r="J8" s="9" t="n">
        <f aca="false">IF($G$12=0,"",G8/$G$12)</f>
        <v>0.30425080169477</v>
      </c>
      <c r="K8" s="8" t="n">
        <f aca="false">'Manish Shilpa'!E60</f>
        <v>12859395</v>
      </c>
      <c r="L8" s="8" t="n">
        <f aca="false">G8-K8</f>
        <v>-1234724.24292517</v>
      </c>
      <c r="M8" s="9" t="n">
        <f aca="false">IF(K8&gt;0,L8/K8,"")</f>
        <v>-0.0960172887546552</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11565430.6335374</v>
      </c>
      <c r="H9" s="8" t="n">
        <f aca="false">G9-F9</f>
        <v>-174075.366462585</v>
      </c>
      <c r="I9" s="9" t="n">
        <f aca="false">IF(F9&gt;0,H9/F9,"")</f>
        <v>-0.0148281679367585</v>
      </c>
      <c r="J9" s="9" t="n">
        <f aca="false">IF($G$12=0,"",G9/$G$12)</f>
        <v>0.302700318635472</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218828.132921147</v>
      </c>
      <c r="H10" s="8" t="n">
        <f aca="false">G10-F10</f>
        <v>17467.132921147</v>
      </c>
      <c r="I10" s="9" t="n">
        <f aca="false">IF(F10&gt;0,H10/F10,"")</f>
        <v>0.0867453624145041</v>
      </c>
      <c r="J10" s="9" t="n">
        <f aca="false">IF($G$12=0,"",G10/$G$12)</f>
        <v>0.00572735660785133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5257352.02</v>
      </c>
      <c r="H11" s="8" t="n">
        <f aca="false">G11-F11</f>
        <v>35123.0200000005</v>
      </c>
      <c r="I11" s="9" t="n">
        <f aca="false">IF(F11&gt;0,H11/F11,"")</f>
        <v>0.00672567595178237</v>
      </c>
      <c r="J11" s="9" t="n">
        <f aca="false">IF($G$12=0,"",G11/$G$12)</f>
        <v>0.137599902853431</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c r="G12" s="17" t="n">
        <f aca="false">SUM(G6:G11)</f>
        <v>38207527.120132</v>
      </c>
      <c r="H12" s="17"/>
      <c r="I12" s="18"/>
      <c r="J12" s="18" t="n">
        <f aca="false">SUM(J6:J11)</f>
        <v>1</v>
      </c>
      <c r="K12" s="17" t="n">
        <f aca="false">SUM(K6:K11)</f>
        <v>41310071</v>
      </c>
      <c r="L12" s="17" t="n">
        <f aca="false">SUM(L6:L11)</f>
        <v>-3102543.87986797</v>
      </c>
      <c r="M12" s="18" t="n">
        <f aca="false">IF(K12&gt;0,L12/K12,"")</f>
        <v>-0.0751038137859401</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13271834.8</v>
      </c>
      <c r="D17" s="28" t="n">
        <f aca="false">INDEX('Side by Side'!$L$7:$L$95,MATCH(C17,'Side by Side'!$I$7:$I$95,0))</f>
        <v>0.347361784453381</v>
      </c>
      <c r="E17" s="28" t="n">
        <f aca="false">INDEX('Side by Side'!$S$7:$S$95,MATCH(C17,'Side by Side'!$I$7:$I$95,0))</f>
        <v>0.3741548306999</v>
      </c>
      <c r="F17" s="28" t="n">
        <f aca="false">INDEX('Side by Side'!$Z$7:$Z$95,MATCH(C17,'Side by Side'!$I$7:$I$95,0))</f>
        <v>0.210003679249684</v>
      </c>
      <c r="G17" s="28" t="n">
        <f aca="false">INDEX('Side by Side'!$AG$7:$AG$95,MATCH(C17,'Side by Side'!$I$7:$I$95,0))</f>
        <v>0.307226421688238</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0.0801978937387302</v>
      </c>
      <c r="E18" s="28" t="n">
        <f aca="false">INDEX('Side by Side'!$S$7:$S$95,MATCH(C18,'Side by Side'!$I$7:$I$95,0))</f>
        <v>0.0440445056955191</v>
      </c>
      <c r="F18" s="28" t="n">
        <f aca="false">INDEX('Side by Side'!$Z$7:$Z$95,MATCH(C18,'Side by Side'!$I$7:$I$95,0))</f>
        <v>0.0639294275340931</v>
      </c>
      <c r="G18" s="28" t="n">
        <f aca="false">INDEX('Side by Side'!$AG$7:$AG$95,MATCH(C18,'Side by Side'!$I$7:$I$95,0))</f>
        <v>0.061085084888777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0.0749839078544177</v>
      </c>
      <c r="E19" s="28" t="n">
        <f aca="false">INDEX('Side by Side'!$S$7:$S$95,MATCH(C19,'Side by Side'!$I$7:$I$95,0))</f>
        <v>0</v>
      </c>
      <c r="F19" s="28" t="n">
        <f aca="false">INDEX('Side by Side'!$Z$7:$Z$95,MATCH(C19,'Side by Side'!$I$7:$I$95,0))</f>
        <v>0</v>
      </c>
      <c r="G19" s="28" t="n">
        <f aca="false">INDEX('Side by Side'!$AG$7:$AG$95,MATCH(C19,'Side by Side'!$I$7:$I$95,0))</f>
        <v>0.246432183746497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2548016.1</v>
      </c>
      <c r="D20" s="28" t="n">
        <f aca="false">INDEX('Side by Side'!$L$7:$L$95,MATCH(C20,'Side by Side'!$I$7:$I$95,0))</f>
        <v>0.0666888514398886</v>
      </c>
      <c r="E20" s="28" t="n">
        <f aca="false">INDEX('Side by Side'!$S$7:$S$95,MATCH(C20,'Side by Side'!$I$7:$I$95,0))</f>
        <v>0.0647331163092183</v>
      </c>
      <c r="F20" s="28" t="n">
        <f aca="false">INDEX('Side by Side'!$Z$7:$Z$95,MATCH(C20,'Side by Side'!$I$7:$I$95,0))</f>
        <v>0.0644252907178408</v>
      </c>
      <c r="G20" s="28" t="n">
        <f aca="false">INDEX('Side by Side'!$AG$7:$AG$95,MATCH(C20,'Side by Side'!$I$7:$I$95,0))</f>
        <v>0.0596471990037228</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2520203.25</v>
      </c>
      <c r="D21" s="28" t="n">
        <f aca="false">INDEX('Side by Side'!$L$7:$L$95,MATCH(C21,'Side by Side'!$I$7:$I$95,0))</f>
        <v>0.0659609097986368</v>
      </c>
      <c r="E21" s="28" t="n">
        <f aca="false">INDEX('Side by Side'!$S$7:$S$95,MATCH(C21,'Side by Side'!$I$7:$I$95,0))</f>
        <v>0.0975449221194978</v>
      </c>
      <c r="F21" s="28" t="n">
        <f aca="false">INDEX('Side by Side'!$Z$7:$Z$95,MATCH(C21,'Side by Side'!$I$7:$I$95,0))</f>
        <v>0.0804376972451632</v>
      </c>
      <c r="G21" s="28" t="n">
        <f aca="false">INDEX('Side by Side'!$AG$7:$AG$95,MATCH(C21,'Side by Side'!$I$7:$I$95,0))</f>
        <v>0.0487321543842632</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0.0413290290951063</v>
      </c>
      <c r="E22" s="28" t="n">
        <f aca="false">INDEX('Side by Side'!$S$7:$S$95,MATCH(C22,'Side by Side'!$I$7:$I$95,0))</f>
        <v>0.0283523537428804</v>
      </c>
      <c r="F22" s="28" t="n">
        <f aca="false">INDEX('Side by Side'!$Z$7:$Z$95,MATCH(C22,'Side by Side'!$I$7:$I$95,0))</f>
        <v>0.0397576803773804</v>
      </c>
      <c r="G22" s="28" t="n">
        <f aca="false">INDEX('Side by Side'!$AG$7:$AG$95,MATCH(C22,'Side by Side'!$I$7:$I$95,0))</f>
        <v>0.0407516057787434</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0.0304808315999692</v>
      </c>
      <c r="E23" s="28" t="n">
        <f aca="false">INDEX('Side by Side'!$S$7:$S$95,MATCH(C23,'Side by Side'!$I$7:$I$95,0))</f>
        <v>0.0399947953059256</v>
      </c>
      <c r="F23" s="28" t="n">
        <f aca="false">INDEX('Side by Side'!$Z$7:$Z$95,MATCH(C23,'Side by Side'!$I$7:$I$95,0))</f>
        <v>0.0158496953224191</v>
      </c>
      <c r="G23" s="28" t="n">
        <f aca="false">INDEX('Side by Side'!$AG$7:$AG$95,MATCH(C23,'Side by Side'!$I$7:$I$95,0))</f>
        <v>0.00604015386476791</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1105324.29</v>
      </c>
      <c r="D24" s="28" t="n">
        <f aca="false">INDEX('Side by Side'!$L$7:$L$95,MATCH(C24,'Side by Side'!$I$7:$I$95,0))</f>
        <v>0.0289294904253982</v>
      </c>
      <c r="E24" s="28" t="n">
        <f aca="false">INDEX('Side by Side'!$S$7:$S$95,MATCH(C24,'Side by Side'!$I$7:$I$95,0))</f>
        <v>0.0286429659073944</v>
      </c>
      <c r="F24" s="28" t="n">
        <f aca="false">INDEX('Side by Side'!$Z$7:$Z$95,MATCH(C24,'Side by Side'!$I$7:$I$95,0))</f>
        <v>0.0366040388700237</v>
      </c>
      <c r="G24" s="28" t="n">
        <f aca="false">INDEX('Side by Side'!$AG$7:$AG$95,MATCH(C24,'Side by Side'!$I$7:$I$95,0))</f>
        <v>0.0253318916426757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0.0273674346081675</v>
      </c>
      <c r="E25" s="28" t="n">
        <f aca="false">INDEX('Side by Side'!$S$7:$S$95,MATCH(C25,'Side by Side'!$I$7:$I$95,0))</f>
        <v>0.0433257318366677</v>
      </c>
      <c r="F25" s="28" t="n">
        <f aca="false">INDEX('Side by Side'!$Z$7:$Z$95,MATCH(C25,'Side by Side'!$I$7:$I$95,0))</f>
        <v>0.0121508825270697</v>
      </c>
      <c r="G25" s="28" t="n">
        <f aca="false">INDEX('Side by Side'!$AG$7:$AG$95,MATCH(C25,'Side by Side'!$I$7:$I$95,0))</f>
        <v>0.0228335241097867</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0.026315157660916</v>
      </c>
      <c r="E26" s="28" t="n">
        <f aca="false">INDEX('Side by Side'!$S$7:$S$95,MATCH(C26,'Side by Side'!$I$7:$I$95,0))</f>
        <v>0.0282751652731761</v>
      </c>
      <c r="F26" s="28" t="n">
        <f aca="false">INDEX('Side by Side'!$Z$7:$Z$95,MATCH(C26,'Side by Side'!$I$7:$I$95,0))</f>
        <v>0.0274496131613804</v>
      </c>
      <c r="G26" s="28" t="n">
        <f aca="false">INDEX('Side by Side'!$AG$7:$AG$95,MATCH(C26,'Side by Side'!$I$7:$I$95,0))</f>
        <v>0.0250096373545084</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37654259.08</v>
      </c>
      <c r="I6" s="43" t="n">
        <f aca="false">SUM(I7:I95)</f>
        <v>38207527.120132</v>
      </c>
      <c r="J6" s="43" t="n">
        <f aca="false">I6-H6</f>
        <v>553268.040132031</v>
      </c>
      <c r="K6" s="44" t="n">
        <f aca="false">IF(H6&gt;0,J6/H6,"")</f>
        <v>0.0146933721084927</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9916085.85</v>
      </c>
      <c r="AD6" s="43" t="n">
        <f aca="false">SUM(AD7:AD95)</f>
        <v>11624670.7570748</v>
      </c>
      <c r="AE6" s="43" t="n">
        <f aca="false">AD6-AC6</f>
        <v>1708584.90707483</v>
      </c>
      <c r="AF6" s="44" t="n">
        <f aca="false">IF(AC6&gt;0,AE6/AC6,"")</f>
        <v>0.172304368167086</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14623</v>
      </c>
      <c r="G7" s="48" t="n">
        <f aca="false">IF(AND(F7&gt;0,H7&gt;0),H7/F7,"")</f>
        <v>879.798789578062</v>
      </c>
      <c r="H7" s="48" t="n">
        <f aca="false">O7+V7+AC7+AJ7+AQ7+AX7</f>
        <v>12865297.7</v>
      </c>
      <c r="I7" s="49" t="n">
        <f aca="false">P7+W7+AD7+AK7+AR7+AY7</f>
        <v>13271834.8</v>
      </c>
      <c r="J7" s="48" t="n">
        <f aca="false">I7-H7</f>
        <v>406537.100000002</v>
      </c>
      <c r="K7" s="50" t="n">
        <f aca="false">IF(H7&gt;0,J7/H7,"")</f>
        <v>0.0315995097416208</v>
      </c>
      <c r="L7" s="51" t="n">
        <f aca="false">IF(I$6=0,"",I7/I$6)</f>
        <v>0.347361784453381</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3935</v>
      </c>
      <c r="AB7" s="8" t="n">
        <f aca="false">IF(AND(AA7&gt;0,AC7&gt;0),AC7/AA7,"")</f>
        <v>749.394917407878</v>
      </c>
      <c r="AC7" s="8" t="n">
        <f aca="false">SUMIFS('Manish Shilpa'!$E$7:$E$300,'Manish Shilpa'!$B$7:$B$300,$B7)</f>
        <v>2948869</v>
      </c>
      <c r="AD7" s="8" t="n">
        <f aca="false">SUMIFS('Manish Shilpa'!$H$7:$H$300,'Manish Shilpa'!$B$7:$B$300,$B7)</f>
        <v>3571406</v>
      </c>
      <c r="AE7" s="8" t="n">
        <f aca="false">AD7-AC7</f>
        <v>622537</v>
      </c>
      <c r="AF7" s="9" t="n">
        <f aca="false">IF(AC7&gt;0,AE7/AC7,"")</f>
        <v>0.211110429117062</v>
      </c>
      <c r="AG7" s="9" t="n">
        <f aca="false">IF(AD$6=0,"",AD7/AD$6)</f>
        <v>0.307226421688238</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0.0801978937387302</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0.061085084888777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0.0749839078544177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0.246432183746497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3774</v>
      </c>
      <c r="G10" s="48" t="n">
        <f aca="false">IF(AND(F10&gt;0,H10&gt;0),H10/F10,"")</f>
        <v>788.399085850556</v>
      </c>
      <c r="H10" s="48" t="n">
        <f aca="false">O10+V10+AC10+AJ10+AQ10+AX10</f>
        <v>2975418.15</v>
      </c>
      <c r="I10" s="49" t="n">
        <f aca="false">P10+W10+AD10+AK10+AR10+AY10</f>
        <v>2548016.1</v>
      </c>
      <c r="J10" s="48" t="n">
        <f aca="false">I10-H10</f>
        <v>-427402.05</v>
      </c>
      <c r="K10" s="50" t="n">
        <f aca="false">IF(H10&gt;0,J10/H10,"")</f>
        <v>-0.143644364742482</v>
      </c>
      <c r="L10" s="51" t="n">
        <f aca="false">IF(I$6=0,"",I10/I$6)</f>
        <v>0.0666888514398886</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1027</v>
      </c>
      <c r="AB10" s="8" t="n">
        <f aca="false">IF(AND(AA10&gt;0,AC10&gt;0),AC10/AA10,"")</f>
        <v>800.589873417722</v>
      </c>
      <c r="AC10" s="8" t="n">
        <f aca="false">SUMIFS('Manish Shilpa'!$E$7:$E$300,'Manish Shilpa'!$B$7:$B$300,$B10)</f>
        <v>822205.8</v>
      </c>
      <c r="AD10" s="8" t="n">
        <f aca="false">SUMIFS('Manish Shilpa'!$H$7:$H$300,'Manish Shilpa'!$B$7:$B$300,$B10)</f>
        <v>693379.05</v>
      </c>
      <c r="AE10" s="8" t="n">
        <f aca="false">AD10-AC10</f>
        <v>-128826.75</v>
      </c>
      <c r="AF10" s="9" t="n">
        <f aca="false">IF(AC10&gt;0,AE10/AC10,"")</f>
        <v>-0.156684311883959</v>
      </c>
      <c r="AG10" s="9" t="n">
        <f aca="false">IF(AD$6=0,"",AD10/AD$6)</f>
        <v>0.0596471990037228</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6295</v>
      </c>
      <c r="G11" s="48" t="n">
        <f aca="false">IF(AND(F11&gt;0,H11&gt;0),H11/F11,"")</f>
        <v>447.626838760921</v>
      </c>
      <c r="H11" s="48" t="n">
        <f aca="false">O11+V11+AC11+AJ11+AQ11+AX11</f>
        <v>2817810.95</v>
      </c>
      <c r="I11" s="49" t="n">
        <f aca="false">P11+W11+AD11+AK11+AR11+AY11</f>
        <v>2520203.25</v>
      </c>
      <c r="J11" s="48" t="n">
        <f aca="false">I11-H11</f>
        <v>-297607.700000001</v>
      </c>
      <c r="K11" s="50" t="n">
        <f aca="false">IF(H11&gt;0,J11/H11,"")</f>
        <v>-0.105616631236386</v>
      </c>
      <c r="L11" s="51" t="n">
        <f aca="false">IF(I$6=0,"",I11/I$6)</f>
        <v>0.0659609097986368</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1415</v>
      </c>
      <c r="AB11" s="8" t="n">
        <f aca="false">IF(AND(AA11&gt;0,AC11&gt;0),AC11/AA11,"")</f>
        <v>445.916466431095</v>
      </c>
      <c r="AC11" s="8" t="n">
        <f aca="false">SUMIFS('Manish Shilpa'!$E$7:$E$300,'Manish Shilpa'!$B$7:$B$300,$B11)</f>
        <v>630971.8</v>
      </c>
      <c r="AD11" s="8" t="n">
        <f aca="false">SUMIFS('Manish Shilpa'!$H$7:$H$300,'Manish Shilpa'!$B$7:$B$300,$B11)</f>
        <v>566495.25</v>
      </c>
      <c r="AE11" s="8" t="n">
        <f aca="false">AD11-AC11</f>
        <v>-64476.5500000001</v>
      </c>
      <c r="AF11" s="9" t="n">
        <f aca="false">IF(AC11&gt;0,AE11/AC11,"")</f>
        <v>-0.102186104038247</v>
      </c>
      <c r="AG11" s="9" t="n">
        <f aca="false">IF(AD$6=0,"",AD11/AD$6)</f>
        <v>0.0487321543842632</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0.0413290290951063</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0.0407516057787434</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0.0304808315999692</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0.00604015386476791</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14301</v>
      </c>
      <c r="G14" s="48" t="n">
        <f aca="false">IF(AND(F14&gt;0,H14&gt;0),H14/F14,"")</f>
        <v>99.356104468219</v>
      </c>
      <c r="H14" s="48" t="n">
        <f aca="false">O14+V14+AC14+AJ14+AQ14+AX14</f>
        <v>1420891.65</v>
      </c>
      <c r="I14" s="49" t="n">
        <f aca="false">P14+W14+AD14+AK14+AR14+AY14</f>
        <v>1105324.29</v>
      </c>
      <c r="J14" s="48" t="n">
        <f aca="false">I14-H14</f>
        <v>-315567.36</v>
      </c>
      <c r="K14" s="50" t="n">
        <f aca="false">IF(H14&gt;0,J14/H14,"")</f>
        <v>-0.222091079217757</v>
      </c>
      <c r="L14" s="51" t="n">
        <f aca="false">IF(I$6=0,"",I14/I$6)</f>
        <v>0.0289294904253982</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3810</v>
      </c>
      <c r="AB14" s="8" t="n">
        <f aca="false">IF(AND(AA14&gt;0,AC14&gt;0),AC14/AA14,"")</f>
        <v>114.545858267717</v>
      </c>
      <c r="AC14" s="8" t="n">
        <f aca="false">SUMIFS('Manish Shilpa'!$E$7:$E$300,'Manish Shilpa'!$B$7:$B$300,$B14)</f>
        <v>436419.72</v>
      </c>
      <c r="AD14" s="8" t="n">
        <f aca="false">SUMIFS('Manish Shilpa'!$H$7:$H$300,'Manish Shilpa'!$B$7:$B$300,$B14)</f>
        <v>294474.9</v>
      </c>
      <c r="AE14" s="8" t="n">
        <f aca="false">AD14-AC14</f>
        <v>-141944.82</v>
      </c>
      <c r="AF14" s="9" t="n">
        <f aca="false">IF(AC14&gt;0,AE14/AC14,"")</f>
        <v>-0.325248409948111</v>
      </c>
      <c r="AG14" s="9" t="n">
        <f aca="false">IF(AD$6=0,"",AD14/AD$6)</f>
        <v>0.0253318916426757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0.0273674346081675</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0.0228335241097867</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0.026315157660916</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0.0250096373545084</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0.0247909265894601</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0.0162963755239869</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0.0219982831486922</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0.0189882479889081</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0.0101893638516955</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0.0185327772659461</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0.0150572006431643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0.0123576696946507</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0.00544858442218264</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0.0107751019506069</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0.00554838079699988</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0.00935744935483185</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0.00369068517264362</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0.00825439916612196</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0.0271302462315381</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0.0074493174893287</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0.00587669019494565</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0.00244497247224849</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0.00569755533551128</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0.00323917991200597</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0.00538343922005935</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0.00157486610869027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0.0051707533800559</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0.0016185748734904</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0.00427908876400047</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0.0140643467171315</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0.00379623888099196</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0.000342783901864477</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0.00331384964020049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0.00112674158896315</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0.00251622932040905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0.00241554497127793</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0.00240793599938383</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0.000565308053649652</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0.00222536255049071</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0.00731423726115022</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0.00213686166454307</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0.00204344551675686</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0.00671631925166424</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0.00185680690029842</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0.00610288252308764</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0.00184277825096147</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0.00605677369031285</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0.00176221820868703</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0.00579199199762476</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119.758503401361</v>
      </c>
      <c r="D42" s="46" t="str">
        <f aca="false">IFERROR(INDEX(Prices!$D$6:$D$300,MATCH($B42,Prices!$A$6:$A$300,0)),"")</f>
        <v>DA stmt – 23.10</v>
      </c>
      <c r="E42" s="6" t="n">
        <f aca="false">(M42&gt;0)+(T42&gt;0)+(AA42&gt;0)+(AH42&gt;0)+(AO42&gt;0)+(AV42&gt;0)</f>
        <v>4</v>
      </c>
      <c r="F42" s="47" t="n">
        <f aca="false">M42+T42+AA42+AH42+AO42+AV42</f>
        <v>503</v>
      </c>
      <c r="G42" s="48" t="n">
        <f aca="false">IF(AND(F42&gt;0,H42&gt;0),H42/F42,"")</f>
        <v>115.741292246521</v>
      </c>
      <c r="H42" s="48" t="n">
        <f aca="false">O42+V42+AC42+AJ42+AQ42+AX42</f>
        <v>58217.87</v>
      </c>
      <c r="I42" s="49" t="n">
        <f aca="false">P42+W42+AD42+AK42+AR42+AY42</f>
        <v>60238.5272108843</v>
      </c>
      <c r="J42" s="48" t="n">
        <f aca="false">I42-H42</f>
        <v>2020.65721088433</v>
      </c>
      <c r="K42" s="50" t="n">
        <f aca="false">IF(H42&gt;0,J42/H42,"")</f>
        <v>0.0347085389912811</v>
      </c>
      <c r="L42" s="51" t="n">
        <f aca="false">IF(I$6=0,"",I42/I$6)</f>
        <v>0.00157661413211806</v>
      </c>
      <c r="M42" s="52" t="n">
        <f aca="false">SUMIFS(Gautam!$D$7:$D$300,Gautam!$B$7:$B$300,$B42)</f>
        <v>29</v>
      </c>
      <c r="N42" s="8" t="n">
        <f aca="false">IF(AND(M42&gt;0,O42&gt;0),O42/M42,"")</f>
        <v>134.94275862069</v>
      </c>
      <c r="O42" s="8" t="n">
        <f aca="false">SUMIFS(Gautam!$E$7:$E$300,Gautam!$B$7:$B$300,$B42)</f>
        <v>3913.34</v>
      </c>
      <c r="P42" s="8" t="n">
        <f aca="false">SUMIFS(Gautam!$H$7:$H$300,Gautam!$B$7:$B$300,$B42)</f>
        <v>3472.99659863945</v>
      </c>
      <c r="Q42" s="8" t="n">
        <f aca="false">P42-O42</f>
        <v>-440.343401360546</v>
      </c>
      <c r="R42" s="9" t="n">
        <f aca="false">IF(O42&gt;0,Q42/O42,"")</f>
        <v>-0.11252367577582</v>
      </c>
      <c r="S42" s="9" t="n">
        <f aca="false">IF(P$6=0,"",P42/P$6)</f>
        <v>0.000623575931000622</v>
      </c>
      <c r="T42" s="52" t="n">
        <f aca="false">SUMIFS(DA!$D$7:$D$300,DA!$B$7:$B$300,$B42)</f>
        <v>294</v>
      </c>
      <c r="U42" s="8" t="n">
        <f aca="false">IF(AND(T42&gt;0,V42&gt;0),V42/T42,"")</f>
        <v>127.360544217687</v>
      </c>
      <c r="V42" s="8" t="n">
        <f aca="false">SUMIFS(DA!$E$7:$E$300,DA!$B$7:$B$300,$B42)</f>
        <v>37444</v>
      </c>
      <c r="W42" s="8" t="n">
        <f aca="false">SUMIFS(DA!$H$7:$H$300,DA!$B$7:$B$300,$B42)</f>
        <v>35209</v>
      </c>
      <c r="X42" s="8" t="n">
        <f aca="false">W42-V42</f>
        <v>-2235.00000000001</v>
      </c>
      <c r="Y42" s="9" t="n">
        <f aca="false">IF(V42&gt;0,X42/V42,"")</f>
        <v>-0.0596891357760927</v>
      </c>
      <c r="Z42" s="9" t="n">
        <f aca="false">IF(W$6=0,"",W42/W$6)</f>
        <v>0.00886483375387686</v>
      </c>
      <c r="AA42" s="52" t="n">
        <f aca="false">SUMIFS('Manish Shilpa'!$D$7:$D$300,'Manish Shilpa'!$B$7:$B$300,$B42)</f>
        <v>169</v>
      </c>
      <c r="AB42" s="8" t="n">
        <f aca="false">IF(AND(AA42&gt;0,AC42&gt;0),AC42/AA42,"")</f>
        <v>91.559349112426</v>
      </c>
      <c r="AC42" s="8" t="n">
        <f aca="false">SUMIFS('Manish Shilpa'!$E$7:$E$300,'Manish Shilpa'!$B$7:$B$300,$B42)</f>
        <v>15473.53</v>
      </c>
      <c r="AD42" s="8" t="n">
        <f aca="false">SUMIFS('Manish Shilpa'!$H$7:$H$300,'Manish Shilpa'!$B$7:$B$300,$B42)</f>
        <v>20239.1870748299</v>
      </c>
      <c r="AE42" s="8" t="n">
        <f aca="false">AD42-AC42</f>
        <v>4765.65707482993</v>
      </c>
      <c r="AF42" s="9" t="n">
        <f aca="false">IF(AC42&gt;0,AE42/AC42,"")</f>
        <v>0.3079877102917</v>
      </c>
      <c r="AG42" s="9" t="n">
        <f aca="false">IF(AD$6=0,"",AD42/AD$6)</f>
        <v>0.00174105464987146</v>
      </c>
      <c r="AH42" s="52" t="n">
        <f aca="false">SUMIFS('Saloni Mehra'!$D$7:$D$300,'Saloni Mehra'!$B$7:$B$300,$B42)</f>
        <v>11</v>
      </c>
      <c r="AI42" s="8" t="n">
        <f aca="false">IF(AND(AH42&gt;0,AJ42&gt;0),AJ42/AH42,"")</f>
        <v>126.090909090909</v>
      </c>
      <c r="AJ42" s="8" t="n">
        <f aca="false">SUMIFS('Saloni Mehra'!$E$7:$E$300,'Saloni Mehra'!$B$7:$B$300,$B42)</f>
        <v>1387</v>
      </c>
      <c r="AK42" s="8" t="n">
        <f aca="false">SUMIFS('Saloni Mehra'!$H$7:$H$300,'Saloni Mehra'!$B$7:$B$300,$B42)</f>
        <v>1317.34353741497</v>
      </c>
      <c r="AL42" s="8" t="n">
        <f aca="false">AK42-AJ42</f>
        <v>-69.6564625850344</v>
      </c>
      <c r="AM42" s="9" t="n">
        <f aca="false">IF(AJ42&gt;0,AL42/AJ42,"")</f>
        <v>-0.0502209535580638</v>
      </c>
      <c r="AN42" s="9" t="n">
        <f aca="false">IF(AK$6=0,"",AK42/AK$6)</f>
        <v>0.000113903544031896</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473.4</v>
      </c>
      <c r="D43" s="46" t="str">
        <f aca="false">IFERROR(INDEX(Prices!$D$6:$D$300,MATCH($B43,Prices!$A$6:$A$300,0)),"")</f>
        <v>Close 28.10.2026 live (~11:35 IST) (Screener.in)</v>
      </c>
      <c r="E43" s="6" t="n">
        <f aca="false">(M43&gt;0)+(T43&gt;0)+(AA43&gt;0)+(AH43&gt;0)+(AO43&gt;0)+(AV43&gt;0)</f>
        <v>1</v>
      </c>
      <c r="F43" s="47" t="n">
        <f aca="false">M43+T43+AA43+AH43+AO43+AV43</f>
        <v>127</v>
      </c>
      <c r="G43" s="48" t="n">
        <f aca="false">IF(AND(F43&gt;0,H43&gt;0),H43/F43,"")</f>
        <v>606.212598425197</v>
      </c>
      <c r="H43" s="48" t="n">
        <f aca="false">O43+V43+AC43+AJ43+AQ43+AX43</f>
        <v>76989</v>
      </c>
      <c r="I43" s="49" t="n">
        <f aca="false">P43+W43+AD43+AK43+AR43+AY43</f>
        <v>60121.8</v>
      </c>
      <c r="J43" s="48" t="n">
        <f aca="false">I43-H43</f>
        <v>-16867.2</v>
      </c>
      <c r="K43" s="50" t="n">
        <f aca="false">IF(H43&gt;0,J43/H43,"")</f>
        <v>-0.219085843432179</v>
      </c>
      <c r="L43" s="51" t="n">
        <f aca="false">IF(I$6=0,"",I43/I$6)</f>
        <v>0.00157355904795841</v>
      </c>
      <c r="M43" s="52" t="n">
        <f aca="false">SUMIFS(Gautam!$D$7:$D$300,Gautam!$B$7:$B$300,$B43)</f>
        <v>0</v>
      </c>
      <c r="N43" s="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2" t="n">
        <f aca="false">SUMIFS(DA!$D$7:$D$300,DA!$B$7:$B$300,$B43)</f>
        <v>127</v>
      </c>
      <c r="U43" s="8" t="n">
        <f aca="false">IF(AND(T43&gt;0,V43&gt;0),V43/T43,"")</f>
        <v>606.212598425197</v>
      </c>
      <c r="V43" s="8" t="n">
        <f aca="false">SUMIFS(DA!$E$7:$E$300,DA!$B$7:$B$300,$B43)</f>
        <v>76989</v>
      </c>
      <c r="W43" s="8" t="n">
        <f aca="false">SUMIFS(DA!$H$7:$H$300,DA!$B$7:$B$300,$B43)</f>
        <v>60121.8</v>
      </c>
      <c r="X43" s="8" t="n">
        <f aca="false">W43-V43</f>
        <v>-16867.2</v>
      </c>
      <c r="Y43" s="9" t="n">
        <f aca="false">IF(V43&gt;0,X43/V43,"")</f>
        <v>-0.219085843432179</v>
      </c>
      <c r="Z43" s="9" t="n">
        <f aca="false">IF(W$6=0,"",W43/W$6)</f>
        <v>0.0151373160834967</v>
      </c>
      <c r="AA43" s="52" t="n">
        <f aca="false">SUMIFS('Manish Shilpa'!$D$7:$D$300,'Manish Shilpa'!$B$7:$B$300,$B43)</f>
        <v>0</v>
      </c>
      <c r="AB43" s="8" t="str">
        <f aca="false">IF(AND(AA43&gt;0,AC43&gt;0),AC43/AA43,"")</f>
        <v/>
      </c>
      <c r="AC43" s="8" t="n">
        <f aca="false">SUMIFS('Manish Shilpa'!$E$7:$E$300,'Manish Shilpa'!$B$7:$B$300,$B43)</f>
        <v>0</v>
      </c>
      <c r="AD43" s="8" t="n">
        <f aca="false">SUMIFS('Manish Shilpa'!$H$7:$H$300,'Manish Shilpa'!$B$7:$B$300,$B43)</f>
        <v>0</v>
      </c>
      <c r="AE43" s="8" t="n">
        <f aca="false">AD43-AC43</f>
        <v>0</v>
      </c>
      <c r="AF43" s="9" t="str">
        <f aca="false">IF(AC43&gt;0,AE43/AC43,"")</f>
        <v/>
      </c>
      <c r="AG43" s="9" t="n">
        <f aca="false">IF(AD$6=0,"",AD43/AD$6)</f>
        <v>0</v>
      </c>
      <c r="AH43" s="52" t="n">
        <f aca="false">SUMIFS('Saloni Mehra'!$D$7:$D$300,'Saloni Mehra'!$B$7:$B$300,$B43)</f>
        <v>0</v>
      </c>
      <c r="AI43" s="8" t="str">
        <f aca="false">IF(AND(AH43&gt;0,AJ43&gt;0),AJ43/AH43,"")</f>
        <v/>
      </c>
      <c r="AJ43" s="8" t="n">
        <f aca="false">SUMIFS('Saloni Mehra'!$E$7:$E$300,'Saloni Mehra'!$B$7:$B$300,$B43)</f>
        <v>0</v>
      </c>
      <c r="AK43" s="8" t="n">
        <f aca="false">SUMIFS('Saloni Mehra'!$H$7:$H$300,'Saloni Mehra'!$B$7:$B$300,$B43)</f>
        <v>0</v>
      </c>
      <c r="AL43" s="8" t="n">
        <f aca="false">AK43-AJ43</f>
        <v>0</v>
      </c>
      <c r="AM43" s="9" t="str">
        <f aca="false">IF(AJ43&gt;0,AL43/AJ43,"")</f>
        <v/>
      </c>
      <c r="AN43" s="9" t="n">
        <f aca="false">IF(AK$6=0,"",AK43/AK$6)</f>
        <v>0</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0.00130102636173509</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0.00427616412015341</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0.00124274569905313</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0.00112323416967195</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0.00110062998497074</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0.001001438797117</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0.000942222716660224</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0.00089652229761688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0.000856061683792295</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0.000805805617913898</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0.000780448310780312</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0.00256514791886489</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0.000613253506994279</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0.000612049555745213</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0.00058875100524753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0.000583013915817199</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0.000531711982723309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0.000512694787558717</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0.00168510579003523</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0.000509832786056861</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0.000500367373682412</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0.000468997638702404</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0.000451172878731452</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0.000449147099890633</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0.000432310626858044</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0.000105252013202641</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0.000412222438538848</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0.0004095842149322</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0.000408689103351372</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0.00039274983572787</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0.000379276050879629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0.000350716233423528</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0.00115272081936985</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0.000335686472450135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0.000332940678416668</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0.00028979237429281</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0.000952478588975208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0.000289743954514315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0.000952319444682982</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0.000272608587497719</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0.000269923252755238</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0.000887173513600237</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0.000254766553443628</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0.000173879350503672</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0.000285750028488193</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0.000173389918148074</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0.000145494891164283</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0.000478207092154999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0.000129908957059528</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0.000426979834846436</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0.000121998212167569</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0.000113066725999227</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9.79977057459735E-005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0.000322095143875041</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9.74991128917408E-005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0.000320456387784818</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7.08237408689602E-005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0.000232780786359314</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5.92291668833913E-005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3.8437452269089E-005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0.000126334760845265</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3.23234737520938E-005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2.44336671427265E-005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8.03076508151284E-005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1.41003629548203E-005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1.08434130975647E-005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114</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115</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114</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114</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5569484.68659864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114</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115</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114</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115</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c r="F60" s="82"/>
      <c r="G60" s="82"/>
      <c r="H60" s="83" t="n">
        <f aca="false">SUM(H7:H59)</f>
        <v>3971760.89</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5" customFormat="false" ht="15" hidden="false" customHeight="false" outlineLevel="0" collapsed="false">
      <c r="Q5" s="30" t="s">
        <v>230</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Q6" s="23" t="s">
        <v>194</v>
      </c>
      <c r="R6" s="23" t="s">
        <v>195</v>
      </c>
      <c r="S6" s="23" t="s">
        <v>196</v>
      </c>
      <c r="T6" s="23" t="s">
        <v>73</v>
      </c>
      <c r="U6" s="23" t="s">
        <v>197</v>
      </c>
      <c r="V6" s="23" t="s">
        <v>198</v>
      </c>
    </row>
    <row r="7" customFormat="false" ht="15" hidden="false" customHeight="false" outlineLevel="0" collapsed="false">
      <c r="A7" s="5" t="n">
        <v>1</v>
      </c>
      <c r="B7" s="59" t="s">
        <v>79</v>
      </c>
      <c r="C7" s="5" t="s">
        <v>231</v>
      </c>
      <c r="D7" s="60" t="n">
        <v>3935</v>
      </c>
      <c r="E7" s="57" t="n">
        <v>2948869</v>
      </c>
      <c r="F7" s="8" t="n">
        <f aca="false">IF(AND(D7&gt;0,N(E7)&gt;0),E7/D7,"")</f>
        <v>749.394917407878</v>
      </c>
      <c r="G7" s="7" t="n">
        <f aca="false">IFERROR(INDEX(Prices!$C$6:$C$300,MATCH(B7,Prices!$A$6:$A$300,0)),"")</f>
        <v>907.6</v>
      </c>
      <c r="H7" s="8" t="n">
        <f aca="false">IF(ISNUMBER(G7),D7*G7,0)</f>
        <v>3571406</v>
      </c>
      <c r="I7" s="8" t="n">
        <f aca="false">H7-N(E7)</f>
        <v>622537</v>
      </c>
      <c r="J7" s="9" t="n">
        <f aca="false">IF(N(E7)&gt;0,I7/E7,"")</f>
        <v>0.211110429117062</v>
      </c>
      <c r="K7" s="9" t="n">
        <f aca="false">IF($H$54=0,"",H7/$H$54)</f>
        <v>0.307226421688238</v>
      </c>
      <c r="L7" s="61" t="s">
        <v>232</v>
      </c>
      <c r="Q7" s="62" t="s">
        <v>233</v>
      </c>
      <c r="R7" s="62" t="s">
        <v>201</v>
      </c>
      <c r="S7" s="62" t="s">
        <v>114</v>
      </c>
      <c r="T7" s="62" t="n">
        <v>1</v>
      </c>
      <c r="U7" s="57" t="n">
        <v>119.53</v>
      </c>
      <c r="V7" s="57" t="n">
        <v>119.53</v>
      </c>
    </row>
    <row r="8" customFormat="false" ht="15" hidden="false" customHeight="false" outlineLevel="0" collapsed="false">
      <c r="A8" s="5" t="n">
        <v>2</v>
      </c>
      <c r="B8" s="5" t="s">
        <v>81</v>
      </c>
      <c r="C8" s="5" t="s">
        <v>231</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0.246432183746497</v>
      </c>
      <c r="L8" s="61" t="s">
        <v>234</v>
      </c>
      <c r="Q8" s="62" t="s">
        <v>233</v>
      </c>
      <c r="R8" s="62" t="s">
        <v>201</v>
      </c>
      <c r="S8" s="62" t="s">
        <v>82</v>
      </c>
      <c r="T8" s="62" t="n">
        <v>14</v>
      </c>
      <c r="U8" s="57" t="n">
        <v>680.2</v>
      </c>
      <c r="V8" s="57" t="n">
        <v>9522.8</v>
      </c>
    </row>
    <row r="9" customFormat="false" ht="15" hidden="false" customHeight="false" outlineLevel="0" collapsed="false">
      <c r="A9" s="5" t="n">
        <v>3</v>
      </c>
      <c r="B9" s="59" t="s">
        <v>80</v>
      </c>
      <c r="C9" s="5" t="s">
        <v>231</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0.061085084888777</v>
      </c>
      <c r="L9" s="61" t="s">
        <v>235</v>
      </c>
      <c r="Q9" s="62" t="s">
        <v>233</v>
      </c>
      <c r="R9" s="62" t="s">
        <v>201</v>
      </c>
      <c r="S9" s="62" t="s">
        <v>83</v>
      </c>
      <c r="T9" s="62" t="n">
        <v>21</v>
      </c>
      <c r="U9" s="57" t="n">
        <v>402.8</v>
      </c>
      <c r="V9" s="57" t="n">
        <v>8458.8</v>
      </c>
    </row>
    <row r="10" customFormat="false" ht="15" hidden="false" customHeight="false" outlineLevel="0" collapsed="false">
      <c r="A10" s="5" t="n">
        <v>4</v>
      </c>
      <c r="B10" s="59" t="s">
        <v>82</v>
      </c>
      <c r="C10" s="5" t="s">
        <v>231</v>
      </c>
      <c r="D10" s="60" t="n">
        <v>1027</v>
      </c>
      <c r="E10" s="57" t="n">
        <v>822205.8</v>
      </c>
      <c r="F10" s="8" t="n">
        <f aca="false">IF(AND(D10&gt;0,N(E10)&gt;0),E10/D10,"")</f>
        <v>800.589873417722</v>
      </c>
      <c r="G10" s="7" t="n">
        <f aca="false">IFERROR(INDEX(Prices!$C$6:$C$300,MATCH(B10,Prices!$A$6:$A$300,0)),"")</f>
        <v>675.15</v>
      </c>
      <c r="H10" s="8" t="n">
        <f aca="false">IF(ISNUMBER(G10),D10*G10,0)</f>
        <v>693379.05</v>
      </c>
      <c r="I10" s="8" t="n">
        <f aca="false">H10-N(E10)</f>
        <v>-128826.75</v>
      </c>
      <c r="J10" s="9" t="n">
        <f aca="false">IF(N(E10)&gt;0,I10/E10,"")</f>
        <v>-0.156684311883959</v>
      </c>
      <c r="K10" s="9" t="n">
        <f aca="false">IF($H$54=0,"",H10/$H$54)</f>
        <v>0.0596471990037228</v>
      </c>
      <c r="L10" s="61" t="s">
        <v>236</v>
      </c>
      <c r="Q10" s="62" t="s">
        <v>233</v>
      </c>
      <c r="R10" s="62" t="s">
        <v>201</v>
      </c>
      <c r="S10" s="62" t="s">
        <v>86</v>
      </c>
      <c r="T10" s="62" t="n">
        <v>48</v>
      </c>
      <c r="U10" s="57" t="n">
        <v>77.64</v>
      </c>
      <c r="V10" s="57" t="n">
        <v>3726.72</v>
      </c>
    </row>
    <row r="11" customFormat="false" ht="15" hidden="false" customHeight="false" outlineLevel="0" collapsed="false">
      <c r="A11" s="5" t="n">
        <v>5</v>
      </c>
      <c r="B11" s="59" t="s">
        <v>83</v>
      </c>
      <c r="C11" s="5" t="s">
        <v>231</v>
      </c>
      <c r="D11" s="60" t="n">
        <v>1415</v>
      </c>
      <c r="E11" s="57" t="n">
        <v>630971.8</v>
      </c>
      <c r="F11" s="8" t="n">
        <f aca="false">IF(AND(D11&gt;0,N(E11)&gt;0),E11/D11,"")</f>
        <v>445.916466431095</v>
      </c>
      <c r="G11" s="7" t="n">
        <f aca="false">IFERROR(INDEX(Prices!$C$6:$C$300,MATCH(B11,Prices!$A$6:$A$300,0)),"")</f>
        <v>400.35</v>
      </c>
      <c r="H11" s="8" t="n">
        <f aca="false">IF(ISNUMBER(G11),D11*G11,0)</f>
        <v>566495.25</v>
      </c>
      <c r="I11" s="8" t="n">
        <f aca="false">H11-N(E11)</f>
        <v>-64476.5500000001</v>
      </c>
      <c r="J11" s="9" t="n">
        <f aca="false">IF(N(E11)&gt;0,I11/E11,"")</f>
        <v>-0.102186104038247</v>
      </c>
      <c r="K11" s="9" t="n">
        <f aca="false">IF($H$54=0,"",H11/$H$54)</f>
        <v>0.0487321543842632</v>
      </c>
      <c r="L11" s="61" t="s">
        <v>237</v>
      </c>
      <c r="Q11" s="62" t="s">
        <v>233</v>
      </c>
      <c r="R11" s="62" t="s">
        <v>201</v>
      </c>
      <c r="S11" s="62" t="s">
        <v>79</v>
      </c>
      <c r="T11" s="62" t="n">
        <v>40</v>
      </c>
      <c r="U11" s="57" t="n">
        <v>912</v>
      </c>
      <c r="V11" s="57" t="n">
        <v>36480</v>
      </c>
    </row>
    <row r="12" customFormat="false" ht="15" hidden="false" customHeight="false" outlineLevel="0" collapsed="false">
      <c r="A12" s="5" t="n">
        <v>6</v>
      </c>
      <c r="B12" s="59" t="s">
        <v>84</v>
      </c>
      <c r="C12" s="5" t="s">
        <v>238</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0.0407516057787434</v>
      </c>
      <c r="L12" s="61"/>
      <c r="S12" s="63" t="s">
        <v>206</v>
      </c>
      <c r="V12" s="64" t="n">
        <f aca="false">SUMIFS(V7:V11,R7:R11,"BUY")-SUMIFS(V7:V11,R7:R11,"SELL")</f>
        <v>58307.85</v>
      </c>
    </row>
    <row r="13" customFormat="false" ht="15" hidden="false" customHeight="false" outlineLevel="0" collapsed="false">
      <c r="A13" s="5" t="n">
        <v>7</v>
      </c>
      <c r="B13" s="5" t="s">
        <v>96</v>
      </c>
      <c r="C13" s="5" t="s">
        <v>239</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0.0271302462315381</v>
      </c>
      <c r="L13" s="61" t="s">
        <v>240</v>
      </c>
    </row>
    <row r="14" customFormat="false" ht="15" hidden="false" customHeight="false" outlineLevel="0" collapsed="false">
      <c r="A14" s="5" t="n">
        <v>8</v>
      </c>
      <c r="B14" s="59" t="s">
        <v>86</v>
      </c>
      <c r="C14" s="5" t="s">
        <v>231</v>
      </c>
      <c r="D14" s="60" t="n">
        <v>3810</v>
      </c>
      <c r="E14" s="57" t="n">
        <v>436419.72</v>
      </c>
      <c r="F14" s="8" t="n">
        <f aca="false">IF(AND(D14&gt;0,N(E14)&gt;0),E14/D14,"")</f>
        <v>114.545858267717</v>
      </c>
      <c r="G14" s="7" t="n">
        <f aca="false">IFERROR(INDEX(Prices!$C$6:$C$300,MATCH(B14,Prices!$A$6:$A$300,0)),"")</f>
        <v>77.29</v>
      </c>
      <c r="H14" s="8" t="n">
        <f aca="false">IF(ISNUMBER(G14),D14*G14,0)</f>
        <v>294474.9</v>
      </c>
      <c r="I14" s="8" t="n">
        <f aca="false">H14-N(E14)</f>
        <v>-141944.82</v>
      </c>
      <c r="J14" s="9" t="n">
        <f aca="false">IF(N(E14)&gt;0,I14/E14,"")</f>
        <v>-0.325248409948111</v>
      </c>
      <c r="K14" s="9" t="n">
        <f aca="false">IF($H$54=0,"",H14/$H$54)</f>
        <v>0.0253318916426757</v>
      </c>
      <c r="L14" s="61" t="s">
        <v>241</v>
      </c>
    </row>
    <row r="15" customFormat="false" ht="15" hidden="false" customHeight="false" outlineLevel="0" collapsed="false">
      <c r="A15" s="5" t="n">
        <v>9</v>
      </c>
      <c r="B15" s="59" t="s">
        <v>88</v>
      </c>
      <c r="C15" s="5" t="s">
        <v>231</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0.0250096373545084</v>
      </c>
      <c r="L15" s="61" t="s">
        <v>242</v>
      </c>
    </row>
    <row r="16" customFormat="false" ht="15" hidden="false" customHeight="false" outlineLevel="0" collapsed="false">
      <c r="A16" s="5" t="n">
        <v>10</v>
      </c>
      <c r="B16" s="59" t="s">
        <v>87</v>
      </c>
      <c r="C16" s="5" t="s">
        <v>231</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0.0228335241097867</v>
      </c>
      <c r="L16" s="61" t="s">
        <v>243</v>
      </c>
    </row>
    <row r="17" customFormat="false" ht="15" hidden="false" customHeight="false" outlineLevel="0" collapsed="false">
      <c r="A17" s="5" t="n">
        <v>11</v>
      </c>
      <c r="B17" s="59" t="s">
        <v>89</v>
      </c>
      <c r="C17" s="5" t="s">
        <v>238</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0.0162963755239869</v>
      </c>
      <c r="L17" s="61"/>
    </row>
    <row r="18" customFormat="false" ht="15" hidden="false" customHeight="false" outlineLevel="0" collapsed="false">
      <c r="A18" s="5" t="n">
        <v>12</v>
      </c>
      <c r="B18" s="59" t="s">
        <v>92</v>
      </c>
      <c r="C18" s="5" t="s">
        <v>238</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0.0150572006431643</v>
      </c>
      <c r="L18" s="61"/>
    </row>
    <row r="19" customFormat="false" ht="15" hidden="false" customHeight="false" outlineLevel="0" collapsed="false">
      <c r="A19" s="5" t="n">
        <v>13</v>
      </c>
      <c r="B19" s="5" t="s">
        <v>102</v>
      </c>
      <c r="C19" s="5" t="s">
        <v>238</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0.0140643467171315</v>
      </c>
      <c r="L19" s="61"/>
    </row>
    <row r="20" customFormat="false" ht="15" hidden="false" customHeight="false" outlineLevel="0" collapsed="false">
      <c r="A20" s="5" t="n">
        <v>14</v>
      </c>
      <c r="B20" s="59" t="s">
        <v>91</v>
      </c>
      <c r="C20" s="5" t="s">
        <v>244</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0.0101893638516955</v>
      </c>
      <c r="L20" s="61" t="s">
        <v>245</v>
      </c>
    </row>
    <row r="21" customFormat="false" ht="15" hidden="false" customHeight="false" outlineLevel="0" collapsed="false">
      <c r="A21" s="5" t="n">
        <v>15</v>
      </c>
      <c r="B21" s="5" t="s">
        <v>108</v>
      </c>
      <c r="C21" s="5" t="s">
        <v>246</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0.00731423726115022</v>
      </c>
      <c r="L21" s="61"/>
    </row>
    <row r="22" customFormat="false" ht="15" hidden="false" customHeight="false" outlineLevel="0" collapsed="false">
      <c r="A22" s="5" t="n">
        <v>16</v>
      </c>
      <c r="B22" s="5" t="s">
        <v>110</v>
      </c>
      <c r="C22" s="5" t="s">
        <v>238</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0.00671631925166424</v>
      </c>
      <c r="L22" s="61"/>
    </row>
    <row r="23" customFormat="false" ht="15" hidden="false" customHeight="false" outlineLevel="0" collapsed="false">
      <c r="A23" s="5" t="n">
        <v>17</v>
      </c>
      <c r="B23" s="5" t="s">
        <v>111</v>
      </c>
      <c r="C23" s="5" t="s">
        <v>238</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0.00610288252308764</v>
      </c>
      <c r="L23" s="61"/>
    </row>
    <row r="24" customFormat="false" ht="15" hidden="false" customHeight="false" outlineLevel="0" collapsed="false">
      <c r="A24" s="5" t="n">
        <v>18</v>
      </c>
      <c r="B24" s="5" t="s">
        <v>112</v>
      </c>
      <c r="C24" s="5" t="s">
        <v>247</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0.00605677369031285</v>
      </c>
      <c r="L24" s="61" t="s">
        <v>248</v>
      </c>
    </row>
    <row r="25" customFormat="false" ht="15" hidden="false" customHeight="false" outlineLevel="0" collapsed="false">
      <c r="A25" s="5" t="n">
        <v>19</v>
      </c>
      <c r="B25" s="59" t="s">
        <v>85</v>
      </c>
      <c r="C25" s="5" t="s">
        <v>238</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0.00604015386476791</v>
      </c>
      <c r="L25" s="61"/>
    </row>
    <row r="26" customFormat="false" ht="15" hidden="false" customHeight="false" outlineLevel="0" collapsed="false">
      <c r="A26" s="5" t="n">
        <v>20</v>
      </c>
      <c r="B26" s="5" t="s">
        <v>113</v>
      </c>
      <c r="C26" s="5" t="s">
        <v>246</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0.00579199199762476</v>
      </c>
      <c r="L26" s="61"/>
    </row>
    <row r="27" customFormat="false" ht="15" hidden="false" customHeight="false" outlineLevel="0" collapsed="false">
      <c r="A27" s="5" t="n">
        <v>21</v>
      </c>
      <c r="B27" s="59" t="s">
        <v>94</v>
      </c>
      <c r="C27" s="5" t="s">
        <v>231</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0.00554838079699988</v>
      </c>
      <c r="L27" s="61" t="s">
        <v>249</v>
      </c>
    </row>
    <row r="28" customFormat="false" ht="15" hidden="false" customHeight="false" outlineLevel="0" collapsed="false">
      <c r="A28" s="5" t="n">
        <v>22</v>
      </c>
      <c r="B28" s="59" t="s">
        <v>93</v>
      </c>
      <c r="C28" s="5" t="s">
        <v>244</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0.00544858442218264</v>
      </c>
      <c r="L28" s="61" t="s">
        <v>250</v>
      </c>
    </row>
    <row r="29" customFormat="false" ht="15" hidden="false" customHeight="false" outlineLevel="0" collapsed="false">
      <c r="A29" s="5" t="n">
        <v>23</v>
      </c>
      <c r="B29" s="5" t="s">
        <v>116</v>
      </c>
      <c r="C29" s="5" t="s">
        <v>238</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0.00427616412015341</v>
      </c>
      <c r="L29" s="61"/>
    </row>
    <row r="30" customFormat="false" ht="15" hidden="false" customHeight="false" outlineLevel="0" collapsed="false">
      <c r="A30" s="5" t="n">
        <v>24</v>
      </c>
      <c r="B30" s="59" t="s">
        <v>95</v>
      </c>
      <c r="C30" s="5" t="s">
        <v>244</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0.00369068517264362</v>
      </c>
      <c r="L30" s="61" t="s">
        <v>251</v>
      </c>
    </row>
    <row r="31" customFormat="false" ht="15" hidden="false" customHeight="false" outlineLevel="0" collapsed="false">
      <c r="A31" s="5" t="n">
        <v>25</v>
      </c>
      <c r="B31" s="5" t="s">
        <v>99</v>
      </c>
      <c r="C31" s="5" t="s">
        <v>238</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0.00323917991200597</v>
      </c>
      <c r="L31" s="61"/>
    </row>
    <row r="32" customFormat="false" ht="15" hidden="false" customHeight="false" outlineLevel="0" collapsed="false">
      <c r="A32" s="5" t="n">
        <v>26</v>
      </c>
      <c r="B32" s="5" t="s">
        <v>125</v>
      </c>
      <c r="C32" s="5" t="s">
        <v>238</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0.00256514791886489</v>
      </c>
      <c r="L32" s="61"/>
    </row>
    <row r="33" customFormat="false" ht="15" hidden="false" customHeight="false" outlineLevel="0" collapsed="false">
      <c r="A33" s="5" t="n">
        <v>27</v>
      </c>
      <c r="B33" s="59" t="s">
        <v>98</v>
      </c>
      <c r="C33" s="5" t="s">
        <v>244</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0.00244497247224849</v>
      </c>
      <c r="L33" s="61" t="s">
        <v>252</v>
      </c>
    </row>
    <row r="34" customFormat="false" ht="15" hidden="false" customHeight="false" outlineLevel="0" collapsed="false">
      <c r="A34" s="5" t="n">
        <v>28</v>
      </c>
      <c r="B34" s="59" t="s">
        <v>114</v>
      </c>
      <c r="C34" s="5" t="s">
        <v>244</v>
      </c>
      <c r="D34" s="60" t="n">
        <v>169</v>
      </c>
      <c r="E34" s="57" t="n">
        <v>15473.53</v>
      </c>
      <c r="F34" s="8" t="n">
        <f aca="false">IF(AND(D34&gt;0,N(E34)&gt;0),E34/D34,"")</f>
        <v>91.559349112426</v>
      </c>
      <c r="G34" s="7" t="n">
        <f aca="false">IFERROR(INDEX(Prices!$C$6:$C$300,MATCH(B34,Prices!$A$6:$A$300,0)),"")</f>
        <v>119.758503401361</v>
      </c>
      <c r="H34" s="8" t="n">
        <f aca="false">IF(ISNUMBER(G34),D34*G34,0)</f>
        <v>20239.1870748299</v>
      </c>
      <c r="I34" s="8" t="n">
        <f aca="false">H34-N(E34)</f>
        <v>4765.65707482993</v>
      </c>
      <c r="J34" s="9" t="n">
        <f aca="false">IF(N(E34)&gt;0,I34/E34,"")</f>
        <v>0.3079877102917</v>
      </c>
      <c r="K34" s="9" t="n">
        <f aca="false">IF($H$54=0,"",H34/$H$54)</f>
        <v>0.00174105464987146</v>
      </c>
      <c r="L34" s="61" t="s">
        <v>253</v>
      </c>
    </row>
    <row r="35" customFormat="false" ht="15" hidden="false" customHeight="false" outlineLevel="0" collapsed="false">
      <c r="A35" s="5" t="n">
        <v>29</v>
      </c>
      <c r="B35" s="5" t="s">
        <v>131</v>
      </c>
      <c r="C35" s="5" t="s">
        <v>238</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0.00168510579003523</v>
      </c>
      <c r="L35" s="61"/>
    </row>
    <row r="36" customFormat="false" ht="15" hidden="false" customHeight="false" outlineLevel="0" collapsed="false">
      <c r="A36" s="5" t="n">
        <v>30</v>
      </c>
      <c r="B36" s="59" t="s">
        <v>101</v>
      </c>
      <c r="C36" s="5" t="s">
        <v>244</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0.0016185748734904</v>
      </c>
      <c r="L36" s="61" t="s">
        <v>254</v>
      </c>
    </row>
    <row r="37" customFormat="false" ht="15" hidden="false" customHeight="false" outlineLevel="0" collapsed="false">
      <c r="A37" s="5" t="n">
        <v>31</v>
      </c>
      <c r="B37" s="59" t="s">
        <v>100</v>
      </c>
      <c r="C37" s="5" t="s">
        <v>231</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0.00157486610869027</v>
      </c>
      <c r="L37" s="61" t="s">
        <v>255</v>
      </c>
    </row>
    <row r="38" customFormat="false" ht="15" hidden="false" customHeight="false" outlineLevel="0" collapsed="false">
      <c r="A38" s="5" t="n">
        <v>32</v>
      </c>
      <c r="B38" s="5" t="s">
        <v>143</v>
      </c>
      <c r="C38" s="5" t="s">
        <v>256</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0.00115272081936985</v>
      </c>
      <c r="L38" s="61"/>
    </row>
    <row r="39" customFormat="false" ht="15" hidden="false" customHeight="false" outlineLevel="0" collapsed="false">
      <c r="A39" s="5" t="n">
        <v>33</v>
      </c>
      <c r="B39" s="59" t="s">
        <v>104</v>
      </c>
      <c r="C39" s="5" t="s">
        <v>244</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0.00112674158896315</v>
      </c>
      <c r="L39" s="61" t="s">
        <v>254</v>
      </c>
    </row>
    <row r="40" customFormat="false" ht="15" hidden="false" customHeight="false" outlineLevel="0" collapsed="false">
      <c r="A40" s="5" t="n">
        <v>34</v>
      </c>
      <c r="B40" s="5" t="s">
        <v>146</v>
      </c>
      <c r="C40" s="5" t="s">
        <v>256</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0.000952478588975208</v>
      </c>
      <c r="L40" s="61"/>
    </row>
    <row r="41" customFormat="false" ht="15" hidden="false" customHeight="false" outlineLevel="0" collapsed="false">
      <c r="A41" s="5" t="n">
        <v>35</v>
      </c>
      <c r="B41" s="5" t="s">
        <v>147</v>
      </c>
      <c r="C41" s="5" t="s">
        <v>244</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0.000952319444682982</v>
      </c>
      <c r="L41" s="61" t="s">
        <v>257</v>
      </c>
    </row>
    <row r="42" customFormat="false" ht="15" hidden="false" customHeight="false" outlineLevel="0" collapsed="false">
      <c r="A42" s="5" t="n">
        <v>36</v>
      </c>
      <c r="B42" s="5" t="s">
        <v>149</v>
      </c>
      <c r="C42" s="5" t="s">
        <v>238</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0.000887173513600237</v>
      </c>
      <c r="L42" s="61"/>
    </row>
    <row r="43" customFormat="false" ht="15" hidden="false" customHeight="false" outlineLevel="0" collapsed="false">
      <c r="A43" s="5" t="n">
        <v>37</v>
      </c>
      <c r="B43" s="5" t="s">
        <v>107</v>
      </c>
      <c r="C43" s="5" t="s">
        <v>238</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0.000565308053649652</v>
      </c>
      <c r="L43" s="61"/>
    </row>
    <row r="44" customFormat="false" ht="15" hidden="false" customHeight="false" outlineLevel="0" collapsed="false">
      <c r="A44" s="5" t="n">
        <v>38</v>
      </c>
      <c r="B44" s="5" t="s">
        <v>153</v>
      </c>
      <c r="C44" s="5" t="s">
        <v>244</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0.000478207092154999</v>
      </c>
      <c r="L44" s="61" t="s">
        <v>258</v>
      </c>
    </row>
    <row r="45" customFormat="false" ht="15" hidden="false" customHeight="false" outlineLevel="0" collapsed="false">
      <c r="A45" s="5" t="n">
        <v>39</v>
      </c>
      <c r="B45" s="5" t="s">
        <v>154</v>
      </c>
      <c r="C45" s="5" t="s">
        <v>238</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0.000426979834846436</v>
      </c>
      <c r="L45" s="61"/>
    </row>
    <row r="46" customFormat="false" ht="15" hidden="false" customHeight="false" outlineLevel="0" collapsed="false">
      <c r="A46" s="5" t="n">
        <v>40</v>
      </c>
      <c r="B46" s="59" t="s">
        <v>103</v>
      </c>
      <c r="C46" s="5" t="s">
        <v>238</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0.000342783901864477</v>
      </c>
      <c r="L46" s="61"/>
    </row>
    <row r="47" customFormat="false" ht="15" hidden="false" customHeight="false" outlineLevel="0" collapsed="false">
      <c r="A47" s="5" t="n">
        <v>41</v>
      </c>
      <c r="B47" s="5" t="s">
        <v>157</v>
      </c>
      <c r="C47" s="5" t="s">
        <v>238</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0.000322095143875041</v>
      </c>
      <c r="L47" s="61"/>
    </row>
    <row r="48" customFormat="false" ht="15" hidden="false" customHeight="false" outlineLevel="0" collapsed="false">
      <c r="A48" s="5" t="n">
        <v>42</v>
      </c>
      <c r="B48" s="5" t="s">
        <v>158</v>
      </c>
      <c r="C48" s="5" t="s">
        <v>238</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0.000320456387784818</v>
      </c>
      <c r="L48" s="61"/>
    </row>
    <row r="49" customFormat="false" ht="15" hidden="false" customHeight="false" outlineLevel="0" collapsed="false">
      <c r="A49" s="5" t="n">
        <v>43</v>
      </c>
      <c r="B49" s="5" t="s">
        <v>151</v>
      </c>
      <c r="C49" s="5" t="s">
        <v>244</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0.000285750028488193</v>
      </c>
      <c r="L49" s="61" t="s">
        <v>259</v>
      </c>
    </row>
    <row r="50" customFormat="false" ht="15" hidden="false" customHeight="false" outlineLevel="0" collapsed="false">
      <c r="A50" s="5" t="n">
        <v>44</v>
      </c>
      <c r="B50" s="5" t="s">
        <v>159</v>
      </c>
      <c r="C50" s="5" t="s">
        <v>238</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0.000232780786359314</v>
      </c>
      <c r="L50" s="61"/>
    </row>
    <row r="51" customFormat="false" ht="15" hidden="false" customHeight="false" outlineLevel="0" collapsed="false">
      <c r="A51" s="5" t="n">
        <v>45</v>
      </c>
      <c r="B51" s="5" t="s">
        <v>161</v>
      </c>
      <c r="C51" s="5" t="s">
        <v>238</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0.000126334760845265</v>
      </c>
      <c r="L51" s="61"/>
    </row>
    <row r="52" customFormat="false" ht="15" hidden="false" customHeight="false" outlineLevel="0" collapsed="false">
      <c r="A52" s="5" t="n">
        <v>46</v>
      </c>
      <c r="B52" s="5" t="s">
        <v>137</v>
      </c>
      <c r="C52" s="5" t="s">
        <v>238</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0.000105252013202641</v>
      </c>
      <c r="L52" s="61"/>
    </row>
    <row r="53" customFormat="false" ht="15" hidden="false" customHeight="false" outlineLevel="0" collapsed="false">
      <c r="A53" s="5" t="n">
        <v>47</v>
      </c>
      <c r="B53" s="5" t="s">
        <v>163</v>
      </c>
      <c r="C53" s="5" t="s">
        <v>238</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8.03076508151284E-005</v>
      </c>
      <c r="L53" s="61"/>
    </row>
    <row r="54" customFormat="false" ht="15" hidden="false" customHeight="false" outlineLevel="0" collapsed="false">
      <c r="A54" s="89"/>
      <c r="B54" s="89" t="s">
        <v>78</v>
      </c>
      <c r="C54" s="89"/>
      <c r="D54" s="89"/>
      <c r="E54" s="90"/>
      <c r="F54" s="89"/>
      <c r="G54" s="89"/>
      <c r="H54" s="90" t="n">
        <f aca="false">SUM(H7:H53)</f>
        <v>11624670.7570748</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260</v>
      </c>
      <c r="E57" s="76" t="n">
        <v>11949395</v>
      </c>
    </row>
    <row r="58" customFormat="false" ht="15" hidden="false" customHeight="false" outlineLevel="0" collapsed="false">
      <c r="B58" s="75" t="s">
        <v>210</v>
      </c>
      <c r="E58" s="76" t="n">
        <v>850000</v>
      </c>
    </row>
    <row r="59" customFormat="false" ht="15" hidden="false" customHeight="false" outlineLevel="0" collapsed="false">
      <c r="B59" s="75" t="s">
        <v>261</v>
      </c>
      <c r="E59" s="76" t="n">
        <v>60000</v>
      </c>
    </row>
    <row r="60" customFormat="false" ht="15" hidden="false" customHeight="false" outlineLevel="0" collapsed="false">
      <c r="B60" s="92" t="s">
        <v>212</v>
      </c>
      <c r="C60" s="93"/>
      <c r="D60" s="93"/>
      <c r="E60" s="94" t="n">
        <f aca="false">SUM(E57:E59)</f>
        <v>12859395</v>
      </c>
      <c r="F60" s="93"/>
    </row>
    <row r="61" customFormat="false" ht="15" hidden="false" customHeight="false" outlineLevel="0" collapsed="false">
      <c r="B61" s="75" t="s">
        <v>213</v>
      </c>
      <c r="E61" s="80" t="n">
        <f aca="false">H54</f>
        <v>11624670.7570748</v>
      </c>
    </row>
    <row r="62" customFormat="false" ht="15" hidden="false" customHeight="false" outlineLevel="0" collapsed="false">
      <c r="B62" s="92" t="s">
        <v>214</v>
      </c>
      <c r="C62" s="93"/>
      <c r="D62" s="93"/>
      <c r="E62" s="94" t="n">
        <f aca="false">E61-E60</f>
        <v>-1234724.24292517</v>
      </c>
      <c r="F62" s="95" t="n">
        <f aca="false">IF(E60&gt;0,E62/E60,"")</f>
        <v>-0.0960172887546552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262</v>
      </c>
    </row>
    <row r="2" customFormat="false" ht="15" hidden="false" customHeight="false" outlineLevel="0" collapsed="false">
      <c r="A2" s="2" t="s">
        <v>263</v>
      </c>
    </row>
    <row r="3" customFormat="false" ht="15" hidden="false" customHeight="false" outlineLevel="0" collapsed="false">
      <c r="A3" s="2" t="s">
        <v>187</v>
      </c>
    </row>
    <row r="5" customFormat="false" ht="15" hidden="false" customHeight="false" outlineLevel="0" collapsed="false">
      <c r="Q5" s="30" t="s">
        <v>264</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265</v>
      </c>
      <c r="Q7" s="62" t="s">
        <v>266</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267</v>
      </c>
      <c r="Q8" s="62" t="s">
        <v>266</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266</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268</v>
      </c>
      <c r="Q10" s="62" t="s">
        <v>266</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269</v>
      </c>
      <c r="Q11" s="62" t="s">
        <v>266</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266</v>
      </c>
      <c r="R12" s="62" t="s">
        <v>205</v>
      </c>
      <c r="S12" s="62" t="s">
        <v>270</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266</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271</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272</v>
      </c>
      <c r="Q15" s="62" t="s">
        <v>271</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273</v>
      </c>
      <c r="Q16" s="62" t="s">
        <v>271</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271</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274</v>
      </c>
      <c r="Q18" s="62" t="s">
        <v>271</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275</v>
      </c>
      <c r="Q19" s="62" t="s">
        <v>271</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271</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276</v>
      </c>
      <c r="Q21" s="62" t="s">
        <v>271</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273</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274</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277</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278</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278</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274</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279</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274</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274</v>
      </c>
      <c r="Q30" s="62" t="s">
        <v>21</v>
      </c>
      <c r="R30" s="62" t="s">
        <v>201</v>
      </c>
      <c r="S30" s="62" t="s">
        <v>103</v>
      </c>
      <c r="T30" s="62" t="n">
        <v>6</v>
      </c>
      <c r="U30" s="57" t="n">
        <v>756.6</v>
      </c>
      <c r="V30" s="57" t="n">
        <v>4540</v>
      </c>
    </row>
    <row r="31" customFormat="false" ht="15" hidden="false" customHeight="false" outlineLevel="0" collapsed="false">
      <c r="A31" s="5" t="n">
        <v>25</v>
      </c>
      <c r="B31" s="59" t="s">
        <v>114</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11565430.6335374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280</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187</v>
      </c>
    </row>
    <row r="5" customFormat="false" ht="15" hidden="false" customHeight="false" outlineLevel="0" collapsed="false">
      <c r="Q5" s="30" t="s">
        <v>283</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284</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285</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286</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c r="F19" s="103"/>
      <c r="G19" s="103"/>
      <c r="H19" s="104" t="n">
        <f aca="false">SUM(H7:H18)</f>
        <v>218828.132921147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280</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287</v>
      </c>
    </row>
    <row r="2" customFormat="false" ht="15" hidden="false" customHeight="false" outlineLevel="0" collapsed="false">
      <c r="A2" s="2" t="s">
        <v>288</v>
      </c>
    </row>
    <row r="3" customFormat="false" ht="15" hidden="false" customHeight="false" outlineLevel="0" collapsed="false">
      <c r="A3" s="2" t="s">
        <v>187</v>
      </c>
    </row>
    <row r="5" customFormat="false" ht="15" hidden="false" customHeight="false" outlineLevel="0" collapsed="false">
      <c r="Q5" s="30" t="s">
        <v>289</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290</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290</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290</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291</v>
      </c>
      <c r="Q10" s="62" t="s">
        <v>290</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290</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291</v>
      </c>
      <c r="Q12" s="62" t="s">
        <v>290</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290</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290</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290</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290</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290</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290</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290</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292</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293</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293</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c r="F28" s="110"/>
      <c r="G28" s="110"/>
      <c r="H28" s="111" t="n">
        <f aca="false">SUM(H7:H27)</f>
        <v>5257352.02</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280</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294</v>
      </c>
    </row>
    <row r="2" customFormat="false" ht="15" hidden="false" customHeight="false" outlineLevel="0" collapsed="false">
      <c r="A2" s="0" t="s">
        <v>295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2026-10-29T05:39:46Z</dcterms:created>
  <dc:creator>openpyxl</dc:creator>
  <dc:description/>
  <dc:language>en-US</dc:language>
  <cp:lastModifiedBy/>
  <dcterms:modified xsi:type="dcterms:W3CDTF">2026-10-29T05:39:46Z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