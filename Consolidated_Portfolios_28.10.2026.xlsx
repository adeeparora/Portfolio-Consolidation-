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<sst xmlns="http://schemas.openxmlformats.org/spreadsheetml/2006/main" count="1341" uniqueCount="292">
  <si>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</si>
  <si>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</si>
  <si>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</si>
  <si>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</si>
  <si>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</si>
  <si>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</si>
  <si>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</si>
  <si>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</si>
  <si>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</si>
  <si>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</si>
  <si>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</si>
  <si>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</si>
  <si>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</si>
  <si>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</si>
  <si>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</si>
  <si>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</si>
  <si>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</si>
  <si>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</si>
  <si>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</si>
  <si>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</si>
  <si>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</si>
  <si>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</si>
  <si>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</si>
  <si>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</si>
  <si>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</si>
  <si>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</si>
  <si>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</si>
  <si>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</si>
  <si>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</si>
  <si>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</si>
  <si>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</si>
  <si>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</si>
  <si>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</si>
  <si>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</si>
  <si>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</si>
  <si>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</si>
  <si>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</si>
  <si>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</si>
  <si>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</si>
  <si>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</si>
  <si>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</si>
  <si>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</si>
  <si>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</si>
  <si>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</si>
  <si>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</si>
  <si>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</si>
  <si>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</si>
  <si>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</si>
  <si>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</si>
  <si>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</si>
  <si>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</si>
  <si>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</si>
  <si>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</si>
  <si>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</si>
  <si>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</si>
  <si>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</si>
  <si>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</si>
  <si>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</si>
  <si>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</si>
  <si>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</si>
  <si>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</si>
  <si>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</si>
  <si>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</si>
  <si>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</si>
  <si>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</si>
  <si>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</si>
  <si>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</si>
  <si>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</si>
  <si>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</si>
  <si>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</si>
  <si>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</si>
  <si>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</si>
  <si>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</si>
  <si>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</si>
  <si>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</si>
  <si>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</si>
  <si>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</si>
  <si>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</si>
  <si>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</si>
  <si>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</si>
  <si>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</si>
  <si>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</si>
  <si>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</si>
  <si>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</si>
  <si>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</si>
  <si>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</si>
  <si>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</si>
  <si>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</si>
  <si>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</si>
  <si>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</si>
  <si>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</si>
  <si>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</si>
  <si>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</si>
  <si>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</si>
  <si>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</si>
  <si>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</si>
  <si>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</si>
  <si>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</si>
  <si>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</si>
  <si>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</si>
  <si>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</si>
  <si>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</si>
  <si>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</si>
  <si>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</si>
  <si>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</si>
  <si>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</si>
  <si>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</si>
  <si>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</si>
  <si>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</si>
  <si>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</si>
  <si>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</si>
  <si>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</si>
  <si>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</si>
  <si>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</si>
  <si>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Vedant Fashions (Manyavar) Ltd</t>
  </si>
  <si>
    <t xml:space="preserve">HDFC Gold ETF</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</si>
  <si>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</si>
  <si>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</si>
  <si>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</si>
  <si>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</si>
  <si>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</si>
  <si>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</si>
  <si>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</si>
  <si>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</si>
  <si>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</si>
  <si>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</si>
  <si>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</si>
  <si>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</si>
  <si>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</si>
  <si>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</si>
  <si>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</si>
  <si>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</si>
  <si>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</si>
  <si>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</si>
  <si>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</si>
  <si>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</si>
  <si>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</si>
  <si>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</si>
  <si>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</si>
  <si>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</si>
  <si>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</si>
  <si>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</si>
  <si>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</si>
  <si>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</si>
  <si>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</si>
  <si>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</si>
  <si>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</si>
  <si>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</si>
  <si>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</si>
  <si>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</si>
  <si>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</si>
  <si>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</si>
  <si>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</si>
  <si>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</si>
  <si>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</si>
  <si>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</si>
  <si>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</si>
  <si>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</si>
  <si>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</si>
  <si>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</si>
  <si>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</si>
  <si>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</si>
  <si>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</si>
  <si>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</si>
  <si>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</si>
  <si>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</si>
  <si>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</si>
  <si>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</si>
  <si>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</si>
  <si>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</si>
  <si>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</si>
  <si>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</si>
  <si>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</si>
  <si>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</si>
  <si>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</si>
  <si>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</si>
  <si>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</si>
  <si>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</si>
  <si>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</si>
  <si>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</si>
  <si>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</si>
  <si>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</si>
  <si>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</si>
  <si>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</si>
  <si>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</si>
  <si>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</si>
  <si>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</si>
  <si>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</si>
  <si>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</si>
  <si>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</si>
  <si>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</si>
  <si>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</si>
  <si>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</si>
  <si>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</si>
  <si>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</si>
  <si>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</si>
  <si>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</si>
  <si>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</si>
  <si>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</si>
  <si>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</si>
  <si>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11:03–11:16</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</si>
  <si>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</si>
  <si>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</si>
  <si>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</si>
  <si>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</si>
  <si>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</si>
  <si>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</si>
  <si>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</si>
  <si>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</si>
  <si>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</si>
  <si>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</si>
  <si>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</si>
  <si>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</si>
  <si>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</si>
  <si>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</si>
  <si>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</si>
  <si>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</si>
  <si>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</si>
  <si>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</si>
  <si>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</si>
  <si>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</si>
  <si>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</si>
  <si>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</si>
  <si>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</si>
  <si>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</si>
  <si>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</si>
  <si>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</si>
  <si>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</si>
  <si>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</si>
  <si>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</si>
  <si>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</si>
  <si>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</si>
  <si>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</si>
  <si>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</si>
  <si>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</si>
  <si>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</si>
  <si>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</si>
  <si>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</si>
  <si>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</si>
  <si>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</si>
  <si>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</si>
  <si>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</si>
  <si>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</si>
  <si>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</si>
  <si>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</si>
  <si>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</si>
  <si>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</si>
  <si>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</si>
  <si>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</si>
  <si>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</si>
  <si>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</si>
  <si>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</si>
  <si>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</si>
  <si>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</si>
  <si>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</si>
  <si>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</si>
  <si>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</si>
  <si>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</si>
  <si>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</si>
  <si>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</si>
  <si>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</si>
  <si>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</si>
  <si>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</si>
  <si>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</si>
  <si>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</si>
  <si>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</si>
  <si>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</si>
  <si>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</si>
  <si>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</si>
  <si>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</si>
  <si>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</si>
  <si>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</si>
  <si>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</si>
  <si>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</si>
  <si>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</si>
  <si>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</si>
  <si>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</si>
  <si>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</si>
  <si>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</si>
  <si>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</si>
  <si>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</si>
  <si>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</si>
  <si>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</si>
  <si>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</si>
  <si>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</si>
  <si>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</si>
  <si>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</si>
  <si>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</si>
  <si>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</si>
  <si>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</si>
  <si>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5997629.63, "stmt_mv": 1023697, "basis_label": "Gautam stmt – 23.10 + trades", "stale_prices": false, "rows": [["Bajaj Finance Ltd", "HDFC Securities", 2294.0, 2269670.0, null, "28.10 buys at executed price (charges not yet shown)"], ["Poonawalla Fincorp Ltd", "HDFC Securities", 1354.0, 616306.25,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11:03–11:16", "BUY", "HDFC Gold ETF", 2.0, 120.67, 241.34], ["28.10.2026 11:03–11:16", "BUY", "Waaree Energies Ltd", 6.0, 2184.2, 13105.2], ["28.10.2026 11:03–11:16", "BUY", "Vinati Organics Ltd", 14.0, 1078.22, 15095.1], ["28.10.2026 11:03–11:16", "BUY", "Fineotex Chemical Ltd", 238.0, 50.24, 11957.11], ["28.10.2026 11:03–11:16", "BUY", "Avenue Supermarts (DMart) Ltd", 5.0, 3144.0, 15720.0], ["28.10.2026 11:03–11:16", "BUY", "Trent Ltd", 5.0, 2860.28, 14301.4], ["28.10.2026 11:03–11:16", "BUY", "Eicher Motors Ltd", 4.0, 7206.0, 28824.0], ["28.10.2026 11:03–11:16", "BUY", "Rategain Travel Technologies Ltd", 15.0, 798.54, 11978.05], ["28.10.2026 11:03–11:16", "BUY", "Affle 3i Ltd", 13.0, 1373.85, 17860.1], ["28.10.2026 11:03–11:16", "BUY", "Persistent Systems Ltd", 4.0, 5776.0, 23104.0], ["28.10.2026 11:03–11:16", "BUY", "L&amp;T Technology Services Ltd", 9.0, 4045.22, 36407.0], ["28.10.2026 11:03–11:16", "BUY", "Tata Elxsi Ltd", 13.0, 3689.6, 47964.8], ["28.10.2026 11:03–11:16", "BUY", "Titan Company Ltd", 10.0, 4307.5, 43075.0], ["28.10.2026 11:03–11:16", "BUY", "Bajaj Housing Finance Ltd", 464.0, 77.47, 35945.93], ["28.10.2026 11:03–11:16", "BUY", "HDFC Bank Ltd", 87.0, 679.05, 59077.35], ["28.10.2026 11:03–11:16", "BUY", "Poonawalla Fincorp Ltd", 222.0, 401.51, 89134.25], ["28.10.2026 11:03–11:16", "BUY", "Bajaj Finance Ltd", 393.0, 909.39, 357391.0], ["28.10.2026 11:03–11:16", "SELL", "Nippon India ETF Nifty 1D Rate Liquid BeES", 325.0, 999.99, 324996.75]], "trades_title": "Invest Right tradebook of 28.10.2026 (buys at executed price, no charges shown; blended into Wtd Avg Cost)", "base": {"label": "Year 0 base", "amount": 2264444, "cash": [["Cash added", 3250000]]}},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t>
  </si>
  <si>
    <t xml:space="preserv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</si>
</sst>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Gautam!E37</f>
        <v>5997629.63</v>
      </c>
      <c r="G6" s="7" t="n">
        <f aca="false">Gautam!H37</f>
        <v>5566468.43659864</v>
      </c>
      <c r="H6" s="8" t="n">
        <f aca="false">G6-F6</f>
        <v>-431161.19340136</v>
      </c>
      <c r="I6" s="9" t="n">
        <f aca="false">IF(F6&gt;0,H6/F6,"")</f>
        <v>-0.0718885993300923</v>
      </c>
      <c r="J6" s="9" t="n">
        <f aca="false">IF($G$12=0,"",G6/$G$12)</f>
        <v>0.145923370366361</v>
      </c>
      <c r="K6" s="8" t="n">
        <f aca="false">Gautam!E42</f>
        <v>5514444</v>
      </c>
      <c r="L6" s="8" t="n">
        <f aca="false">G6-K6</f>
        <v>52024.4365986399</v>
      </c>
      <c r="M6" s="9" t="n">
        <f aca="false">IF(K6&gt;0,L6/K6,"")</f>
        <v>0.00943421251510396</v>
      </c>
    </row>
    <row r="7" customFormat="false" ht="15" hidden="false" customHeight="false" outlineLevel="0" collapsed="false">
      <c r="A7" s="10" t="s">
        <v>19</v>
      </c>
      <c r="B7" s="5" t="s">
        <v>20</v>
      </c>
      <c r="C7" s="5" t="s">
        <v>21</v>
      </c>
      <c r="D7" s="5" t="s">
        <v>22</v>
      </c>
      <c r="E7" s="6" t="n">
        <f aca="false">COUNTIFS(DA!$D$7:$D$300,"&gt;0",DA!$B$7:$B$300,"&lt;&gt;Cash*")</f>
        <v>53</v>
      </c>
      <c r="F7" s="7" t="n">
        <f aca="false">DA!E60</f>
        <v>4574421</v>
      </c>
      <c r="G7" s="7" t="n">
        <f aca="false">DA!H60</f>
        <v>3971760.89</v>
      </c>
      <c r="H7" s="8" t="n">
        <f aca="false">G7-F7</f>
        <v>-602660.11</v>
      </c>
      <c r="I7" s="9" t="n">
        <f aca="false">IF(F7&gt;0,H7/F7,"")</f>
        <v>-0.131745659177413</v>
      </c>
      <c r="J7" s="9" t="n">
        <f aca="false">IF($G$12=0,"",G7/$G$12)</f>
        <v>0.104118570321445</v>
      </c>
      <c r="K7" s="8" t="n">
        <f aca="false">DA!E64</f>
        <v>4111335</v>
      </c>
      <c r="L7" s="8" t="n">
        <f aca="false">G7-K7</f>
        <v>-139574.11</v>
      </c>
      <c r="M7" s="9" t="n">
        <f aca="false">IF(K7&gt;0,L7/K7,"")</f>
        <v>-0.0339486103662192</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'Manish Shilpa'!E54</f>
        <v>9857778</v>
      </c>
      <c r="G8" s="7" t="n">
        <f aca="false">'Manish Shilpa'!H54</f>
        <v>11566677.6285714</v>
      </c>
      <c r="H8" s="8" t="n">
        <f aca="false">G8-F8</f>
        <v>1708899.62857143</v>
      </c>
      <c r="I8" s="9" t="n">
        <f aca="false">IF(F8&gt;0,H8/F8,"")</f>
        <v>0.173355458864201</v>
      </c>
      <c r="J8" s="9" t="n">
        <f aca="false">IF($G$12=0,"",G8/$G$12)</f>
        <v>0.303217129985863</v>
      </c>
      <c r="K8" s="8" t="n">
        <f aca="false">'Manish Shilpa'!E59</f>
        <v>12475171</v>
      </c>
      <c r="L8" s="8" t="n">
        <f aca="false">G8-K8</f>
        <v>-908493.371428572</v>
      </c>
      <c r="M8" s="9" t="n">
        <f aca="false">IF(K8&gt;0,L8/K8,"")</f>
        <v>-0.0728241217237481</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'Saloni Mehra'!E32</f>
        <v>11739506</v>
      </c>
      <c r="G9" s="7" t="n">
        <f aca="false">'Saloni Mehra'!H32</f>
        <v>11565430.6335374</v>
      </c>
      <c r="H9" s="8" t="n">
        <f aca="false">G9-F9</f>
        <v>-174075.366462585</v>
      </c>
      <c r="I9" s="9" t="n">
        <f aca="false">IF(F9&gt;0,H9/F9,"")</f>
        <v>-0.0148281679367585</v>
      </c>
      <c r="J9" s="9" t="n">
        <f aca="false">IF($G$12=0,"",G9/$G$12)</f>
        <v>0.303184440369409</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'Vidushi Malhotra'!E19</f>
        <v>201361</v>
      </c>
      <c r="G10" s="7" t="n">
        <f aca="false">'Vidushi Malhotra'!H19</f>
        <v>218828.132921147</v>
      </c>
      <c r="H10" s="8" t="n">
        <f aca="false">G10-F10</f>
        <v>17467.132921147</v>
      </c>
      <c r="I10" s="9" t="n">
        <f aca="false">IF(F10&gt;0,H10/F10,"")</f>
        <v>0.0867453624145041</v>
      </c>
      <c r="J10" s="9" t="n">
        <f aca="false">IF($G$12=0,"",G10/$G$12)</f>
        <v>0.00573651661740919</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'Dr Umesh Choudhry'!E28</f>
        <v>5222229</v>
      </c>
      <c r="G11" s="7" t="n">
        <f aca="false">'Dr Umesh Choudhry'!H28</f>
        <v>5257352.02</v>
      </c>
      <c r="H11" s="8" t="n">
        <f aca="false">G11-F11</f>
        <v>35123.0200000005</v>
      </c>
      <c r="I11" s="9" t="n">
        <f aca="false">IF(F11&gt;0,H11/F11,"")</f>
        <v>0.00672567595178237</v>
      </c>
      <c r="J11" s="9" t="n">
        <f aca="false">IF($G$12=0,"",G11/$G$12)</f>
        <v>0.137819972339513</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t="n">
        <f aca="false">SUM(F6:F11)</f>
        <v>37592924.63</v>
      </c>
      <c r="G12" s="17" t="n">
        <f aca="false">SUM(G6:G11)</f>
        <v>38146517.7416286</v>
      </c>
      <c r="H12" s="17" t="n">
        <f aca="false">SUM(H6:H11)</f>
        <v>553593.111628631</v>
      </c>
      <c r="I12" s="18" t="n">
        <f aca="false">IF(F12&gt;0,H12/F12,"")</f>
        <v>0.0147259921136025</v>
      </c>
      <c r="J12" s="18" t="n">
        <f aca="false">SUM(J6:J11)</f>
        <v>1</v>
      </c>
      <c r="K12" s="17" t="n">
        <f aca="false">SUM(K6:K11)</f>
        <v>40425847</v>
      </c>
      <c r="L12" s="17" t="n">
        <f aca="false">SUM(L6:L11)</f>
        <v>-2279329.25837137</v>
      </c>
      <c r="M12" s="18" t="n">
        <f aca="false">IF(K12&gt;0,L12/K12,"")</f>
        <v>-0.0563829685095125</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13233715.6</v>
      </c>
      <c r="D17" s="28" t="n">
        <f aca="false">INDEX('Side by Side'!$L$7:$L$95,MATCH(C17,'Side by Side'!$I$7:$I$95,0))</f>
        <v>0.346918051331283</v>
      </c>
      <c r="E17" s="28" t="n">
        <f aca="false">INDEX('Side by Side'!$S$7:$S$95,MATCH(C17,'Side by Side'!$I$7:$I$95,0))</f>
        <v>0.37403147502121</v>
      </c>
      <c r="F17" s="28" t="n">
        <f aca="false">INDEX('Side by Side'!$Z$7:$Z$95,MATCH(C17,'Side by Side'!$I$7:$I$95,0))</f>
        <v>0.210003679249684</v>
      </c>
      <c r="G17" s="28" t="n">
        <f aca="false">INDEX('Side by Side'!$AG$7:$AG$95,MATCH(C17,'Side by Side'!$I$7:$I$95,0))</f>
        <v>0.305628125337199</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0.080326157704721</v>
      </c>
      <c r="E18" s="28" t="n">
        <f aca="false">INDEX('Side by Side'!$S$7:$S$95,MATCH(C18,'Side by Side'!$I$7:$I$95,0))</f>
        <v>0.0440683716783801</v>
      </c>
      <c r="F18" s="28" t="n">
        <f aca="false">INDEX('Side by Side'!$Z$7:$Z$95,MATCH(C18,'Side by Side'!$I$7:$I$95,0))</f>
        <v>0.0639294275340931</v>
      </c>
      <c r="G18" s="28" t="n">
        <f aca="false">INDEX('Side by Side'!$AG$7:$AG$95,MATCH(C18,'Side by Side'!$I$7:$I$95,0))</f>
        <v>0.0613913539222327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0.0751038328668904</v>
      </c>
      <c r="E19" s="28" t="n">
        <f aca="false">INDEX('Side by Side'!$S$7:$S$95,MATCH(C19,'Side by Side'!$I$7:$I$95,0))</f>
        <v>0</v>
      </c>
      <c r="F19" s="28" t="n">
        <f aca="false">INDEX('Side by Side'!$Z$7:$Z$95,MATCH(C19,'Side by Side'!$I$7:$I$95,0))</f>
        <v>0</v>
      </c>
      <c r="G19" s="28" t="n">
        <f aca="false">INDEX('Side by Side'!$AG$7:$AG$95,MATCH(C19,'Side by Side'!$I$7:$I$95,0))</f>
        <v>0.247667747990467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2538564</v>
      </c>
      <c r="D20" s="28" t="n">
        <f aca="false">INDEX('Side by Side'!$L$7:$L$95,MATCH(C20,'Side by Side'!$I$7:$I$95,0))</f>
        <v>0.0665477257241153</v>
      </c>
      <c r="E20" s="28" t="n">
        <f aca="false">INDEX('Side by Side'!$S$7:$S$95,MATCH(C20,'Side by Side'!$I$7:$I$95,0))</f>
        <v>0.0647681926353111</v>
      </c>
      <c r="F20" s="28" t="n">
        <f aca="false">INDEX('Side by Side'!$Z$7:$Z$95,MATCH(C20,'Side by Side'!$I$7:$I$95,0))</f>
        <v>0.0644252907178408</v>
      </c>
      <c r="G20" s="28" t="n">
        <f aca="false">INDEX('Side by Side'!$AG$7:$AG$95,MATCH(C20,'Side by Side'!$I$7:$I$95,0))</f>
        <v>0.0591290750864015</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2510594.85</v>
      </c>
      <c r="D21" s="28" t="n">
        <f aca="false">INDEX('Side by Side'!$L$7:$L$95,MATCH(C21,'Side by Side'!$I$7:$I$95,0))</f>
        <v>0.0658145224946767</v>
      </c>
      <c r="E21" s="28" t="n">
        <f aca="false">INDEX('Side by Side'!$S$7:$S$95,MATCH(C21,'Side by Side'!$I$7:$I$95,0))</f>
        <v>0.0973820127023358</v>
      </c>
      <c r="F21" s="28" t="n">
        <f aca="false">INDEX('Side by Side'!$Z$7:$Z$95,MATCH(C21,'Side by Side'!$I$7:$I$95,0))</f>
        <v>0.0804376972451632</v>
      </c>
      <c r="G21" s="28" t="n">
        <f aca="false">INDEX('Side by Side'!$AG$7:$AG$95,MATCH(C21,'Side by Side'!$I$7:$I$95,0))</f>
        <v>0.048249628624683</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0.0413951284018981</v>
      </c>
      <c r="E22" s="28" t="n">
        <f aca="false">INDEX('Side by Side'!$S$7:$S$95,MATCH(C22,'Side by Side'!$I$7:$I$95,0))</f>
        <v>0.0283677167666631</v>
      </c>
      <c r="F22" s="28" t="n">
        <f aca="false">INDEX('Side by Side'!$Z$7:$Z$95,MATCH(C22,'Side by Side'!$I$7:$I$95,0))</f>
        <v>0.0397576803773804</v>
      </c>
      <c r="G22" s="28" t="n">
        <f aca="false">INDEX('Side by Side'!$AG$7:$AG$95,MATCH(C22,'Side by Side'!$I$7:$I$95,0))</f>
        <v>0.040955926603317</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0.0305295809145141</v>
      </c>
      <c r="E23" s="28" t="n">
        <f aca="false">INDEX('Side by Side'!$S$7:$S$95,MATCH(C23,'Side by Side'!$I$7:$I$95,0))</f>
        <v>0.0400164669102319</v>
      </c>
      <c r="F23" s="28" t="n">
        <f aca="false">INDEX('Side by Side'!$Z$7:$Z$95,MATCH(C23,'Side by Side'!$I$7:$I$95,0))</f>
        <v>0.0158496953224191</v>
      </c>
      <c r="G23" s="28" t="n">
        <f aca="false">INDEX('Side by Side'!$AG$7:$AG$95,MATCH(C23,'Side by Side'!$I$7:$I$95,0))</f>
        <v>0.00607043805098872</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1101614.37</v>
      </c>
      <c r="D24" s="28" t="n">
        <f aca="false">INDEX('Side by Side'!$L$7:$L$95,MATCH(C24,'Side by Side'!$I$7:$I$95,0))</f>
        <v>0.0288785041261532</v>
      </c>
      <c r="E24" s="28" t="n">
        <f aca="false">INDEX('Side by Side'!$S$7:$S$95,MATCH(C24,'Side by Side'!$I$7:$I$95,0))</f>
        <v>0.0286584864024627</v>
      </c>
      <c r="F24" s="28" t="n">
        <f aca="false">INDEX('Side by Side'!$Z$7:$Z$95,MATCH(C24,'Side by Side'!$I$7:$I$95,0))</f>
        <v>0.0366040388700237</v>
      </c>
      <c r="G24" s="28" t="n">
        <f aca="false">INDEX('Side by Side'!$AG$7:$AG$95,MATCH(C24,'Side by Side'!$I$7:$I$95,0))</f>
        <v>0.0251381588851207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0.0274112045320171</v>
      </c>
      <c r="E25" s="28" t="n">
        <f aca="false">INDEX('Side by Side'!$S$7:$S$95,MATCH(C25,'Side by Side'!$I$7:$I$95,0))</f>
        <v>0.0433492083442849</v>
      </c>
      <c r="F25" s="28" t="n">
        <f aca="false">INDEX('Side by Side'!$Z$7:$Z$95,MATCH(C25,'Side by Side'!$I$7:$I$95,0))</f>
        <v>0.0121508825270697</v>
      </c>
      <c r="G25" s="28" t="n">
        <f aca="false">INDEX('Side by Side'!$AG$7:$AG$95,MATCH(C25,'Side by Side'!$I$7:$I$95,0))</f>
        <v>0.0229480070702708</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0.0263572446326545</v>
      </c>
      <c r="E26" s="28" t="n">
        <f aca="false">INDEX('Side by Side'!$S$7:$S$95,MATCH(C26,'Side by Side'!$I$7:$I$95,0))</f>
        <v>0.0282904864715673</v>
      </c>
      <c r="F26" s="28" t="n">
        <f aca="false">INDEX('Side by Side'!$Z$7:$Z$95,MATCH(C26,'Side by Side'!$I$7:$I$95,0))</f>
        <v>0.0274496131613804</v>
      </c>
      <c r="G26" s="28" t="n">
        <f aca="false">INDEX('Side by Side'!$AG$7:$AG$95,MATCH(C26,'Side by Side'!$I$7:$I$95,0))</f>
        <v>0.0251350309341946</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37592924.63</v>
      </c>
      <c r="I6" s="43" t="n">
        <f aca="false">SUM(I7:I95)</f>
        <v>38146517.7416286</v>
      </c>
      <c r="J6" s="43" t="n">
        <f aca="false">I6-H6</f>
        <v>553593.111628629</v>
      </c>
      <c r="K6" s="44" t="n">
        <f aca="false">IF(H6&gt;0,J6/H6,"")</f>
        <v>0.0147259921136024</v>
      </c>
      <c r="L6" s="44" t="n">
        <f aca="false">SUM(L7:L95)</f>
        <v>1</v>
      </c>
      <c r="M6" s="42" t="n">
        <f aca="false">COUNTIFS(M7:M95,"&gt;0",$B7:$B95,"&lt;&gt;Cash*")</f>
        <v>30</v>
      </c>
      <c r="N6" s="43"/>
      <c r="O6" s="43" t="n">
        <f aca="false">SUM(O7:O95)</f>
        <v>5997629.63</v>
      </c>
      <c r="P6" s="43" t="n">
        <f aca="false">SUM(P7:P95)</f>
        <v>5566468.43659864</v>
      </c>
      <c r="Q6" s="43" t="n">
        <f aca="false">P6-O6</f>
        <v>-431161.19340136</v>
      </c>
      <c r="R6" s="44" t="n">
        <f aca="false">IF(O6&gt;0,Q6/O6,"")</f>
        <v>-0.0718885993300923</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9857778</v>
      </c>
      <c r="AD6" s="43" t="n">
        <f aca="false">SUM(AD7:AD95)</f>
        <v>11566677.6285714</v>
      </c>
      <c r="AE6" s="43" t="n">
        <f aca="false">AD6-AC6</f>
        <v>1708899.62857143</v>
      </c>
      <c r="AF6" s="44" t="n">
        <f aca="false">IF(AC6&gt;0,AE6/AC6,"")</f>
        <v>0.173355458864201</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14581</v>
      </c>
      <c r="G7" s="48" t="n">
        <f aca="false">IF(AND(F7&gt;0,H7&gt;0),H7/F7,"")</f>
        <v>879.706124408477</v>
      </c>
      <c r="H7" s="48" t="n">
        <f aca="false">O7+V7+AC7+AJ7+AQ7+AX7</f>
        <v>12826995</v>
      </c>
      <c r="I7" s="49" t="n">
        <f aca="false">P7+W7+AD7+AK7+AR7+AY7</f>
        <v>13233715.6</v>
      </c>
      <c r="J7" s="48" t="n">
        <f aca="false">I7-H7</f>
        <v>406720.600000002</v>
      </c>
      <c r="K7" s="50" t="n">
        <f aca="false">IF(H7&gt;0,J7/H7,"")</f>
        <v>0.0317081748297245</v>
      </c>
      <c r="L7" s="51" t="n">
        <f aca="false">IF(I$6=0,"",I7/I$6)</f>
        <v>0.346918051331283</v>
      </c>
      <c r="M7" s="52" t="n">
        <f aca="false">SUMIFS(Gautam!$D$7:$D$300,Gautam!$B$7:$B$300,$B7)</f>
        <v>2294</v>
      </c>
      <c r="N7" s="8" t="n">
        <f aca="false">IF(AND(M7&gt;0,O7&gt;0),O7/M7,"")</f>
        <v>989.394071490846</v>
      </c>
      <c r="O7" s="8" t="n">
        <f aca="false">SUMIFS(Gautam!$E$7:$E$300,Gautam!$B$7:$B$300,$B7)</f>
        <v>2269670</v>
      </c>
      <c r="P7" s="8" t="n">
        <f aca="false">SUMIFS(Gautam!$H$7:$H$300,Gautam!$B$7:$B$300,$B7)</f>
        <v>2082034.4</v>
      </c>
      <c r="Q7" s="8" t="n">
        <f aca="false">P7-O7</f>
        <v>-187635.6</v>
      </c>
      <c r="R7" s="9" t="n">
        <f aca="false">IF(O7&gt;0,Q7/O7,"")</f>
        <v>-0.0826708728581688</v>
      </c>
      <c r="S7" s="9" t="n">
        <f aca="false">IF(P$6=0,"",P7/P$6)</f>
        <v>0.37403147502121</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3895</v>
      </c>
      <c r="AB7" s="8" t="n">
        <f aca="false">IF(AND(AA7&gt;0,AC7&gt;0),AC7/AA7,"")</f>
        <v>747.725032092426</v>
      </c>
      <c r="AC7" s="8" t="n">
        <f aca="false">SUMIFS('Manish Shilpa'!$E$7:$E$300,'Manish Shilpa'!$B$7:$B$300,$B7)</f>
        <v>2912389</v>
      </c>
      <c r="AD7" s="8" t="n">
        <f aca="false">SUMIFS('Manish Shilpa'!$H$7:$H$300,'Manish Shilpa'!$B$7:$B$300,$B7)</f>
        <v>3535102</v>
      </c>
      <c r="AE7" s="8" t="n">
        <f aca="false">AD7-AC7</f>
        <v>622713</v>
      </c>
      <c r="AF7" s="9" t="n">
        <f aca="false">IF(AC7&gt;0,AE7/AC7,"")</f>
        <v>0.213815187462939</v>
      </c>
      <c r="AG7" s="9" t="n">
        <f aca="false">IF(AD$6=0,"",AD7/AD$6)</f>
        <v>0.305628125337199</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0.080326157704721</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0.0440683716783801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0.0613913539222327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0.0751038328668904</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0.247667747990467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3760</v>
      </c>
      <c r="G10" s="48" t="n">
        <f aca="false">IF(AND(F10&gt;0,H10&gt;0),H10/F10,"")</f>
        <v>788.801954787234</v>
      </c>
      <c r="H10" s="48" t="n">
        <f aca="false">O10+V10+AC10+AJ10+AQ10+AX10</f>
        <v>2965895.35</v>
      </c>
      <c r="I10" s="49" t="n">
        <f aca="false">P10+W10+AD10+AK10+AR10+AY10</f>
        <v>2538564</v>
      </c>
      <c r="J10" s="48" t="n">
        <f aca="false">I10-H10</f>
        <v>-427331.35</v>
      </c>
      <c r="K10" s="50" t="n">
        <f aca="false">IF(H10&gt;0,J10/H10,"")</f>
        <v>-0.144081735722739</v>
      </c>
      <c r="L10" s="51" t="n">
        <f aca="false">IF(I$6=0,"",I10/I$6)</f>
        <v>0.0665477257241153</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0.0647681926353111</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1013</v>
      </c>
      <c r="AB10" s="8" t="n">
        <f aca="false">IF(AND(AA10&gt;0,AC10&gt;0),AC10/AA10,"")</f>
        <v>802.253701875617</v>
      </c>
      <c r="AC10" s="8" t="n">
        <f aca="false">SUMIFS('Manish Shilpa'!$E$7:$E$300,'Manish Shilpa'!$B$7:$B$300,$B10)</f>
        <v>812683</v>
      </c>
      <c r="AD10" s="8" t="n">
        <f aca="false">SUMIFS('Manish Shilpa'!$H$7:$H$300,'Manish Shilpa'!$B$7:$B$300,$B10)</f>
        <v>683926.95</v>
      </c>
      <c r="AE10" s="8" t="n">
        <f aca="false">AD10-AC10</f>
        <v>-128756.05</v>
      </c>
      <c r="AF10" s="9" t="n">
        <f aca="false">IF(AC10&gt;0,AE10/AC10,"")</f>
        <v>-0.158433300561228</v>
      </c>
      <c r="AG10" s="9" t="n">
        <f aca="false">IF(AD$6=0,"",AD10/AD$6)</f>
        <v>0.0591290750864015</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6271</v>
      </c>
      <c r="G11" s="48" t="n">
        <f aca="false">IF(AND(F11&gt;0,H11&gt;0),H11/F11,"")</f>
        <v>447.799114973688</v>
      </c>
      <c r="H11" s="48" t="n">
        <f aca="false">O11+V11+AC11+AJ11+AQ11+AX11</f>
        <v>2808148.25</v>
      </c>
      <c r="I11" s="49" t="n">
        <f aca="false">P11+W11+AD11+AK11+AR11+AY11</f>
        <v>2510594.85</v>
      </c>
      <c r="J11" s="48" t="n">
        <f aca="false">I11-H11</f>
        <v>-297553.4</v>
      </c>
      <c r="K11" s="50" t="n">
        <f aca="false">IF(H11&gt;0,J11/H11,"")</f>
        <v>-0.105960716283408</v>
      </c>
      <c r="L11" s="51" t="n">
        <f aca="false">IF(I$6=0,"",I11/I$6)</f>
        <v>0.0658145224946767</v>
      </c>
      <c r="M11" s="52" t="n">
        <f aca="false">SUMIFS(Gautam!$D$7:$D$300,Gautam!$B$7:$B$300,$B11)</f>
        <v>1354</v>
      </c>
      <c r="N11" s="8" t="n">
        <f aca="false">IF(AND(M11&gt;0,O11&gt;0),O11/M11,"")</f>
        <v>455.174483013294</v>
      </c>
      <c r="O11" s="8" t="n">
        <f aca="false">SUMIFS(Gautam!$E$7:$E$300,Gautam!$B$7:$B$300,$B11)</f>
        <v>616306.25</v>
      </c>
      <c r="P11" s="8" t="n">
        <f aca="false">SUMIFS(Gautam!$H$7:$H$300,Gautam!$B$7:$B$300,$B11)</f>
        <v>542073.9</v>
      </c>
      <c r="Q11" s="8" t="n">
        <f aca="false">P11-O11</f>
        <v>-74232.35</v>
      </c>
      <c r="R11" s="9" t="n">
        <f aca="false">IF(O11&gt;0,Q11/O11,"")</f>
        <v>-0.120447180277662</v>
      </c>
      <c r="S11" s="9" t="n">
        <f aca="false">IF(P$6=0,"",P11/P$6)</f>
        <v>0.0973820127023358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1394</v>
      </c>
      <c r="AB11" s="8" t="n">
        <f aca="false">IF(AND(AA11&gt;0,AC11&gt;0),AC11/AA11,"")</f>
        <v>446.56599713056</v>
      </c>
      <c r="AC11" s="8" t="n">
        <f aca="false">SUMIFS('Manish Shilpa'!$E$7:$E$300,'Manish Shilpa'!$B$7:$B$300,$B11)</f>
        <v>622513</v>
      </c>
      <c r="AD11" s="8" t="n">
        <f aca="false">SUMIFS('Manish Shilpa'!$H$7:$H$300,'Manish Shilpa'!$B$7:$B$300,$B11)</f>
        <v>558087.9</v>
      </c>
      <c r="AE11" s="8" t="n">
        <f aca="false">AD11-AC11</f>
        <v>-64425.1</v>
      </c>
      <c r="AF11" s="9" t="n">
        <f aca="false">IF(AC11&gt;0,AE11/AC11,"")</f>
        <v>-0.103491975267986</v>
      </c>
      <c r="AG11" s="9" t="n">
        <f aca="false">IF(AD$6=0,"",AD11/AD$6)</f>
        <v>0.048249628624683</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0.0413951284018981</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0.0283677167666631</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0.040955926603317</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0.0305295809145141</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0.0400164669102319</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0.00607043805098872</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14253</v>
      </c>
      <c r="G14" s="48" t="n">
        <f aca="false">IF(AND(F14&gt;0,H14&gt;0),H14/F14,"")</f>
        <v>99.4292380551463</v>
      </c>
      <c r="H14" s="48" t="n">
        <f aca="false">O14+V14+AC14+AJ14+AQ14+AX14</f>
        <v>1417164.93</v>
      </c>
      <c r="I14" s="49" t="n">
        <f aca="false">P14+W14+AD14+AK14+AR14+AY14</f>
        <v>1101614.37</v>
      </c>
      <c r="J14" s="48" t="n">
        <f aca="false">I14-H14</f>
        <v>-315550.56</v>
      </c>
      <c r="K14" s="50" t="n">
        <f aca="false">IF(H14&gt;0,J14/H14,"")</f>
        <v>-0.222663257691538</v>
      </c>
      <c r="L14" s="51" t="n">
        <f aca="false">IF(I$6=0,"",I14/I$6)</f>
        <v>0.0288785041261532</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0.0286584864024627</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3762</v>
      </c>
      <c r="AB14" s="8" t="n">
        <f aca="false">IF(AND(AA14&gt;0,AC14&gt;0),AC14/AA14,"")</f>
        <v>115.016746411483</v>
      </c>
      <c r="AC14" s="8" t="n">
        <f aca="false">SUMIFS('Manish Shilpa'!$E$7:$E$300,'Manish Shilpa'!$B$7:$B$300,$B14)</f>
        <v>432693</v>
      </c>
      <c r="AD14" s="8" t="n">
        <f aca="false">SUMIFS('Manish Shilpa'!$H$7:$H$300,'Manish Shilpa'!$B$7:$B$300,$B14)</f>
        <v>290764.98</v>
      </c>
      <c r="AE14" s="8" t="n">
        <f aca="false">AD14-AC14</f>
        <v>-141928.02</v>
      </c>
      <c r="AF14" s="9" t="n">
        <f aca="false">IF(AC14&gt;0,AE14/AC14,"")</f>
        <v>-0.328010899182561</v>
      </c>
      <c r="AG14" s="9" t="n">
        <f aca="false">IF(AD$6=0,"",AD14/AD$6)</f>
        <v>0.0251381588851207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0.0274112045320171</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0.0433492083442849</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0.0229480070702708</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0.0263572446326545</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0.0282904864715673</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0.0251350309341946</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0.0248305757924094</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0.0340323496230505</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0.0163780824609527</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0.0220334659559967</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0.0190186167165733</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0.0359080451594434</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0.0102404513900704</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0.018562417539551</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0.00959507461657976</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0.0151326945922343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0.0123774338511833</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0.0237913861379807</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0.00547590259138421</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0.0107923350379825</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0.0194758492273504</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0.00557619932630266</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0.00937241512899195</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0.030829600842013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0.00370918956831849</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0.00826760078432614</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0.0272662721420509</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0.00746123150552741</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0.00588608904017916</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0.0183813491741492</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0.00245723110063977</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0.00570666768260316</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0.00325542054591268</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0.00539204918763886</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0.00464308749692522</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0.00158276218875317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0.00517902318995698</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0.016337306325511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0.00162669010101251</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0.00428593249605016</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0.0141348626848687</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0.00380231037030452</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0.0124557698996613</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0.000344502555354104</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0.00331914962350098</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0.0129415985773592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0.00113239085765181</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0.00252025363497558</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0.00457787559387851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0.0024194082570028</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0.0165799916142872</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0.0024117871157503</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0.000568142401044131</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0.00222892166923045</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0.00735090945994501</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0.00214027923998166</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0.00204671368770309</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0.00674999360292908</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0.00185977657201931</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0.00613348121890747</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0.0018457254860557</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0.00608714120518771</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0.00176503660061542</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0.00582103194729702</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473.4</v>
      </c>
      <c r="D42" s="46" t="str">
        <f aca="false">IFERROR(INDEX(Prices!$D$6:$D$300,MATCH($B42,Prices!$A$6:$A$300,0)),"")</f>
        <v>Close 28.10.2026 live (~11:35 IST) (Screener.in)</v>
      </c>
      <c r="E42" s="6" t="n">
        <f aca="false">(M42&gt;0)+(T42&gt;0)+(AA42&gt;0)+(AH42&gt;0)+(AO42&gt;0)+(AV42&gt;0)</f>
        <v>1</v>
      </c>
      <c r="F42" s="47" t="n">
        <f aca="false">M42+T42+AA42+AH42+AO42+AV42</f>
        <v>127</v>
      </c>
      <c r="G42" s="48" t="n">
        <f aca="false">IF(AND(F42&gt;0,H42&gt;0),H42/F42,"")</f>
        <v>606.212598425197</v>
      </c>
      <c r="H42" s="48" t="n">
        <f aca="false">O42+V42+AC42+AJ42+AQ42+AX42</f>
        <v>76989</v>
      </c>
      <c r="I42" s="49" t="n">
        <f aca="false">P42+W42+AD42+AK42+AR42+AY42</f>
        <v>60121.8</v>
      </c>
      <c r="J42" s="48" t="n">
        <f aca="false">I42-H42</f>
        <v>-16867.2</v>
      </c>
      <c r="K42" s="50" t="n">
        <f aca="false">IF(H42&gt;0,J42/H42,"")</f>
        <v>-0.219085843432179</v>
      </c>
      <c r="L42" s="51" t="n">
        <f aca="false">IF(I$6=0,"",I42/I$6)</f>
        <v>0.00157607570911748</v>
      </c>
      <c r="M42" s="52" t="n">
        <f aca="false">SUMIFS(Gautam!$D$7:$D$300,Gautam!$B$7:$B$300,$B42)</f>
        <v>0</v>
      </c>
      <c r="N42" s="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2" t="n">
        <f aca="false">SUMIFS(DA!$D$7:$D$300,DA!$B$7:$B$300,$B42)</f>
        <v>127</v>
      </c>
      <c r="U42" s="8" t="n">
        <f aca="false">IF(AND(T42&gt;0,V42&gt;0),V42/T42,"")</f>
        <v>606.212598425197</v>
      </c>
      <c r="V42" s="8" t="n">
        <f aca="false">SUMIFS(DA!$E$7:$E$300,DA!$B$7:$B$300,$B42)</f>
        <v>76989</v>
      </c>
      <c r="W42" s="8" t="n">
        <f aca="false">SUMIFS(DA!$H$7:$H$300,DA!$B$7:$B$300,$B42)</f>
        <v>60121.8</v>
      </c>
      <c r="X42" s="8" t="n">
        <f aca="false">W42-V42</f>
        <v>-16867.2</v>
      </c>
      <c r="Y42" s="9" t="n">
        <f aca="false">IF(V42&gt;0,X42/V42,"")</f>
        <v>-0.219085843432179</v>
      </c>
      <c r="Z42" s="9" t="n">
        <f aca="false">IF(W$6=0,"",W42/W$6)</f>
        <v>0.0151373160834967</v>
      </c>
      <c r="AA42" s="52" t="n">
        <f aca="false">SUMIFS('Manish Shilpa'!$D$7:$D$300,'Manish Shilpa'!$B$7:$B$300,$B42)</f>
        <v>0</v>
      </c>
      <c r="AB42" s="8" t="str">
        <f aca="false">IF(AND(AA42&gt;0,AC42&gt;0),AC42/AA42,"")</f>
        <v/>
      </c>
      <c r="AC42" s="8" t="n">
        <f aca="false">SUMIFS('Manish Shilpa'!$E$7:$E$300,'Manish Shilpa'!$B$7:$B$300,$B42)</f>
        <v>0</v>
      </c>
      <c r="AD42" s="8" t="n">
        <f aca="false">SUMIFS('Manish Shilpa'!$H$7:$H$300,'Manish Shilpa'!$B$7:$B$300,$B42)</f>
        <v>0</v>
      </c>
      <c r="AE42" s="8" t="n">
        <f aca="false">AD42-AC42</f>
        <v>0</v>
      </c>
      <c r="AF42" s="9" t="str">
        <f aca="false">IF(AC42&gt;0,AE42/AC42,"")</f>
        <v/>
      </c>
      <c r="AG42" s="9" t="n">
        <f aca="false">IF(AD$6=0,"",AD42/AD$6)</f>
        <v>0</v>
      </c>
      <c r="AH42" s="52" t="n">
        <f aca="false">SUMIFS('Saloni Mehra'!$D$7:$D$300,'Saloni Mehra'!$B$7:$B$300,$B42)</f>
        <v>0</v>
      </c>
      <c r="AI42" s="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119.758503401361</v>
      </c>
      <c r="D43" s="46" t="str">
        <f aca="false">IFERROR(INDEX(Prices!$D$6:$D$300,MATCH($B43,Prices!$A$6:$A$300,0)),"")</f>
        <v>DA stmt – 23.10</v>
      </c>
      <c r="E43" s="6" t="n">
        <f aca="false">(M43&gt;0)+(T43&gt;0)+(AA43&gt;0)+(AH43&gt;0)+(AO43&gt;0)+(AV43&gt;0)</f>
        <v>4</v>
      </c>
      <c r="F43" s="47" t="n">
        <f aca="false">M43+T43+AA43+AH43+AO43+AV43</f>
        <v>502</v>
      </c>
      <c r="G43" s="48" t="n">
        <f aca="false">IF(AND(F43&gt;0,H43&gt;0),H43/F43,"")</f>
        <v>115.73374501992</v>
      </c>
      <c r="H43" s="48" t="n">
        <f aca="false">O43+V43+AC43+AJ43+AQ43+AX43</f>
        <v>58098.34</v>
      </c>
      <c r="I43" s="49" t="n">
        <f aca="false">P43+W43+AD43+AK43+AR43+AY43</f>
        <v>60118.768707483</v>
      </c>
      <c r="J43" s="48" t="n">
        <f aca="false">I43-H43</f>
        <v>2020.42870748297</v>
      </c>
      <c r="K43" s="50" t="n">
        <f aca="false">IF(H43&gt;0,J43/H43,"")</f>
        <v>0.0347760143832504</v>
      </c>
      <c r="L43" s="51" t="n">
        <f aca="false">IF(I$6=0,"",I43/I$6)</f>
        <v>0.00157599624465529</v>
      </c>
      <c r="M43" s="52" t="n">
        <f aca="false">SUMIFS(Gautam!$D$7:$D$300,Gautam!$B$7:$B$300,$B43)</f>
        <v>29</v>
      </c>
      <c r="N43" s="8" t="n">
        <f aca="false">IF(AND(M43&gt;0,O43&gt;0),O43/M43,"")</f>
        <v>134.94275862069</v>
      </c>
      <c r="O43" s="8" t="n">
        <f aca="false">SUMIFS(Gautam!$E$7:$E$300,Gautam!$B$7:$B$300,$B43)</f>
        <v>3913.34</v>
      </c>
      <c r="P43" s="8" t="n">
        <f aca="false">SUMIFS(Gautam!$H$7:$H$300,Gautam!$B$7:$B$300,$B43)</f>
        <v>3472.99659863945</v>
      </c>
      <c r="Q43" s="8" t="n">
        <f aca="false">P43-O43</f>
        <v>-440.343401360546</v>
      </c>
      <c r="R43" s="9" t="n">
        <f aca="false">IF(O43&gt;0,Q43/O43,"")</f>
        <v>-0.11252367577582</v>
      </c>
      <c r="S43" s="9" t="n">
        <f aca="false">IF(P$6=0,"",P43/P$6)</f>
        <v>0.000623913822236924</v>
      </c>
      <c r="T43" s="52" t="n">
        <f aca="false">SUMIFS(DA!$D$7:$D$300,DA!$B$7:$B$300,$B43)</f>
        <v>294</v>
      </c>
      <c r="U43" s="8" t="n">
        <f aca="false">IF(AND(T43&gt;0,V43&gt;0),V43/T43,"")</f>
        <v>127.360544217687</v>
      </c>
      <c r="V43" s="8" t="n">
        <f aca="false">SUMIFS(DA!$E$7:$E$300,DA!$B$7:$B$300,$B43)</f>
        <v>37444</v>
      </c>
      <c r="W43" s="8" t="n">
        <f aca="false">SUMIFS(DA!$H$7:$H$300,DA!$B$7:$B$300,$B43)</f>
        <v>35209</v>
      </c>
      <c r="X43" s="8" t="n">
        <f aca="false">W43-V43</f>
        <v>-2235.00000000001</v>
      </c>
      <c r="Y43" s="9" t="n">
        <f aca="false">IF(V43&gt;0,X43/V43,"")</f>
        <v>-0.0596891357760927</v>
      </c>
      <c r="Z43" s="9" t="n">
        <f aca="false">IF(W$6=0,"",W43/W$6)</f>
        <v>0.00886483375387686</v>
      </c>
      <c r="AA43" s="52" t="n">
        <f aca="false">SUMIFS('Manish Shilpa'!$D$7:$D$300,'Manish Shilpa'!$B$7:$B$300,$B43)</f>
        <v>168</v>
      </c>
      <c r="AB43" s="8" t="n">
        <f aca="false">IF(AND(AA43&gt;0,AC43&gt;0),AC43/AA43,"")</f>
        <v>91.3928571428571</v>
      </c>
      <c r="AC43" s="8" t="n">
        <f aca="false">SUMIFS('Manish Shilpa'!$E$7:$E$300,'Manish Shilpa'!$B$7:$B$300,$B43)</f>
        <v>15354</v>
      </c>
      <c r="AD43" s="8" t="n">
        <f aca="false">SUMIFS('Manish Shilpa'!$H$7:$H$300,'Manish Shilpa'!$B$7:$B$300,$B43)</f>
        <v>20119.4285714286</v>
      </c>
      <c r="AE43" s="8" t="n">
        <f aca="false">AD43-AC43</f>
        <v>4765.42857142857</v>
      </c>
      <c r="AF43" s="9" t="n">
        <f aca="false">IF(AC43&gt;0,AE43/AC43,"")</f>
        <v>0.310370494426766</v>
      </c>
      <c r="AG43" s="9" t="n">
        <f aca="false">IF(AD$6=0,"",AD43/AD$6)</f>
        <v>0.00173943021648071</v>
      </c>
      <c r="AH43" s="52" t="n">
        <f aca="false">SUMIFS('Saloni Mehra'!$D$7:$D$300,'Saloni Mehra'!$B$7:$B$300,$B43)</f>
        <v>11</v>
      </c>
      <c r="AI43" s="8" t="n">
        <f aca="false">IF(AND(AH43&gt;0,AJ43&gt;0),AJ43/AH43,"")</f>
        <v>126.090909090909</v>
      </c>
      <c r="AJ43" s="8" t="n">
        <f aca="false">SUMIFS('Saloni Mehra'!$E$7:$E$300,'Saloni Mehra'!$B$7:$B$300,$B43)</f>
        <v>1387</v>
      </c>
      <c r="AK43" s="8" t="n">
        <f aca="false">SUMIFS('Saloni Mehra'!$H$7:$H$300,'Saloni Mehra'!$B$7:$B$300,$B43)</f>
        <v>1317.34353741497</v>
      </c>
      <c r="AL43" s="8" t="n">
        <f aca="false">AK43-AJ43</f>
        <v>-69.6564625850344</v>
      </c>
      <c r="AM43" s="9" t="n">
        <f aca="false">IF(AJ43&gt;0,AL43/AJ43,"")</f>
        <v>-0.0502209535580638</v>
      </c>
      <c r="AN43" s="9" t="n">
        <f aca="false">IF(AK$6=0,"",AK43/AK$6)</f>
        <v>0.000113903544031896</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0.00130310714956174</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0.00429760399626003</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0.00124473327609098</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0.00112503060674308</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0.00110239027018996</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0.00100304044157207</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0.000943729654272317</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0.000897956144568848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0.000857430820331637</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0.000807094377749762</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0.000781696515576284</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0.00257800908415936</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0.000614234309896923</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0.000613028433116464</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0.000589692620237572</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0.000583946355231558</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0.00053256237273344</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0.00051351476254471</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0.00169355459095814</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0.000510648183719858</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0.000501167632901314</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0.000469747726945074</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0.000451894459063252</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0.000449865440306566</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0.000433002039973225</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0.000105779726840292</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0.000412881723744139</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0.0028294420743404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0.000410239280712176</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0.000409342737540618</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0.00280518971370319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0.000393377977555844</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0.0026736880249148</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0.00037988264349975</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0.000351277149090251</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0.00115850034299391</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0.000336223350368977</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0.000333473164868152</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0.00029025585179213</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0.000957254136023458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0.000290207354573785</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0.000957094193811925</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0.000273044582222338</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0.000270354952707662</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0.000891621633382874</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0.000255174012630187</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0.00174868502550028</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0.000174157443282171</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0.000287182724950748</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0.000173667228156201</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0.000145727587447217</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0.000480604731843519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0.000130116726082796</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0.000429120630779872</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0.000122193329193801</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0.000837380118667884</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0.000113247558512678</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9.81544377224757E-005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0.000323710067854847</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9.76550474470899E-005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0.000322063095352307</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7.09370123461358E-005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0.000233947905085188</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5.93238946560626E-005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3.84989269517868E-005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0.000126968179382154</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3.23751700840642E-005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2.44727449651645E-005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8.07102981494005E-005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1.41229142761852E-005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1.08607554379173E-005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t="n">
        <v>930.911424903723</v>
      </c>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t="n">
        <v>77.6406166932483</v>
      </c>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t="n">
        <v>688.986179664363</v>
      </c>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115</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t="n">
        <v>119.827380952381</v>
      </c>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t="n">
        <v>414.675753228121</v>
      </c>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114</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2294</v>
      </c>
      <c r="E7" s="57" t="n">
        <v>2269670</v>
      </c>
      <c r="F7" s="8" t="n">
        <f aca="false">IF(AND(D7&gt;0,N(E7)&gt;0),E7/D7,"")</f>
        <v>989.394071490846</v>
      </c>
      <c r="G7" s="7" t="n">
        <f aca="false">IFERROR(INDEX(Prices!$C$6:$C$300,MATCH(B7,Prices!$A$6:$A$300,0)),"")</f>
        <v>907.6</v>
      </c>
      <c r="H7" s="8" t="n">
        <f aca="false">IF(ISNUMBER(G7),D7*G7,0)</f>
        <v>2082034.4</v>
      </c>
      <c r="I7" s="8" t="n">
        <f aca="false">H7-N(E7)</f>
        <v>-187635.6</v>
      </c>
      <c r="J7" s="9" t="n">
        <f aca="false">IF(N(E7)&gt;0,I7/E7,"")</f>
        <v>-0.0826708728581688</v>
      </c>
      <c r="K7" s="9" t="n">
        <f aca="false">IF($H$37=0,"",H7/$H$37)</f>
        <v>0.37403147502121</v>
      </c>
      <c r="L7" s="61" t="s">
        <v>199</v>
      </c>
      <c r="Q7" s="62" t="s">
        <v>200</v>
      </c>
      <c r="R7" s="62" t="s">
        <v>201</v>
      </c>
      <c r="S7" s="62" t="s">
        <v>115</v>
      </c>
      <c r="T7" s="62" t="n">
        <v>2</v>
      </c>
      <c r="U7" s="57" t="n">
        <v>120.67</v>
      </c>
      <c r="V7" s="57" t="n">
        <v>241.34</v>
      </c>
    </row>
    <row r="8" customFormat="false" ht="15" hidden="false" customHeight="false" outlineLevel="0" collapsed="false">
      <c r="A8" s="5" t="n">
        <v>2</v>
      </c>
      <c r="B8" s="59" t="s">
        <v>83</v>
      </c>
      <c r="C8" s="5" t="s">
        <v>16</v>
      </c>
      <c r="D8" s="60" t="n">
        <v>1354</v>
      </c>
      <c r="E8" s="57" t="n">
        <v>616306.25</v>
      </c>
      <c r="F8" s="8" t="n">
        <f aca="false">IF(AND(D8&gt;0,N(E8)&gt;0),E8/D8,"")</f>
        <v>455.174483013294</v>
      </c>
      <c r="G8" s="7" t="n">
        <f aca="false">IFERROR(INDEX(Prices!$C$6:$C$300,MATCH(B8,Prices!$A$6:$A$300,0)),"")</f>
        <v>400.35</v>
      </c>
      <c r="H8" s="8" t="n">
        <f aca="false">IF(ISNUMBER(G8),D8*G8,0)</f>
        <v>542073.9</v>
      </c>
      <c r="I8" s="8" t="n">
        <f aca="false">H8-N(E8)</f>
        <v>-74232.35</v>
      </c>
      <c r="J8" s="9" t="n">
        <f aca="false">IF(N(E8)&gt;0,I8/E8,"")</f>
        <v>-0.120447180277662</v>
      </c>
      <c r="K8" s="9" t="n">
        <f aca="false">IF($H$37=0,"",H8/$H$37)</f>
        <v>0.0973820127023358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0.0647681926353111</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0.0440683716783801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0.0433492083442849</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0.0400164669102319</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0.0359080451594434</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0.0340323496230505</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0.030829600842013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0.0286584864024627</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0.0283677167666631</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0.0282904864715673</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0.0237913861379807</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0.0194758492273504</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0.0183813491741492</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0.0165799916142872</v>
      </c>
      <c r="L22" s="61" t="s">
        <v>204</v>
      </c>
      <c r="Q22" s="62" t="s">
        <v>200</v>
      </c>
      <c r="R22" s="62" t="s">
        <v>201</v>
      </c>
      <c r="S22" s="62" t="s">
        <v>83</v>
      </c>
      <c r="T22" s="62" t="n">
        <v>222</v>
      </c>
      <c r="U22" s="57" t="n">
        <v>401.51</v>
      </c>
      <c r="V22" s="57" t="n">
        <v>89134.25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0.016337306325511</v>
      </c>
      <c r="L23" s="61" t="s">
        <v>199</v>
      </c>
      <c r="Q23" s="62" t="s">
        <v>200</v>
      </c>
      <c r="R23" s="62" t="s">
        <v>201</v>
      </c>
      <c r="S23" s="62" t="s">
        <v>79</v>
      </c>
      <c r="T23" s="62" t="n">
        <v>393</v>
      </c>
      <c r="U23" s="57" t="n">
        <v>909.39</v>
      </c>
      <c r="V23" s="57" t="n">
        <v>357391</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0.0129415985773592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0.0124557698996613</v>
      </c>
      <c r="L25" s="61" t="s">
        <v>199</v>
      </c>
      <c r="S25" s="63" t="s">
        <v>206</v>
      </c>
      <c r="V25" s="64" t="n">
        <f aca="false">SUMIFS(V7:V24,R7:R24,"BUY")-SUMIFS(V7:V24,R7:R24,"SELL")</f>
        <v>496184.88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0.00959507461657976</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0.00464308749692522</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0.00457787559387851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0.0028294420743404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0.00280518971370319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0.0026736880249148</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0.00174868502550028</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0.000837380118667884</v>
      </c>
      <c r="L33" s="61"/>
    </row>
    <row r="34" customFormat="false" ht="15" hidden="false" customHeight="false" outlineLevel="0" collapsed="false">
      <c r="A34" s="5" t="n">
        <v>28</v>
      </c>
      <c r="B34" s="59" t="s">
        <v>115</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0.000623913822236924</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t="n">
        <f aca="false">SUM(E7:E36)</f>
        <v>5997629.63</v>
      </c>
      <c r="F37" s="72"/>
      <c r="G37" s="72"/>
      <c r="H37" s="73" t="n">
        <f aca="false">SUM(H7:H36)</f>
        <v>5566468.43659864</v>
      </c>
      <c r="I37" s="73" t="n">
        <f aca="false">H37-E37</f>
        <v>-431161.19340136</v>
      </c>
      <c r="J37" s="74" t="n">
        <f aca="false">IF(E37&gt;0,I37/E37,"")</f>
        <v>-0.0718885993300923</v>
      </c>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7" t="s">
        <v>211</v>
      </c>
      <c r="C42" s="78"/>
      <c r="D42" s="78"/>
      <c r="E42" s="79" t="n">
        <f aca="false">SUM(E40:E41)</f>
        <v>5514444</v>
      </c>
      <c r="F42" s="78"/>
    </row>
    <row r="43" customFormat="false" ht="15" hidden="false" customHeight="false" outlineLevel="0" collapsed="false">
      <c r="B43" s="75" t="s">
        <v>212</v>
      </c>
      <c r="E43" s="80" t="n">
        <f aca="false">H37</f>
        <v>5566468.43659864</v>
      </c>
    </row>
    <row r="44" customFormat="false" ht="15" hidden="false" customHeight="false" outlineLevel="0" collapsed="false">
      <c r="B44" s="77" t="s">
        <v>213</v>
      </c>
      <c r="C44" s="78"/>
      <c r="D44" s="78"/>
      <c r="E44" s="79" t="n">
        <f aca="false">E43-E42</f>
        <v>52024.4365986399</v>
      </c>
      <c r="F44" s="81" t="n">
        <f aca="false">IF(E42&gt;0,E44/E42,"")</f>
        <v>0.00943421251510396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214</v>
      </c>
    </row>
    <row r="2" customFormat="false" ht="15" hidden="false" customHeight="false" outlineLevel="0" collapsed="false">
      <c r="A2" s="2" t="s">
        <v>215</v>
      </c>
    </row>
    <row r="3" customFormat="false" ht="15" hidden="false" customHeight="false" outlineLevel="0" collapsed="false">
      <c r="A3" s="2" t="s">
        <v>187</v>
      </c>
    </row>
    <row r="5" customFormat="false" ht="15" hidden="false" customHeight="false" outlineLevel="0" collapsed="false">
      <c r="Q5" s="30" t="s">
        <v>216</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217</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218</v>
      </c>
      <c r="R7" s="62" t="s">
        <v>201</v>
      </c>
      <c r="S7" s="62" t="s">
        <v>94</v>
      </c>
      <c r="T7" s="62" t="n">
        <v>1</v>
      </c>
      <c r="U7" s="57" t="n">
        <v>1815</v>
      </c>
      <c r="V7" s="57" t="n">
        <v>1815</v>
      </c>
    </row>
    <row r="8" customFormat="false" ht="15" hidden="false" customHeight="false" outlineLevel="0" collapsed="false">
      <c r="A8" s="5" t="n">
        <v>2</v>
      </c>
      <c r="B8" s="59" t="s">
        <v>83</v>
      </c>
      <c r="C8" s="5" t="s">
        <v>217</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218</v>
      </c>
      <c r="R8" s="62" t="s">
        <v>205</v>
      </c>
      <c r="S8" s="62" t="s">
        <v>219</v>
      </c>
      <c r="T8" s="62" t="n">
        <v>33</v>
      </c>
      <c r="U8" s="57" t="n">
        <v>700</v>
      </c>
      <c r="V8" s="57" t="n">
        <v>23100</v>
      </c>
    </row>
    <row r="9" customFormat="false" ht="15" hidden="false" customHeight="false" outlineLevel="0" collapsed="false">
      <c r="A9" s="5" t="n">
        <v>3</v>
      </c>
      <c r="B9" s="59" t="s">
        <v>82</v>
      </c>
      <c r="C9" s="5" t="s">
        <v>217</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218</v>
      </c>
      <c r="R9" s="62" t="s">
        <v>201</v>
      </c>
      <c r="S9" s="62" t="s">
        <v>101</v>
      </c>
      <c r="T9" s="62" t="n">
        <v>1</v>
      </c>
      <c r="U9" s="57" t="n">
        <v>3820</v>
      </c>
      <c r="V9" s="57" t="n">
        <v>3820</v>
      </c>
    </row>
    <row r="10" customFormat="false" ht="15" hidden="false" customHeight="false" outlineLevel="0" collapsed="false">
      <c r="A10" s="5" t="n">
        <v>4</v>
      </c>
      <c r="B10" s="59" t="s">
        <v>80</v>
      </c>
      <c r="C10" s="5" t="s">
        <v>217</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218</v>
      </c>
      <c r="R10" s="62" t="s">
        <v>201</v>
      </c>
      <c r="S10" s="62" t="s">
        <v>79</v>
      </c>
      <c r="T10" s="62" t="n">
        <v>4</v>
      </c>
      <c r="U10" s="57" t="n">
        <v>1656.75</v>
      </c>
      <c r="V10" s="57" t="n">
        <v>6627</v>
      </c>
    </row>
    <row r="11" customFormat="false" ht="15" hidden="false" customHeight="false" outlineLevel="0" collapsed="false">
      <c r="A11" s="5" t="n">
        <v>5</v>
      </c>
      <c r="B11" s="59" t="s">
        <v>89</v>
      </c>
      <c r="C11" s="5" t="s">
        <v>220</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218</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218</v>
      </c>
      <c r="R12" s="62" t="s">
        <v>201</v>
      </c>
      <c r="S12" s="62" t="s">
        <v>118</v>
      </c>
      <c r="T12" s="62" t="n">
        <v>45</v>
      </c>
      <c r="U12" s="57" t="n">
        <v>635.58</v>
      </c>
      <c r="V12" s="57" t="n">
        <v>28601</v>
      </c>
    </row>
    <row r="13" customFormat="false" ht="15" hidden="false" customHeight="false" outlineLevel="0" collapsed="false">
      <c r="A13" s="5" t="n">
        <v>7</v>
      </c>
      <c r="B13" s="59" t="s">
        <v>84</v>
      </c>
      <c r="C13" s="5" t="s">
        <v>220</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221</v>
      </c>
      <c r="Q13" s="62" t="s">
        <v>218</v>
      </c>
      <c r="R13" s="62" t="s">
        <v>201</v>
      </c>
      <c r="S13" s="62" t="s">
        <v>165</v>
      </c>
      <c r="T13" s="62" t="n">
        <v>1</v>
      </c>
      <c r="U13" s="57" t="n">
        <v>515</v>
      </c>
      <c r="V13" s="57" t="n">
        <v>515</v>
      </c>
    </row>
    <row r="14" customFormat="false" ht="15" hidden="false" customHeight="false" outlineLevel="0" collapsed="false">
      <c r="A14" s="5" t="n">
        <v>8</v>
      </c>
      <c r="B14" s="59" t="s">
        <v>86</v>
      </c>
      <c r="C14" s="5" t="s">
        <v>217</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218</v>
      </c>
      <c r="R14" s="62" t="s">
        <v>201</v>
      </c>
      <c r="S14" s="62" t="s">
        <v>95</v>
      </c>
      <c r="T14" s="62" t="n">
        <v>1</v>
      </c>
      <c r="U14" s="57" t="n">
        <v>7925</v>
      </c>
      <c r="V14" s="57" t="n">
        <v>7925</v>
      </c>
    </row>
    <row r="15" customFormat="false" ht="15" hidden="false" customHeight="false" outlineLevel="0" collapsed="false">
      <c r="A15" s="5" t="n">
        <v>9</v>
      </c>
      <c r="B15" s="59" t="s">
        <v>88</v>
      </c>
      <c r="C15" s="5" t="s">
        <v>217</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218</v>
      </c>
      <c r="R15" s="62" t="s">
        <v>205</v>
      </c>
      <c r="S15" s="62" t="s">
        <v>222</v>
      </c>
      <c r="T15" s="62" t="n">
        <v>380</v>
      </c>
      <c r="U15" s="57" t="n">
        <v>58</v>
      </c>
      <c r="V15" s="57" t="n">
        <v>22040</v>
      </c>
    </row>
    <row r="16" customFormat="false" ht="15" hidden="false" customHeight="false" outlineLevel="0" collapsed="false">
      <c r="A16" s="5" t="n">
        <v>10</v>
      </c>
      <c r="B16" s="59" t="s">
        <v>93</v>
      </c>
      <c r="C16" s="5" t="s">
        <v>217</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218</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218</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218</v>
      </c>
      <c r="R18" s="62" t="s">
        <v>201</v>
      </c>
      <c r="S18" s="62" t="s">
        <v>109</v>
      </c>
      <c r="T18" s="62" t="n">
        <v>17</v>
      </c>
      <c r="U18" s="57" t="n">
        <v>1289.24</v>
      </c>
      <c r="V18" s="57" t="n">
        <v>21917</v>
      </c>
    </row>
    <row r="19" customFormat="false" ht="15" hidden="false" customHeight="false" outlineLevel="0" collapsed="false">
      <c r="A19" s="5" t="n">
        <v>13</v>
      </c>
      <c r="B19" s="59" t="s">
        <v>91</v>
      </c>
      <c r="C19" s="5" t="s">
        <v>217</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218</v>
      </c>
      <c r="R19" s="62" t="s">
        <v>201</v>
      </c>
      <c r="S19" s="62" t="s">
        <v>82</v>
      </c>
      <c r="T19" s="62" t="n">
        <v>42</v>
      </c>
      <c r="U19" s="57" t="n">
        <v>727.38</v>
      </c>
      <c r="V19" s="57" t="n">
        <v>30550</v>
      </c>
    </row>
    <row r="20" customFormat="false" ht="15" hidden="false" customHeight="false" outlineLevel="0" collapsed="false">
      <c r="A20" s="5" t="n">
        <v>14</v>
      </c>
      <c r="B20" s="5" t="s">
        <v>109</v>
      </c>
      <c r="C20" s="5" t="s">
        <v>220</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218</v>
      </c>
      <c r="R20" s="62" t="s">
        <v>201</v>
      </c>
      <c r="S20" s="62" t="s">
        <v>115</v>
      </c>
      <c r="T20" s="62" t="n">
        <v>195</v>
      </c>
      <c r="U20" s="57" t="n">
        <v>129.57</v>
      </c>
      <c r="V20" s="57" t="n">
        <v>25267</v>
      </c>
    </row>
    <row r="21" customFormat="false" ht="15" hidden="false" customHeight="false" outlineLevel="0" collapsed="false">
      <c r="A21" s="5" t="n">
        <v>15</v>
      </c>
      <c r="B21" s="59" t="s">
        <v>95</v>
      </c>
      <c r="C21" s="5" t="s">
        <v>217</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218</v>
      </c>
      <c r="R21" s="62" t="s">
        <v>201</v>
      </c>
      <c r="S21" s="62" t="s">
        <v>107</v>
      </c>
      <c r="T21" s="62" t="n">
        <v>42</v>
      </c>
      <c r="U21" s="57" t="n">
        <v>223</v>
      </c>
      <c r="V21" s="57" t="n">
        <v>9366</v>
      </c>
    </row>
    <row r="22" customFormat="false" ht="15" hidden="false" customHeight="false" outlineLevel="0" collapsed="false">
      <c r="A22" s="5" t="n">
        <v>16</v>
      </c>
      <c r="B22" s="59" t="s">
        <v>94</v>
      </c>
      <c r="C22" s="5" t="s">
        <v>217</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218</v>
      </c>
      <c r="R22" s="62" t="s">
        <v>201</v>
      </c>
      <c r="S22" s="62" t="s">
        <v>88</v>
      </c>
      <c r="T22" s="62" t="n">
        <v>3</v>
      </c>
      <c r="U22" s="57" t="n">
        <v>3656</v>
      </c>
      <c r="V22" s="57" t="n">
        <v>10968</v>
      </c>
    </row>
    <row r="23" customFormat="false" ht="15" hidden="false" customHeight="false" outlineLevel="0" collapsed="false">
      <c r="A23" s="5" t="n">
        <v>17</v>
      </c>
      <c r="B23" s="59" t="s">
        <v>85</v>
      </c>
      <c r="C23" s="5" t="s">
        <v>217</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218</v>
      </c>
      <c r="R23" s="62" t="s">
        <v>201</v>
      </c>
      <c r="S23" s="62" t="s">
        <v>87</v>
      </c>
      <c r="T23" s="62" t="n">
        <v>7</v>
      </c>
      <c r="U23" s="57" t="n">
        <v>4708.29</v>
      </c>
      <c r="V23" s="57" t="n">
        <v>32958</v>
      </c>
    </row>
    <row r="24" customFormat="false" ht="15" hidden="false" customHeight="false" outlineLevel="0" collapsed="false">
      <c r="A24" s="5" t="n">
        <v>18</v>
      </c>
      <c r="B24" s="59" t="s">
        <v>105</v>
      </c>
      <c r="C24" s="5" t="s">
        <v>220</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218</v>
      </c>
      <c r="R24" s="62" t="s">
        <v>201</v>
      </c>
      <c r="S24" s="62" t="s">
        <v>164</v>
      </c>
      <c r="T24" s="62" t="n">
        <v>6</v>
      </c>
      <c r="U24" s="57" t="n">
        <v>98.83</v>
      </c>
      <c r="V24" s="57" t="n">
        <v>593</v>
      </c>
    </row>
    <row r="25" customFormat="false" ht="15" hidden="false" customHeight="false" outlineLevel="0" collapsed="false">
      <c r="A25" s="5" t="n">
        <v>19</v>
      </c>
      <c r="B25" s="5" t="s">
        <v>114</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218</v>
      </c>
      <c r="R25" s="62" t="s">
        <v>205</v>
      </c>
      <c r="S25" s="62" t="s">
        <v>223</v>
      </c>
      <c r="T25" s="62" t="n">
        <v>187</v>
      </c>
      <c r="U25" s="57" t="n">
        <v>210</v>
      </c>
      <c r="V25" s="57" t="n">
        <v>39270</v>
      </c>
    </row>
    <row r="26" customFormat="false" ht="15" hidden="false" customHeight="false" outlineLevel="0" collapsed="false">
      <c r="A26" s="5" t="n">
        <v>20</v>
      </c>
      <c r="B26" s="59" t="s">
        <v>98</v>
      </c>
      <c r="C26" s="5" t="s">
        <v>217</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218</v>
      </c>
      <c r="R26" s="62" t="s">
        <v>201</v>
      </c>
      <c r="S26" s="62" t="s">
        <v>117</v>
      </c>
      <c r="T26" s="62" t="n">
        <v>17</v>
      </c>
      <c r="U26" s="57" t="n">
        <v>153.71</v>
      </c>
      <c r="V26" s="57" t="n">
        <v>2613</v>
      </c>
    </row>
    <row r="27" customFormat="false" ht="15" hidden="false" customHeight="false" outlineLevel="0" collapsed="false">
      <c r="A27" s="5" t="n">
        <v>21</v>
      </c>
      <c r="B27" s="59" t="s">
        <v>87</v>
      </c>
      <c r="C27" s="5" t="s">
        <v>217</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218</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218</v>
      </c>
      <c r="R28" s="62" t="s">
        <v>201</v>
      </c>
      <c r="S28" s="62" t="s">
        <v>83</v>
      </c>
      <c r="T28" s="62" t="n">
        <v>6</v>
      </c>
      <c r="U28" s="57" t="n">
        <v>664</v>
      </c>
      <c r="V28" s="57" t="n">
        <v>3984</v>
      </c>
    </row>
    <row r="29" customFormat="false" ht="15" hidden="false" customHeight="false" outlineLevel="0" collapsed="false">
      <c r="A29" s="5" t="n">
        <v>23</v>
      </c>
      <c r="B29" s="59" t="s">
        <v>101</v>
      </c>
      <c r="C29" s="5" t="s">
        <v>217</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218</v>
      </c>
      <c r="R29" s="62" t="s">
        <v>201</v>
      </c>
      <c r="S29" s="62" t="s">
        <v>99</v>
      </c>
      <c r="T29" s="62" t="n">
        <v>7</v>
      </c>
      <c r="U29" s="57" t="n">
        <v>1277.43</v>
      </c>
      <c r="V29" s="57" t="n">
        <v>8942</v>
      </c>
    </row>
    <row r="30" customFormat="false" ht="15" hidden="false" customHeight="false" outlineLevel="0" collapsed="false">
      <c r="A30" s="5" t="n">
        <v>24</v>
      </c>
      <c r="B30" s="5" t="s">
        <v>118</v>
      </c>
      <c r="C30" s="5" t="s">
        <v>220</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218</v>
      </c>
      <c r="R30" s="62" t="s">
        <v>201</v>
      </c>
      <c r="S30" s="62" t="s">
        <v>144</v>
      </c>
      <c r="T30" s="62" t="n">
        <v>2</v>
      </c>
      <c r="U30" s="57" t="n">
        <v>508</v>
      </c>
      <c r="V30" s="57" t="n">
        <v>1016</v>
      </c>
    </row>
    <row r="31" customFormat="false" ht="15" hidden="false" customHeight="false" outlineLevel="0" collapsed="false">
      <c r="A31" s="5" t="n">
        <v>25</v>
      </c>
      <c r="B31" s="5" t="s">
        <v>119</v>
      </c>
      <c r="C31" s="5" t="s">
        <v>220</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218</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218</v>
      </c>
      <c r="R32" s="62" t="s">
        <v>201</v>
      </c>
      <c r="S32" s="62" t="s">
        <v>85</v>
      </c>
      <c r="T32" s="62" t="n">
        <v>13</v>
      </c>
      <c r="U32" s="57" t="n">
        <v>2283.23</v>
      </c>
      <c r="V32" s="57" t="n">
        <v>29682</v>
      </c>
    </row>
    <row r="33" customFormat="false" ht="15" hidden="false" customHeight="false" outlineLevel="0" collapsed="false">
      <c r="A33" s="5" t="n">
        <v>27</v>
      </c>
      <c r="B33" s="59" t="s">
        <v>115</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218</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218</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218</v>
      </c>
      <c r="R35" s="62" t="s">
        <v>201</v>
      </c>
      <c r="S35" s="62" t="s">
        <v>114</v>
      </c>
      <c r="T35" s="62" t="n">
        <v>61</v>
      </c>
      <c r="U35" s="57" t="n">
        <v>550.18</v>
      </c>
      <c r="V35" s="57" t="n">
        <v>33561</v>
      </c>
    </row>
    <row r="36" customFormat="false" ht="15" hidden="false" customHeight="false" outlineLevel="0" collapsed="false">
      <c r="A36" s="5" t="n">
        <v>30</v>
      </c>
      <c r="B36" s="5" t="s">
        <v>124</v>
      </c>
      <c r="C36" s="5" t="s">
        <v>220</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220</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220</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224</v>
      </c>
    </row>
    <row r="39" customFormat="false" ht="15" hidden="false" customHeight="false" outlineLevel="0" collapsed="false">
      <c r="A39" s="5" t="n">
        <v>33</v>
      </c>
      <c r="B39" s="5" t="s">
        <v>128</v>
      </c>
      <c r="C39" s="5" t="s">
        <v>220</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220</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220</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220</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220</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220</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220</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220</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220</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220</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220</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220</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220</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220</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220</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225</v>
      </c>
    </row>
    <row r="58" customFormat="false" ht="15" hidden="false" customHeight="false" outlineLevel="0" collapsed="false">
      <c r="A58" s="5" t="n">
        <v>52</v>
      </c>
      <c r="B58" s="5" t="s">
        <v>164</v>
      </c>
      <c r="C58" s="5" t="s">
        <v>220</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220</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t="n">
        <f aca="false">SUM(E7:E59)</f>
        <v>4574421</v>
      </c>
      <c r="F60" s="82"/>
      <c r="G60" s="82"/>
      <c r="H60" s="83" t="n">
        <f aca="false">SUM(H7:H59)</f>
        <v>3971760.89</v>
      </c>
      <c r="I60" s="83" t="n">
        <f aca="false">H60-E60</f>
        <v>-602660.11</v>
      </c>
      <c r="J60" s="84" t="n">
        <f aca="false">IF(E60&gt;0,I60/E60,"")</f>
        <v>-0.131745659177413</v>
      </c>
      <c r="K60" s="84" t="n">
        <f aca="false">SUM(K7:K59)</f>
        <v>1</v>
      </c>
      <c r="L60" s="82"/>
    </row>
    <row r="62" customFormat="false" ht="15" hidden="false" customHeight="false" outlineLevel="0" collapsed="false">
      <c r="B62" s="30" t="s">
        <v>208</v>
      </c>
    </row>
    <row r="63" customFormat="false" ht="15" hidden="false" customHeight="false" outlineLevel="0" collapsed="false">
      <c r="B63" s="75" t="s">
        <v>226</v>
      </c>
      <c r="E63" s="76" t="n">
        <v>4111335</v>
      </c>
    </row>
    <row r="64" customFormat="false" ht="15" hidden="false" customHeight="false" outlineLevel="0" collapsed="false">
      <c r="B64" s="85" t="s">
        <v>211</v>
      </c>
      <c r="C64" s="86"/>
      <c r="D64" s="86"/>
      <c r="E64" s="87" t="n">
        <f aca="false">SUM(E63:E63)</f>
        <v>4111335</v>
      </c>
      <c r="F64" s="86"/>
    </row>
    <row r="65" customFormat="false" ht="15" hidden="false" customHeight="false" outlineLevel="0" collapsed="false">
      <c r="B65" s="75" t="s">
        <v>212</v>
      </c>
      <c r="E65" s="80" t="n">
        <f aca="false">H60</f>
        <v>3971760.89</v>
      </c>
    </row>
    <row r="66" customFormat="false" ht="15" hidden="false" customHeight="false" outlineLevel="0" collapsed="false">
      <c r="B66" s="85" t="s">
        <v>213</v>
      </c>
      <c r="C66" s="86"/>
      <c r="D66" s="86"/>
      <c r="E66" s="87" t="n">
        <f aca="false">E65-E64</f>
        <v>-139574.11</v>
      </c>
      <c r="F66" s="88" t="n">
        <f aca="false">IF(E64&gt;0,E66/E64,"")</f>
        <v>-0.0339486103662192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s>
  <sheetData>
    <row r="1" customFormat="false" ht="17.35" hidden="false" customHeight="false" outlineLevel="0" collapsed="false">
      <c r="A1" s="1" t="s">
        <v>227</v>
      </c>
    </row>
    <row r="2" customFormat="false" ht="15" hidden="false" customHeight="false" outlineLevel="0" collapsed="false">
      <c r="A2" s="2" t="s">
        <v>228</v>
      </c>
    </row>
    <row r="3" customFormat="false" ht="15" hidden="false" customHeight="false" outlineLevel="0" collapsed="false">
      <c r="A3" s="2" t="s">
        <v>187</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row>
    <row r="7" customFormat="false" ht="15" hidden="false" customHeight="false" outlineLevel="0" collapsed="false">
      <c r="A7" s="5" t="n">
        <v>1</v>
      </c>
      <c r="B7" s="59" t="s">
        <v>79</v>
      </c>
      <c r="C7" s="5" t="s">
        <v>229</v>
      </c>
      <c r="D7" s="60" t="n">
        <v>3895</v>
      </c>
      <c r="E7" s="57" t="n">
        <v>2912389</v>
      </c>
      <c r="F7" s="8" t="n">
        <f aca="false">IF(AND(D7&gt;0,N(E7)&gt;0),E7/D7,"")</f>
        <v>747.725032092426</v>
      </c>
      <c r="G7" s="7" t="n">
        <f aca="false">IFERROR(INDEX(Prices!$C$6:$C$300,MATCH(B7,Prices!$A$6:$A$300,0)),"")</f>
        <v>907.6</v>
      </c>
      <c r="H7" s="8" t="n">
        <f aca="false">IF(ISNUMBER(G7),D7*G7,0)</f>
        <v>3535102</v>
      </c>
      <c r="I7" s="8" t="n">
        <f aca="false">H7-N(E7)</f>
        <v>622713</v>
      </c>
      <c r="J7" s="9" t="n">
        <f aca="false">IF(N(E7)&gt;0,I7/E7,"")</f>
        <v>0.213815187462939</v>
      </c>
      <c r="K7" s="9" t="n">
        <f aca="false">IF($H$54=0,"",H7/$H$54)</f>
        <v>0.305628125337199</v>
      </c>
      <c r="L7" s="61" t="s">
        <v>230</v>
      </c>
    </row>
    <row r="8" customFormat="false" ht="15" hidden="false" customHeight="false" outlineLevel="0" collapsed="false">
      <c r="A8" s="5" t="n">
        <v>2</v>
      </c>
      <c r="B8" s="5" t="s">
        <v>81</v>
      </c>
      <c r="C8" s="5" t="s">
        <v>229</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0.247667747990467</v>
      </c>
      <c r="L8" s="61" t="s">
        <v>231</v>
      </c>
    </row>
    <row r="9" customFormat="false" ht="15" hidden="false" customHeight="false" outlineLevel="0" collapsed="false">
      <c r="A9" s="5" t="n">
        <v>3</v>
      </c>
      <c r="B9" s="59" t="s">
        <v>80</v>
      </c>
      <c r="C9" s="5" t="s">
        <v>229</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0.0613913539222327</v>
      </c>
      <c r="L9" s="61" t="s">
        <v>232</v>
      </c>
    </row>
    <row r="10" customFormat="false" ht="15" hidden="false" customHeight="false" outlineLevel="0" collapsed="false">
      <c r="A10" s="5" t="n">
        <v>4</v>
      </c>
      <c r="B10" s="59" t="s">
        <v>82</v>
      </c>
      <c r="C10" s="5" t="s">
        <v>229</v>
      </c>
      <c r="D10" s="60" t="n">
        <v>1013</v>
      </c>
      <c r="E10" s="57" t="n">
        <v>812683</v>
      </c>
      <c r="F10" s="8" t="n">
        <f aca="false">IF(AND(D10&gt;0,N(E10)&gt;0),E10/D10,"")</f>
        <v>802.253701875617</v>
      </c>
      <c r="G10" s="7" t="n">
        <f aca="false">IFERROR(INDEX(Prices!$C$6:$C$300,MATCH(B10,Prices!$A$6:$A$300,0)),"")</f>
        <v>675.15</v>
      </c>
      <c r="H10" s="8" t="n">
        <f aca="false">IF(ISNUMBER(G10),D10*G10,0)</f>
        <v>683926.95</v>
      </c>
      <c r="I10" s="8" t="n">
        <f aca="false">H10-N(E10)</f>
        <v>-128756.05</v>
      </c>
      <c r="J10" s="9" t="n">
        <f aca="false">IF(N(E10)&gt;0,I10/E10,"")</f>
        <v>-0.158433300561228</v>
      </c>
      <c r="K10" s="9" t="n">
        <f aca="false">IF($H$54=0,"",H10/$H$54)</f>
        <v>0.0591290750864015</v>
      </c>
      <c r="L10" s="61" t="s">
        <v>233</v>
      </c>
    </row>
    <row r="11" customFormat="false" ht="15" hidden="false" customHeight="false" outlineLevel="0" collapsed="false">
      <c r="A11" s="5" t="n">
        <v>5</v>
      </c>
      <c r="B11" s="59" t="s">
        <v>83</v>
      </c>
      <c r="C11" s="5" t="s">
        <v>229</v>
      </c>
      <c r="D11" s="60" t="n">
        <v>1394</v>
      </c>
      <c r="E11" s="57" t="n">
        <v>622513</v>
      </c>
      <c r="F11" s="8" t="n">
        <f aca="false">IF(AND(D11&gt;0,N(E11)&gt;0),E11/D11,"")</f>
        <v>446.56599713056</v>
      </c>
      <c r="G11" s="7" t="n">
        <f aca="false">IFERROR(INDEX(Prices!$C$6:$C$300,MATCH(B11,Prices!$A$6:$A$300,0)),"")</f>
        <v>400.35</v>
      </c>
      <c r="H11" s="8" t="n">
        <f aca="false">IF(ISNUMBER(G11),D11*G11,0)</f>
        <v>558087.9</v>
      </c>
      <c r="I11" s="8" t="n">
        <f aca="false">H11-N(E11)</f>
        <v>-64425.1</v>
      </c>
      <c r="J11" s="9" t="n">
        <f aca="false">IF(N(E11)&gt;0,I11/E11,"")</f>
        <v>-0.103491975267986</v>
      </c>
      <c r="K11" s="9" t="n">
        <f aca="false">IF($H$54=0,"",H11/$H$54)</f>
        <v>0.048249628624683</v>
      </c>
      <c r="L11" s="61" t="s">
        <v>234</v>
      </c>
    </row>
    <row r="12" customFormat="false" ht="15" hidden="false" customHeight="false" outlineLevel="0" collapsed="false">
      <c r="A12" s="5" t="n">
        <v>6</v>
      </c>
      <c r="B12" s="59" t="s">
        <v>84</v>
      </c>
      <c r="C12" s="5" t="s">
        <v>235</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0.040955926603317</v>
      </c>
      <c r="L12" s="61"/>
    </row>
    <row r="13" customFormat="false" ht="15" hidden="false" customHeight="false" outlineLevel="0" collapsed="false">
      <c r="A13" s="5" t="n">
        <v>7</v>
      </c>
      <c r="B13" s="5" t="s">
        <v>96</v>
      </c>
      <c r="C13" s="5" t="s">
        <v>236</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0.0272662721420509</v>
      </c>
      <c r="L13" s="61" t="s">
        <v>237</v>
      </c>
    </row>
    <row r="14" customFormat="false" ht="15" hidden="false" customHeight="false" outlineLevel="0" collapsed="false">
      <c r="A14" s="5" t="n">
        <v>8</v>
      </c>
      <c r="B14" s="59" t="s">
        <v>86</v>
      </c>
      <c r="C14" s="5" t="s">
        <v>229</v>
      </c>
      <c r="D14" s="60" t="n">
        <v>3762</v>
      </c>
      <c r="E14" s="57" t="n">
        <v>432693</v>
      </c>
      <c r="F14" s="8" t="n">
        <f aca="false">IF(AND(D14&gt;0,N(E14)&gt;0),E14/D14,"")</f>
        <v>115.016746411483</v>
      </c>
      <c r="G14" s="7" t="n">
        <f aca="false">IFERROR(INDEX(Prices!$C$6:$C$300,MATCH(B14,Prices!$A$6:$A$300,0)),"")</f>
        <v>77.29</v>
      </c>
      <c r="H14" s="8" t="n">
        <f aca="false">IF(ISNUMBER(G14),D14*G14,0)</f>
        <v>290764.98</v>
      </c>
      <c r="I14" s="8" t="n">
        <f aca="false">H14-N(E14)</f>
        <v>-141928.02</v>
      </c>
      <c r="J14" s="9" t="n">
        <f aca="false">IF(N(E14)&gt;0,I14/E14,"")</f>
        <v>-0.328010899182561</v>
      </c>
      <c r="K14" s="9" t="n">
        <f aca="false">IF($H$54=0,"",H14/$H$54)</f>
        <v>0.0251381588851207</v>
      </c>
      <c r="L14" s="61" t="s">
        <v>238</v>
      </c>
    </row>
    <row r="15" customFormat="false" ht="15" hidden="false" customHeight="false" outlineLevel="0" collapsed="false">
      <c r="A15" s="5" t="n">
        <v>9</v>
      </c>
      <c r="B15" s="59" t="s">
        <v>88</v>
      </c>
      <c r="C15" s="5" t="s">
        <v>229</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0.0251350309341946</v>
      </c>
      <c r="L15" s="61" t="s">
        <v>239</v>
      </c>
    </row>
    <row r="16" customFormat="false" ht="15" hidden="false" customHeight="false" outlineLevel="0" collapsed="false">
      <c r="A16" s="5" t="n">
        <v>10</v>
      </c>
      <c r="B16" s="59" t="s">
        <v>87</v>
      </c>
      <c r="C16" s="5" t="s">
        <v>229</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0.0229480070702708</v>
      </c>
      <c r="L16" s="61" t="s">
        <v>240</v>
      </c>
    </row>
    <row r="17" customFormat="false" ht="15" hidden="false" customHeight="false" outlineLevel="0" collapsed="false">
      <c r="A17" s="5" t="n">
        <v>11</v>
      </c>
      <c r="B17" s="59" t="s">
        <v>89</v>
      </c>
      <c r="C17" s="5" t="s">
        <v>235</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0.0163780824609527</v>
      </c>
      <c r="L17" s="61"/>
    </row>
    <row r="18" customFormat="false" ht="15" hidden="false" customHeight="false" outlineLevel="0" collapsed="false">
      <c r="A18" s="5" t="n">
        <v>12</v>
      </c>
      <c r="B18" s="59" t="s">
        <v>92</v>
      </c>
      <c r="C18" s="5" t="s">
        <v>235</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0.0151326945922343</v>
      </c>
      <c r="L18" s="61"/>
    </row>
    <row r="19" customFormat="false" ht="15" hidden="false" customHeight="false" outlineLevel="0" collapsed="false">
      <c r="A19" s="5" t="n">
        <v>13</v>
      </c>
      <c r="B19" s="5" t="s">
        <v>102</v>
      </c>
      <c r="C19" s="5" t="s">
        <v>235</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0.0141348626848687</v>
      </c>
      <c r="L19" s="61"/>
    </row>
    <row r="20" customFormat="false" ht="15" hidden="false" customHeight="false" outlineLevel="0" collapsed="false">
      <c r="A20" s="5" t="n">
        <v>14</v>
      </c>
      <c r="B20" s="59" t="s">
        <v>91</v>
      </c>
      <c r="C20" s="5" t="s">
        <v>241</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0.0102404513900704</v>
      </c>
      <c r="L20" s="61" t="s">
        <v>242</v>
      </c>
    </row>
    <row r="21" customFormat="false" ht="15" hidden="false" customHeight="false" outlineLevel="0" collapsed="false">
      <c r="A21" s="5" t="n">
        <v>15</v>
      </c>
      <c r="B21" s="5" t="s">
        <v>108</v>
      </c>
      <c r="C21" s="5" t="s">
        <v>243</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0.00735090945994501</v>
      </c>
      <c r="L21" s="61"/>
    </row>
    <row r="22" customFormat="false" ht="15" hidden="false" customHeight="false" outlineLevel="0" collapsed="false">
      <c r="A22" s="5" t="n">
        <v>16</v>
      </c>
      <c r="B22" s="5" t="s">
        <v>110</v>
      </c>
      <c r="C22" s="5" t="s">
        <v>235</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0.00674999360292908</v>
      </c>
      <c r="L22" s="61"/>
    </row>
    <row r="23" customFormat="false" ht="15" hidden="false" customHeight="false" outlineLevel="0" collapsed="false">
      <c r="A23" s="5" t="n">
        <v>17</v>
      </c>
      <c r="B23" s="5" t="s">
        <v>111</v>
      </c>
      <c r="C23" s="5" t="s">
        <v>235</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0.00613348121890747</v>
      </c>
      <c r="L23" s="61"/>
    </row>
    <row r="24" customFormat="false" ht="15" hidden="false" customHeight="false" outlineLevel="0" collapsed="false">
      <c r="A24" s="5" t="n">
        <v>18</v>
      </c>
      <c r="B24" s="5" t="s">
        <v>112</v>
      </c>
      <c r="C24" s="5" t="s">
        <v>244</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0.00608714120518771</v>
      </c>
      <c r="L24" s="61" t="s">
        <v>245</v>
      </c>
    </row>
    <row r="25" customFormat="false" ht="15" hidden="false" customHeight="false" outlineLevel="0" collapsed="false">
      <c r="A25" s="5" t="n">
        <v>19</v>
      </c>
      <c r="B25" s="59" t="s">
        <v>85</v>
      </c>
      <c r="C25" s="5" t="s">
        <v>235</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0.00607043805098872</v>
      </c>
      <c r="L25" s="61"/>
    </row>
    <row r="26" customFormat="false" ht="15" hidden="false" customHeight="false" outlineLevel="0" collapsed="false">
      <c r="A26" s="5" t="n">
        <v>20</v>
      </c>
      <c r="B26" s="5" t="s">
        <v>113</v>
      </c>
      <c r="C26" s="5" t="s">
        <v>243</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0.00582103194729702</v>
      </c>
      <c r="L26" s="61"/>
    </row>
    <row r="27" customFormat="false" ht="15" hidden="false" customHeight="false" outlineLevel="0" collapsed="false">
      <c r="A27" s="5" t="n">
        <v>21</v>
      </c>
      <c r="B27" s="59" t="s">
        <v>94</v>
      </c>
      <c r="C27" s="5" t="s">
        <v>229</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0.00557619932630266</v>
      </c>
      <c r="L27" s="61" t="s">
        <v>246</v>
      </c>
    </row>
    <row r="28" customFormat="false" ht="15" hidden="false" customHeight="false" outlineLevel="0" collapsed="false">
      <c r="A28" s="5" t="n">
        <v>22</v>
      </c>
      <c r="B28" s="59" t="s">
        <v>93</v>
      </c>
      <c r="C28" s="5" t="s">
        <v>241</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0.00547590259138421</v>
      </c>
      <c r="L28" s="61" t="s">
        <v>247</v>
      </c>
    </row>
    <row r="29" customFormat="false" ht="15" hidden="false" customHeight="false" outlineLevel="0" collapsed="false">
      <c r="A29" s="5" t="n">
        <v>23</v>
      </c>
      <c r="B29" s="5" t="s">
        <v>116</v>
      </c>
      <c r="C29" s="5" t="s">
        <v>235</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0.00429760399626003</v>
      </c>
      <c r="L29" s="61"/>
    </row>
    <row r="30" customFormat="false" ht="15" hidden="false" customHeight="false" outlineLevel="0" collapsed="false">
      <c r="A30" s="5" t="n">
        <v>24</v>
      </c>
      <c r="B30" s="59" t="s">
        <v>95</v>
      </c>
      <c r="C30" s="5" t="s">
        <v>241</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0.00370918956831849</v>
      </c>
      <c r="L30" s="61" t="s">
        <v>248</v>
      </c>
    </row>
    <row r="31" customFormat="false" ht="15" hidden="false" customHeight="false" outlineLevel="0" collapsed="false">
      <c r="A31" s="5" t="n">
        <v>25</v>
      </c>
      <c r="B31" s="5" t="s">
        <v>99</v>
      </c>
      <c r="C31" s="5" t="s">
        <v>235</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0.00325542054591268</v>
      </c>
      <c r="L31" s="61"/>
    </row>
    <row r="32" customFormat="false" ht="15" hidden="false" customHeight="false" outlineLevel="0" collapsed="false">
      <c r="A32" s="5" t="n">
        <v>26</v>
      </c>
      <c r="B32" s="5" t="s">
        <v>125</v>
      </c>
      <c r="C32" s="5" t="s">
        <v>235</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0.00257800908415936</v>
      </c>
      <c r="L32" s="61"/>
    </row>
    <row r="33" customFormat="false" ht="15" hidden="false" customHeight="false" outlineLevel="0" collapsed="false">
      <c r="A33" s="5" t="n">
        <v>27</v>
      </c>
      <c r="B33" s="59" t="s">
        <v>98</v>
      </c>
      <c r="C33" s="5" t="s">
        <v>241</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0.00245723110063977</v>
      </c>
      <c r="L33" s="61" t="s">
        <v>249</v>
      </c>
    </row>
    <row r="34" customFormat="false" ht="15" hidden="false" customHeight="false" outlineLevel="0" collapsed="false">
      <c r="A34" s="5" t="n">
        <v>28</v>
      </c>
      <c r="B34" s="59" t="s">
        <v>115</v>
      </c>
      <c r="C34" s="5" t="s">
        <v>241</v>
      </c>
      <c r="D34" s="60" t="n">
        <v>168</v>
      </c>
      <c r="E34" s="57" t="n">
        <v>15354</v>
      </c>
      <c r="F34" s="8" t="n">
        <f aca="false">IF(AND(D34&gt;0,N(E34)&gt;0),E34/D34,"")</f>
        <v>91.3928571428571</v>
      </c>
      <c r="G34" s="7" t="n">
        <f aca="false">IFERROR(INDEX(Prices!$C$6:$C$300,MATCH(B34,Prices!$A$6:$A$300,0)),"")</f>
        <v>119.758503401361</v>
      </c>
      <c r="H34" s="8" t="n">
        <f aca="false">IF(ISNUMBER(G34),D34*G34,0)</f>
        <v>20119.4285714286</v>
      </c>
      <c r="I34" s="8" t="n">
        <f aca="false">H34-N(E34)</f>
        <v>4765.42857142857</v>
      </c>
      <c r="J34" s="9" t="n">
        <f aca="false">IF(N(E34)&gt;0,I34/E34,"")</f>
        <v>0.310370494426766</v>
      </c>
      <c r="K34" s="9" t="n">
        <f aca="false">IF($H$54=0,"",H34/$H$54)</f>
        <v>0.00173943021648071</v>
      </c>
      <c r="L34" s="61" t="s">
        <v>250</v>
      </c>
    </row>
    <row r="35" customFormat="false" ht="15" hidden="false" customHeight="false" outlineLevel="0" collapsed="false">
      <c r="A35" s="5" t="n">
        <v>29</v>
      </c>
      <c r="B35" s="5" t="s">
        <v>131</v>
      </c>
      <c r="C35" s="5" t="s">
        <v>235</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0.00169355459095814</v>
      </c>
      <c r="L35" s="61"/>
    </row>
    <row r="36" customFormat="false" ht="15" hidden="false" customHeight="false" outlineLevel="0" collapsed="false">
      <c r="A36" s="5" t="n">
        <v>30</v>
      </c>
      <c r="B36" s="59" t="s">
        <v>101</v>
      </c>
      <c r="C36" s="5" t="s">
        <v>241</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0.00162669010101251</v>
      </c>
      <c r="L36" s="61" t="s">
        <v>251</v>
      </c>
    </row>
    <row r="37" customFormat="false" ht="15" hidden="false" customHeight="false" outlineLevel="0" collapsed="false">
      <c r="A37" s="5" t="n">
        <v>31</v>
      </c>
      <c r="B37" s="59" t="s">
        <v>100</v>
      </c>
      <c r="C37" s="5" t="s">
        <v>229</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0.00158276218875317</v>
      </c>
      <c r="L37" s="61" t="s">
        <v>252</v>
      </c>
    </row>
    <row r="38" customFormat="false" ht="15" hidden="false" customHeight="false" outlineLevel="0" collapsed="false">
      <c r="A38" s="5" t="n">
        <v>32</v>
      </c>
      <c r="B38" s="5" t="s">
        <v>143</v>
      </c>
      <c r="C38" s="5" t="s">
        <v>253</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0.00115850034299391</v>
      </c>
      <c r="L38" s="61"/>
    </row>
    <row r="39" customFormat="false" ht="15" hidden="false" customHeight="false" outlineLevel="0" collapsed="false">
      <c r="A39" s="5" t="n">
        <v>33</v>
      </c>
      <c r="B39" s="59" t="s">
        <v>104</v>
      </c>
      <c r="C39" s="5" t="s">
        <v>241</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0.00113239085765181</v>
      </c>
      <c r="L39" s="61" t="s">
        <v>251</v>
      </c>
    </row>
    <row r="40" customFormat="false" ht="15" hidden="false" customHeight="false" outlineLevel="0" collapsed="false">
      <c r="A40" s="5" t="n">
        <v>34</v>
      </c>
      <c r="B40" s="5" t="s">
        <v>146</v>
      </c>
      <c r="C40" s="5" t="s">
        <v>253</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0.000957254136023458</v>
      </c>
      <c r="L40" s="61"/>
    </row>
    <row r="41" customFormat="false" ht="15" hidden="false" customHeight="false" outlineLevel="0" collapsed="false">
      <c r="A41" s="5" t="n">
        <v>35</v>
      </c>
      <c r="B41" s="5" t="s">
        <v>147</v>
      </c>
      <c r="C41" s="5" t="s">
        <v>241</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0.000957094193811925</v>
      </c>
      <c r="L41" s="61" t="s">
        <v>254</v>
      </c>
    </row>
    <row r="42" customFormat="false" ht="15" hidden="false" customHeight="false" outlineLevel="0" collapsed="false">
      <c r="A42" s="5" t="n">
        <v>36</v>
      </c>
      <c r="B42" s="5" t="s">
        <v>149</v>
      </c>
      <c r="C42" s="5" t="s">
        <v>235</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0.000891621633382874</v>
      </c>
      <c r="L42" s="61"/>
    </row>
    <row r="43" customFormat="false" ht="15" hidden="false" customHeight="false" outlineLevel="0" collapsed="false">
      <c r="A43" s="5" t="n">
        <v>37</v>
      </c>
      <c r="B43" s="5" t="s">
        <v>107</v>
      </c>
      <c r="C43" s="5" t="s">
        <v>235</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0.000568142401044131</v>
      </c>
      <c r="L43" s="61"/>
    </row>
    <row r="44" customFormat="false" ht="15" hidden="false" customHeight="false" outlineLevel="0" collapsed="false">
      <c r="A44" s="5" t="n">
        <v>38</v>
      </c>
      <c r="B44" s="5" t="s">
        <v>153</v>
      </c>
      <c r="C44" s="5" t="s">
        <v>241</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0.000480604731843519</v>
      </c>
      <c r="L44" s="61" t="s">
        <v>255</v>
      </c>
    </row>
    <row r="45" customFormat="false" ht="15" hidden="false" customHeight="false" outlineLevel="0" collapsed="false">
      <c r="A45" s="5" t="n">
        <v>39</v>
      </c>
      <c r="B45" s="5" t="s">
        <v>154</v>
      </c>
      <c r="C45" s="5" t="s">
        <v>235</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0.000429120630779872</v>
      </c>
      <c r="L45" s="61"/>
    </row>
    <row r="46" customFormat="false" ht="15" hidden="false" customHeight="false" outlineLevel="0" collapsed="false">
      <c r="A46" s="5" t="n">
        <v>40</v>
      </c>
      <c r="B46" s="59" t="s">
        <v>103</v>
      </c>
      <c r="C46" s="5" t="s">
        <v>235</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0.000344502555354104</v>
      </c>
      <c r="L46" s="61"/>
    </row>
    <row r="47" customFormat="false" ht="15" hidden="false" customHeight="false" outlineLevel="0" collapsed="false">
      <c r="A47" s="5" t="n">
        <v>41</v>
      </c>
      <c r="B47" s="5" t="s">
        <v>157</v>
      </c>
      <c r="C47" s="5" t="s">
        <v>235</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0.000323710067854847</v>
      </c>
      <c r="L47" s="61"/>
    </row>
    <row r="48" customFormat="false" ht="15" hidden="false" customHeight="false" outlineLevel="0" collapsed="false">
      <c r="A48" s="5" t="n">
        <v>42</v>
      </c>
      <c r="B48" s="5" t="s">
        <v>158</v>
      </c>
      <c r="C48" s="5" t="s">
        <v>235</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0.000322063095352307</v>
      </c>
      <c r="L48" s="61"/>
    </row>
    <row r="49" customFormat="false" ht="15" hidden="false" customHeight="false" outlineLevel="0" collapsed="false">
      <c r="A49" s="5" t="n">
        <v>43</v>
      </c>
      <c r="B49" s="5" t="s">
        <v>151</v>
      </c>
      <c r="C49" s="5" t="s">
        <v>241</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0.000287182724950748</v>
      </c>
      <c r="L49" s="61" t="s">
        <v>256</v>
      </c>
    </row>
    <row r="50" customFormat="false" ht="15" hidden="false" customHeight="false" outlineLevel="0" collapsed="false">
      <c r="A50" s="5" t="n">
        <v>44</v>
      </c>
      <c r="B50" s="5" t="s">
        <v>159</v>
      </c>
      <c r="C50" s="5" t="s">
        <v>235</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0.000233947905085188</v>
      </c>
      <c r="L50" s="61"/>
    </row>
    <row r="51" customFormat="false" ht="15" hidden="false" customHeight="false" outlineLevel="0" collapsed="false">
      <c r="A51" s="5" t="n">
        <v>45</v>
      </c>
      <c r="B51" s="5" t="s">
        <v>161</v>
      </c>
      <c r="C51" s="5" t="s">
        <v>235</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0.000126968179382154</v>
      </c>
      <c r="L51" s="61"/>
    </row>
    <row r="52" customFormat="false" ht="15" hidden="false" customHeight="false" outlineLevel="0" collapsed="false">
      <c r="A52" s="5" t="n">
        <v>46</v>
      </c>
      <c r="B52" s="5" t="s">
        <v>137</v>
      </c>
      <c r="C52" s="5" t="s">
        <v>235</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0.000105779726840292</v>
      </c>
      <c r="L52" s="61"/>
    </row>
    <row r="53" customFormat="false" ht="15" hidden="false" customHeight="false" outlineLevel="0" collapsed="false">
      <c r="A53" s="5" t="n">
        <v>47</v>
      </c>
      <c r="B53" s="5" t="s">
        <v>163</v>
      </c>
      <c r="C53" s="5" t="s">
        <v>235</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8.07102981494005E-005</v>
      </c>
      <c r="L53" s="61"/>
    </row>
    <row r="54" customFormat="false" ht="15" hidden="false" customHeight="false" outlineLevel="0" collapsed="false">
      <c r="A54" s="89"/>
      <c r="B54" s="89" t="s">
        <v>78</v>
      </c>
      <c r="C54" s="89"/>
      <c r="D54" s="89"/>
      <c r="E54" s="90" t="n">
        <f aca="false">SUM(E7:E53)</f>
        <v>9857778</v>
      </c>
      <c r="F54" s="89"/>
      <c r="G54" s="89"/>
      <c r="H54" s="90" t="n">
        <f aca="false">SUM(H7:H53)</f>
        <v>11566677.6285714</v>
      </c>
      <c r="I54" s="90" t="n">
        <f aca="false">H54-E54</f>
        <v>1708899.62857143</v>
      </c>
      <c r="J54" s="91" t="n">
        <f aca="false">IF(E54&gt;0,I54/E54,"")</f>
        <v>0.173355458864201</v>
      </c>
      <c r="K54" s="91" t="n">
        <f aca="false">SUM(K7:K53)</f>
        <v>1</v>
      </c>
      <c r="L54" s="89"/>
    </row>
    <row r="56" customFormat="false" ht="15" hidden="false" customHeight="false" outlineLevel="0" collapsed="false">
      <c r="B56" s="30" t="s">
        <v>208</v>
      </c>
    </row>
    <row r="57" customFormat="false" ht="15" hidden="false" customHeight="false" outlineLevel="0" collapsed="false">
      <c r="B57" s="75" t="s">
        <v>257</v>
      </c>
      <c r="E57" s="76" t="n">
        <v>12135171</v>
      </c>
    </row>
    <row r="58" customFormat="false" ht="15" hidden="false" customHeight="false" outlineLevel="0" collapsed="false">
      <c r="B58" s="75" t="s">
        <v>210</v>
      </c>
      <c r="E58" s="76" t="n">
        <v>340000</v>
      </c>
    </row>
    <row r="59" customFormat="false" ht="15" hidden="false" customHeight="false" outlineLevel="0" collapsed="false">
      <c r="B59" s="92" t="s">
        <v>211</v>
      </c>
      <c r="C59" s="93"/>
      <c r="D59" s="93"/>
      <c r="E59" s="94" t="n">
        <f aca="false">SUM(E57:E58)</f>
        <v>12475171</v>
      </c>
      <c r="F59" s="93"/>
    </row>
    <row r="60" customFormat="false" ht="15" hidden="false" customHeight="false" outlineLevel="0" collapsed="false">
      <c r="B60" s="75" t="s">
        <v>212</v>
      </c>
      <c r="E60" s="80" t="n">
        <f aca="false">H54</f>
        <v>11566677.6285714</v>
      </c>
    </row>
    <row r="61" customFormat="false" ht="15" hidden="false" customHeight="false" outlineLevel="0" collapsed="false">
      <c r="B61" s="92" t="s">
        <v>213</v>
      </c>
      <c r="C61" s="93"/>
      <c r="D61" s="93"/>
      <c r="E61" s="94" t="n">
        <f aca="false">E60-E59</f>
        <v>-908493.371428572</v>
      </c>
      <c r="F61" s="95" t="n">
        <f aca="false">IF(E59&gt;0,E61/E59,"")</f>
        <v>-0.0728241217237481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258</v>
      </c>
    </row>
    <row r="2" customFormat="false" ht="15" hidden="false" customHeight="false" outlineLevel="0" collapsed="false">
      <c r="A2" s="2" t="s">
        <v>259</v>
      </c>
    </row>
    <row r="3" customFormat="false" ht="15" hidden="false" customHeight="false" outlineLevel="0" collapsed="false">
      <c r="A3" s="2" t="s">
        <v>187</v>
      </c>
    </row>
    <row r="5" customFormat="false" ht="15" hidden="false" customHeight="false" outlineLevel="0" collapsed="false">
      <c r="Q5" s="30" t="s">
        <v>260</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261</v>
      </c>
      <c r="Q7" s="62" t="s">
        <v>262</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263</v>
      </c>
      <c r="Q8" s="62" t="s">
        <v>262</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262</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264</v>
      </c>
      <c r="Q10" s="62" t="s">
        <v>262</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265</v>
      </c>
      <c r="Q11" s="62" t="s">
        <v>262</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262</v>
      </c>
      <c r="R12" s="62" t="s">
        <v>205</v>
      </c>
      <c r="S12" s="62" t="s">
        <v>266</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262</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267</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268</v>
      </c>
      <c r="Q15" s="62" t="s">
        <v>267</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269</v>
      </c>
      <c r="Q16" s="62" t="s">
        <v>267</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267</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270</v>
      </c>
      <c r="Q18" s="62" t="s">
        <v>267</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271</v>
      </c>
      <c r="Q19" s="62" t="s">
        <v>267</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267</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272</v>
      </c>
      <c r="Q21" s="62" t="s">
        <v>267</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269</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270</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273</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274</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274</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270</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275</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270</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270</v>
      </c>
      <c r="Q30" s="62" t="s">
        <v>21</v>
      </c>
      <c r="R30" s="62" t="s">
        <v>201</v>
      </c>
      <c r="S30" s="62" t="s">
        <v>103</v>
      </c>
      <c r="T30" s="62" t="n">
        <v>6</v>
      </c>
      <c r="U30" s="57" t="n">
        <v>756.6</v>
      </c>
      <c r="V30" s="57" t="n">
        <v>4540</v>
      </c>
    </row>
    <row r="31" customFormat="false" ht="15" hidden="false" customHeight="false" outlineLevel="0" collapsed="false">
      <c r="A31" s="5" t="n">
        <v>25</v>
      </c>
      <c r="B31" s="59" t="s">
        <v>115</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t="n">
        <f aca="false">SUM(E7:E31)</f>
        <v>11739506</v>
      </c>
      <c r="F32" s="96"/>
      <c r="G32" s="96"/>
      <c r="H32" s="97" t="n">
        <f aca="false">SUM(H7:H31)</f>
        <v>11565430.6335374</v>
      </c>
      <c r="I32" s="97" t="n">
        <f aca="false">H32-E32</f>
        <v>-174075.366462585</v>
      </c>
      <c r="J32" s="98" t="n">
        <f aca="false">IF(E32&gt;0,I32/E32,"")</f>
        <v>-0.0148281679367585</v>
      </c>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276</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211</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212</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213</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277</v>
      </c>
    </row>
    <row r="2" customFormat="false" ht="15" hidden="false" customHeight="false" outlineLevel="0" collapsed="false">
      <c r="A2" s="2" t="s">
        <v>278</v>
      </c>
    </row>
    <row r="3" customFormat="false" ht="15" hidden="false" customHeight="false" outlineLevel="0" collapsed="false">
      <c r="A3" s="2" t="s">
        <v>187</v>
      </c>
    </row>
    <row r="5" customFormat="false" ht="15" hidden="false" customHeight="false" outlineLevel="0" collapsed="false">
      <c r="Q5" s="30" t="s">
        <v>279</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280</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281</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282</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t="n">
        <f aca="false">SUM(E7:E18)</f>
        <v>201361</v>
      </c>
      <c r="F19" s="103"/>
      <c r="G19" s="103"/>
      <c r="H19" s="104" t="n">
        <f aca="false">SUM(H7:H18)</f>
        <v>218828.132921147</v>
      </c>
      <c r="I19" s="104" t="n">
        <f aca="false">H19-E19</f>
        <v>17467.132921147</v>
      </c>
      <c r="J19" s="105" t="n">
        <f aca="false">IF(E19&gt;0,I19/E19,"")</f>
        <v>0.0867453624145041</v>
      </c>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276</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211</v>
      </c>
      <c r="C24" s="107"/>
      <c r="D24" s="107"/>
      <c r="E24" s="108" t="n">
        <f aca="false">SUM(E22:E23)</f>
        <v>227522</v>
      </c>
      <c r="F24" s="107"/>
    </row>
    <row r="25" customFormat="false" ht="15" hidden="false" customHeight="false" outlineLevel="0" collapsed="false">
      <c r="B25" s="75" t="s">
        <v>212</v>
      </c>
      <c r="E25" s="80" t="n">
        <f aca="false">H19</f>
        <v>218828.132921147</v>
      </c>
    </row>
    <row r="26" customFormat="false" ht="15" hidden="false" customHeight="false" outlineLevel="0" collapsed="false">
      <c r="B26" s="106" t="s">
        <v>213</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283</v>
      </c>
    </row>
    <row r="2" customFormat="false" ht="15" hidden="false" customHeight="false" outlineLevel="0" collapsed="false">
      <c r="A2" s="2" t="s">
        <v>284</v>
      </c>
    </row>
    <row r="3" customFormat="false" ht="15" hidden="false" customHeight="false" outlineLevel="0" collapsed="false">
      <c r="A3" s="2" t="s">
        <v>187</v>
      </c>
    </row>
    <row r="5" customFormat="false" ht="15" hidden="false" customHeight="false" outlineLevel="0" collapsed="false">
      <c r="Q5" s="30" t="s">
        <v>285</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286</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286</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286</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287</v>
      </c>
      <c r="Q10" s="62" t="s">
        <v>286</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286</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287</v>
      </c>
      <c r="Q12" s="62" t="s">
        <v>286</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286</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286</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286</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286</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286</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286</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286</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288</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289</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289</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t="n">
        <f aca="false">SUM(E7:E27)</f>
        <v>5222229</v>
      </c>
      <c r="F28" s="110"/>
      <c r="G28" s="110"/>
      <c r="H28" s="111" t="n">
        <f aca="false">SUM(H7:H27)</f>
        <v>5257352.02</v>
      </c>
      <c r="I28" s="111" t="n">
        <f aca="false">H28-E28</f>
        <v>35123.0200000005</v>
      </c>
      <c r="J28" s="112" t="n">
        <f aca="false">IF(E28&gt;0,I28/E28,"")</f>
        <v>0.00672567595178237</v>
      </c>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276</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211</v>
      </c>
      <c r="C33" s="114"/>
      <c r="D33" s="114"/>
      <c r="E33" s="115" t="n">
        <f aca="false">SUM(E31:E32)</f>
        <v>4965555</v>
      </c>
      <c r="F33" s="114"/>
    </row>
    <row r="34" customFormat="false" ht="15" hidden="false" customHeight="false" outlineLevel="0" collapsed="false">
      <c r="B34" s="75" t="s">
        <v>212</v>
      </c>
      <c r="E34" s="80" t="n">
        <f aca="false">H28</f>
        <v>5257352.02</v>
      </c>
    </row>
    <row r="35" customFormat="false" ht="15" hidden="false" customHeight="false" outlineLevel="0" collapsed="false">
      <c r="B35" s="113" t="s">
        <v>213</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290</v>
      </c>
    </row>
    <row r="2" customFormat="false" ht="15" hidden="false" customHeight="false" outlineLevel="0" collapsed="false">
      <c r="A2" s="0" t="s">
        <v>291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2026-10-28T05:53:41Z</dcterms:created>
  <dc:creator>openpyxl</dc:creator>
  <dc:description/>
  <dc:language>en-US</dc:language>
  <cp:lastModifiedBy/>
  <dcterms:modified xsi:type="dcterms:W3CDTF">2026-10-28T05:53:42Z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