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Side by Side" sheetId="2" state="visible" r:id="rId4"/>
    <sheet name="Prices" sheetId="3" state="visible" r:id="rId5"/>
    <sheet name="Gautam" sheetId="4" state="visible" r:id="rId6"/>
    <sheet name="Manish Shilpa" sheetId="5" state="visible" r:id="rId7"/>
    <sheet name="Saloni Mehra" sheetId="6" state="visible" r:id="rId8"/>
    <sheet name="Vidushi Malhotra" sheetId="7" state="visible" r:id="rId9"/>
    <sheet name="Dr Umesh Choudhry" sheetId="8" state="visible" r:id="rId10"/>
    <sheet name="DA" sheetId="9" state="visible" r:id="rId11"/>
    <sheet name="_state" sheetId="10" state="hidden" r:id="rId12"/>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E6" authorId="0">
      <text>
        <r>
          <rPr>
            <sz val="10"/>
            <rFont val="Arial"/>
            <family val="2"/>
          </rPr>
          <t xml:space="preserve">Distinct securities held across all portfolios (cash excluded)</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Leave blank to use statement price. Type a number to override for all portfolios.</t>
        </r>
      </text>
    </comment>
  </commentList>
</comments>
</file>

<file path=xl/sharedStrings.xml><?xml version="1.0" encoding="utf-8"?>
<sst xmlns="http://schemas.openxmlformats.org/spreadsheetml/2006/main" count="1135" uniqueCount="276">
  <si>
    <t xml:space="preserve">CONSOLIDATED PORTFOLIO SUMMARY – ALL MANAGED ACCOUNTS</t>
  </si>
  <si>
    <t xml:space="preserve">Built 23.10.2026 from 6 statements. All market values at NSE/BSE close of 22.10.2026 (Prices sheet); statement-reported values kept alongside for reconciliation.</t>
  </si>
  <si>
    <t xml:space="preserve">Portfolio</t>
  </si>
  <si>
    <t xml:space="preserve">Broker</t>
  </si>
  <si>
    <t xml:space="preserve">Holdings as of</t>
  </si>
  <si>
    <t xml:space="preserve">Statement price basis</t>
  </si>
  <si>
    <t xml:space="preserve"># Holdings</t>
  </si>
  <si>
    <t xml:space="preserve">Invested (₹)</t>
  </si>
  <si>
    <t xml:space="preserve">Market Value (₹)</t>
  </si>
  <si>
    <t xml:space="preserve">Unrealised P&amp;L (₹)</t>
  </si>
  <si>
    <t xml:space="preserve">P&amp;L %</t>
  </si>
  <si>
    <t xml:space="preserve">Share of Combined MV</t>
  </si>
  <si>
    <t xml:space="preserve">Stmt Invested (₹)</t>
  </si>
  <si>
    <t xml:space="preserve">Stmt Market Value (₹)</t>
  </si>
  <si>
    <t xml:space="preserve">Repricing Impact (₹)</t>
  </si>
  <si>
    <t xml:space="preserve">Gautam</t>
  </si>
  <si>
    <t xml:space="preserve">HDFC Securities</t>
  </si>
  <si>
    <t xml:space="preserve">23.10.2026</t>
  </si>
  <si>
    <t xml:space="preserve">HDFC statement prices 23.10.2026</t>
  </si>
  <si>
    <t xml:space="preserve">Manish Shilpa</t>
  </si>
  <si>
    <t xml:space="preserve">Axis Direct + HDFC Securities</t>
  </si>
  <si>
    <t xml:space="preserve">23.10.2026 (live, ~11:23 IST)</t>
  </si>
  <si>
    <t xml:space="preserve">Live LTP 23.10.2026 ~11:23 IST (equity); MF NAV per Axis statement 23.10.2026 (three demats + MF merged)</t>
  </si>
  <si>
    <t xml:space="preserve">Saloni Mehra</t>
  </si>
  <si>
    <t xml:space="preserve">Angel One</t>
  </si>
  <si>
    <t xml:space="preserve">20.10.2026 + trades of 21–22.10.2026</t>
  </si>
  <si>
    <t xml:space="preserve">20.10.2026 statement prices (only for rows with no trades since)</t>
  </si>
  <si>
    <t xml:space="preserve">Vidushi Malhotra</t>
  </si>
  <si>
    <t xml:space="preserve">Zerodha</t>
  </si>
  <si>
    <t xml:space="preserve">04.10.2026 (+ trades of 05.10.2026)</t>
  </si>
  <si>
    <t xml:space="preserve">LTP 05.10.2026</t>
  </si>
  <si>
    <t xml:space="preserve">Dr Umesh Choudhry</t>
  </si>
  <si>
    <t xml:space="preserve">ICICI Direct</t>
  </si>
  <si>
    <t xml:space="preserve">04.10.2026 + trades of 09.10.2026</t>
  </si>
  <si>
    <t xml:space="preserve">NSE live 09.10.2026 ~09:45 IST</t>
  </si>
  <si>
    <t xml:space="preserve">DA</t>
  </si>
  <si>
    <t xml:space="preserve">HDFC Securities + Kotak Securities</t>
  </si>
  <si>
    <t xml:space="preserve">Post 12.09.2026 trades (file dated 04.10.2026)</t>
  </si>
  <si>
    <t xml:space="preserve">As on statement (date not printed)</t>
  </si>
  <si>
    <t xml:space="preserve">COMBINED (ALL 6)</t>
  </si>
  <si>
    <t xml:space="preserve">HDFC Securities + Axis Direct + HDFC Securities + Angel One + Zerodha + ICICI Direct + HDFC Securities + Kotak Securities</t>
  </si>
  <si>
    <t xml:space="preserve">Statement totals as printed on each statement (inputs).</t>
  </si>
  <si>
    <t xml:space="preserve">TOP 10 COMBINED EXPOSURES – weight in each portfolio</t>
  </si>
  <si>
    <t xml:space="preserve">Rank</t>
  </si>
  <si>
    <t xml:space="preserve">Security</t>
  </si>
  <si>
    <t xml:space="preserve">Combined MV (₹)</t>
  </si>
  <si>
    <t xml:space="preserve">Combined Weight</t>
  </si>
  <si>
    <t xml:space="preserve">Held in (# a/cs)</t>
  </si>
  <si>
    <t xml:space="preserve">NOTES &amp; FLAGS</t>
  </si>
  <si>
    <t xml:space="preserve">• Pricing: every holding is valued at the NSE/BSE close of 22.10.2026 (Screener.in daily price series), one price per security across all accounts. 'Repricing Impact' = workbook value minus each statement's own market value.</t>
  </si>
  <si>
    <t xml:space="preserve">• No exchange close for the 4 ETFs (Nifty 50 BeES, Gold BeES, Liquid BeES, HDFC Gold ETF), the Utkarsh SFB rights entitlement, NEPC Agro and PSL Ltd – these stay at statement price (Liquid BeES holds near ₹1,000).</t>
  </si>
  <si>
    <t xml:space="preserve">• Names aligned across statements: LTM Ltd = LTIMindtree (DA); Connplex Cinemas = Connplex Smart Theatres (DA); AFCOM = Afcom Holdings.</t>
  </si>
  <si>
    <t xml:space="preserve">• Trades blended into holdings and listed on each tab: Vidushi 05.10.2026 (3 buys, ₹9,889); Dr Umesh 09.10.2026 (13 buys, ₹5.01 L, incl. new Eicher Motors and Rategain).</t>
  </si>
  <si>
    <t xml:space="preserve">• Dr Umesh holds ₹36,000 uninvested cash at ICICI Direct – row 'Cash – ICICI Direct' at ₹1 per unit, counted in totals but not as a holding.</t>
  </si>
  <si>
    <t xml:space="preserve">• Statement invested/market totals reconcile to transcribed rows within ₹2 (rupee rounding on the statements).</t>
  </si>
  <si>
    <t xml:space="preserve">• Gautam: NEPC Agro Foods (144 sh) and PSL Ltd (1,000 sh) still have no cost or price on the statement – carried at nil.</t>
  </si>
  <si>
    <t xml:space="preserve">• Manish Shilpa: Axis and HDFC CSVs carry short names (e.g. 'Nip. India Nifty', 'C D S L', 'Waaree Renewab.'); aligned to canonical names. 'Nippon ETF Infra' is carried as Nippon India ETF Infra BeES. ETFs have no exchange close and stay on the statement price.</t>
  </si>
  <si>
    <t xml:space="preserve">• Gautam refreshed from HDFC statement of 23.10.2026 (31 lines; invested ₹55,01,448 reconciles to ₹55,01,448.50). Changes vs the 05.10 statement are derived: 16 buys and 1 exit (International Gemmological Institute, 80 sh, valued at the 05.10 statement price).</t>
  </si>
  <si>
    <t xml:space="preserve">• Vidushi, Dr Umesh and DA have no new statements since 09.10 and are only repriced to the 22.10.2026 close.</t>
  </si>
  <si>
    <t xml:space="preserve">• Manish Shilpa is new (23.10.2026): Axis Direct (Shilpa), Axis Direct (Manish), HDFC Securities (Manish) and Manish's Axis mutual fund (UTI Nifty 50 Index Fund – 2 folios, ₹1,99,990 invested) merged into one account. A stock held in more than one demat is one row; the row note lists the split. Statement totals: invested ₹98,57,779, market value ₹1,16,36,410 (equity at live ~11:23 IST prices, MF at statement NAV).</t>
  </si>
  <si>
    <t xml:space="preserve">• Saloni Mehra is new (Angel One): 26-holding statement of 20.10.2026 (invested ₹1,10,23,244; market value ₹1,13,95,012) rolled forward with the 15 trades of 21–22.10.2026. Buys add cost including all charges; Kotak Mahindra Bank (1,580 sh, realised ≈ ₹62,288) and LIC Housing Finance (700 sh, realised ≈ ₹-29,271) were sold out; Trent is a new position. Statement invested is now the row sum (no printed total after trades). Rows touched by trades have no statement value, so the account's 'Stmt Market Value' covers untraded rows only.</t>
  </si>
  <si>
    <t xml:space="preserve">SIDE-BY-SIDE HOLDINGS – COMBINED AND BY PORTFOLIO</t>
  </si>
  <si>
    <t xml:space="preserve">All values at the common Ref Price (Prices sheet). Sorted by combined market value at build; '-' = not held. Amber price = only a stale statement price available.</t>
  </si>
  <si>
    <t xml:space="preserve">GAUTAM – HDFC Securities</t>
  </si>
  <si>
    <t xml:space="preserve">MANISH SHILPA – Axis Direct + HDFC Securities</t>
  </si>
  <si>
    <t xml:space="preserve">SALONI MEHRA – Angel One</t>
  </si>
  <si>
    <t xml:space="preserve">VIDUSHI MALHOTRA – Zerodha</t>
  </si>
  <si>
    <t xml:space="preserve">DR UMESH CHOUDHRY – ICICI Direct</t>
  </si>
  <si>
    <t xml:space="preserve">DA – HDFC Securities + Kotak Securities</t>
  </si>
  <si>
    <t xml:space="preserve">#</t>
  </si>
  <si>
    <t xml:space="preserve">Ref Price (₹)</t>
  </si>
  <si>
    <t xml:space="preserve">Price Basis</t>
  </si>
  <si>
    <t xml:space="preserve">Held in
(# a/cs)</t>
  </si>
  <si>
    <t xml:space="preserve">Qty</t>
  </si>
  <si>
    <t xml:space="preserve">Wtd Avg Cost (₹)</t>
  </si>
  <si>
    <t xml:space="preserve">Mkt Value (₹)</t>
  </si>
  <si>
    <t xml:space="preserve">P&amp;L (₹)</t>
  </si>
  <si>
    <t xml:space="preserve">Weight %</t>
  </si>
  <si>
    <t xml:space="preserve">TOTAL</t>
  </si>
  <si>
    <t xml:space="preserve">Bajaj Finance Ltd</t>
  </si>
  <si>
    <t xml:space="preserve">Titan Company Ltd</t>
  </si>
  <si>
    <t xml:space="preserve">Nippon India ETF Nifty 50 BeES</t>
  </si>
  <si>
    <t xml:space="preserve">HDFC Bank Ltd</t>
  </si>
  <si>
    <t xml:space="preserve">Poonawalla Fincorp Ltd</t>
  </si>
  <si>
    <t xml:space="preserve">AFCOM Holdings Ltd</t>
  </si>
  <si>
    <t xml:space="preserve">Tata Consultancy Services Ltd</t>
  </si>
  <si>
    <t xml:space="preserve">LTM Ltd (formerly LTIMindtree)</t>
  </si>
  <si>
    <t xml:space="preserve">Bajaj Housing Finance Ltd</t>
  </si>
  <si>
    <t xml:space="preserve">Connplex Cinemas Ltd</t>
  </si>
  <si>
    <t xml:space="preserve">L&amp;T Technology Services Ltd</t>
  </si>
  <si>
    <t xml:space="preserve">Jubilant FoodWorks Ltd</t>
  </si>
  <si>
    <t xml:space="preserve">Fineotex Chemical Ltd</t>
  </si>
  <si>
    <t xml:space="preserve">Tata Elxsi Ltd</t>
  </si>
  <si>
    <t xml:space="preserve">Persistent Systems Ltd</t>
  </si>
  <si>
    <t xml:space="preserve">Affle 3i Ltd</t>
  </si>
  <si>
    <t xml:space="preserve">Nippon India ETF Nifty 1D Rate Liquid BeES</t>
  </si>
  <si>
    <t xml:space="preserve">UTI Nifty 50 Index Fund - Growth</t>
  </si>
  <si>
    <t xml:space="preserve">Eicher Motors Ltd</t>
  </si>
  <si>
    <t xml:space="preserve">ICICI Prudential Life Insurance Co Ltd</t>
  </si>
  <si>
    <t xml:space="preserve">Reliance Industries Ltd</t>
  </si>
  <si>
    <t xml:space="preserve">Trent Ltd</t>
  </si>
  <si>
    <t xml:space="preserve">Vinati Organics Ltd</t>
  </si>
  <si>
    <t xml:space="preserve">Avenue Supermarts (DMart) Ltd</t>
  </si>
  <si>
    <t xml:space="preserve">Central Depository Services (India) Ltd</t>
  </si>
  <si>
    <t xml:space="preserve">Rategain Travel Technologies Ltd</t>
  </si>
  <si>
    <t xml:space="preserve">Waaree Energies Ltd</t>
  </si>
  <si>
    <t xml:space="preserve">Nestle India Ltd</t>
  </si>
  <si>
    <t xml:space="preserve">InterGlobe Aviation Ltd (IndiGo)</t>
  </si>
  <si>
    <t xml:space="preserve">Jio Financial Services Ltd</t>
  </si>
  <si>
    <t xml:space="preserve">Dr Lal PathLabs Ltd</t>
  </si>
  <si>
    <t xml:space="preserve">Abbott India Ltd</t>
  </si>
  <si>
    <t xml:space="preserve">Infosys Ltd</t>
  </si>
  <si>
    <t xml:space="preserve">Kotak Mahindra Bank Ltd</t>
  </si>
  <si>
    <t xml:space="preserve">Page Industries Ltd</t>
  </si>
  <si>
    <t xml:space="preserve">HCL Technologies Ltd</t>
  </si>
  <si>
    <t xml:space="preserve">Asian Paints Ltd</t>
  </si>
  <si>
    <t xml:space="preserve">NCC Ltd</t>
  </si>
  <si>
    <t xml:space="preserve">Indus Towers Ltd</t>
  </si>
  <si>
    <t xml:space="preserve">HDFC Gold ETF</t>
  </si>
  <si>
    <t xml:space="preserve">Cash – ICICI Direct</t>
  </si>
  <si>
    <t xml:space="preserve">Capacite Infraprojects Ltd</t>
  </si>
  <si>
    <t xml:space="preserve">Godrej Consumer Products Ltd</t>
  </si>
  <si>
    <t xml:space="preserve">Vedant Fashions (Manyavar) Ltd</t>
  </si>
  <si>
    <t xml:space="preserve">Moschip Technologies Ltd</t>
  </si>
  <si>
    <t xml:space="preserve">Vedanta Power (VEDPOWER)</t>
  </si>
  <si>
    <t xml:space="preserve">Nippon India ETF Infra BeES</t>
  </si>
  <si>
    <t xml:space="preserve">Great Eastern Shipping Co Ltd</t>
  </si>
  <si>
    <t xml:space="preserve">Gujarat Energy</t>
  </si>
  <si>
    <t xml:space="preserve">Indian Railway Finance Corp Ltd</t>
  </si>
  <si>
    <t xml:space="preserve">Indraprastha Gas Ltd</t>
  </si>
  <si>
    <t xml:space="preserve">RITES Ltd</t>
  </si>
  <si>
    <t xml:space="preserve">Astec LifeSciences Ltd</t>
  </si>
  <si>
    <t xml:space="preserve">GFL Ltd</t>
  </si>
  <si>
    <t xml:space="preserve">NTPC Green Energy Ltd</t>
  </si>
  <si>
    <t xml:space="preserve">Brigade Enterprises Ltd</t>
  </si>
  <si>
    <t xml:space="preserve">Tanla Platforms Ltd</t>
  </si>
  <si>
    <t xml:space="preserve">Syngene International Ltd</t>
  </si>
  <si>
    <t xml:space="preserve">HUDCO Ltd</t>
  </si>
  <si>
    <t xml:space="preserve">Ambuja Cements Ltd</t>
  </si>
  <si>
    <t xml:space="preserve">Indian Energy Exchange Ltd</t>
  </si>
  <si>
    <t xml:space="preserve">Shriram Properties Ltd</t>
  </si>
  <si>
    <t xml:space="preserve">REC Ltd</t>
  </si>
  <si>
    <t xml:space="preserve">Vinyl Chemicals (India) Ltd</t>
  </si>
  <si>
    <t xml:space="preserve">Sonata Software Ltd</t>
  </si>
  <si>
    <t xml:space="preserve">Bagmane Prime Office REIT</t>
  </si>
  <si>
    <t xml:space="preserve">JK Tyre &amp; Industries Ltd</t>
  </si>
  <si>
    <t xml:space="preserve">Nippon India ETF Gold BeES</t>
  </si>
  <si>
    <t xml:space="preserve">Ashoka Buildcon Ltd</t>
  </si>
  <si>
    <t xml:space="preserve">VRL Logistics Ltd</t>
  </si>
  <si>
    <t xml:space="preserve">Shakti Pumps (India) Ltd</t>
  </si>
  <si>
    <t xml:space="preserve">Eureka Forbes Ltd</t>
  </si>
  <si>
    <t xml:space="preserve">Clean Science and Technology Ltd</t>
  </si>
  <si>
    <t xml:space="preserve">Eternal Ltd</t>
  </si>
  <si>
    <t xml:space="preserve">Cyient Ltd</t>
  </si>
  <si>
    <t xml:space="preserve">Bharti Airtel Ltd</t>
  </si>
  <si>
    <t xml:space="preserve">Utkarsh Small Finance Bank Ltd</t>
  </si>
  <si>
    <t xml:space="preserve">Waaree Renewable Technologies Ltd</t>
  </si>
  <si>
    <t xml:space="preserve">Alkyl Amines Chemicals Ltd</t>
  </si>
  <si>
    <t xml:space="preserve">Orient Electric Ltd</t>
  </si>
  <si>
    <t xml:space="preserve">Garware Technical Fibres Ltd</t>
  </si>
  <si>
    <t xml:space="preserve">Pfizer Ltd</t>
  </si>
  <si>
    <t xml:space="preserve">Orient Cement Ltd</t>
  </si>
  <si>
    <t xml:space="preserve">Aarti Drugs Ltd</t>
  </si>
  <si>
    <t xml:space="preserve">Deepak Nitrite Ltd</t>
  </si>
  <si>
    <t xml:space="preserve">Utkarsh SFB – Rights Entitlement</t>
  </si>
  <si>
    <t xml:space="preserve">Vaibhav Global Ltd</t>
  </si>
  <si>
    <t xml:space="preserve">NEPC Agro Foods Ltd</t>
  </si>
  <si>
    <t xml:space="preserve">PSL Ltd (formerly PSL Holdings Ltd)</t>
  </si>
  <si>
    <t xml:space="preserve">COMMON PRICE SHEET</t>
  </si>
  <si>
    <t xml:space="preserve">One price per security, used to value every portfolio. Without an exchange close, the statement price is used, freshest statement first: Gautam stmt – 23.10 → Manish Shilpa stmt – live 23.10 → Saloni stmt – 20.10 (stale) → Vidushi stmt – LTP 05.10 → Umesh stmt – NSE live 09.10 → DA stmt – older (stale).</t>
  </si>
  <si>
    <t xml:space="preserve">Column B holds NSE/BSE closes for 22.10.2026 (Screener.in). TO UPDATE: overwrite the yellow column B and the source text beside it — every portfolio and the combined view revalue. Blank B = statement price.</t>
  </si>
  <si>
    <t xml:space="preserve">Override Price (₹)
← type here</t>
  </si>
  <si>
    <t xml:space="preserve">Ref Price (₹)
(used everywhere)</t>
  </si>
  <si>
    <t xml:space="preserve">Gautam stmt (₹)</t>
  </si>
  <si>
    <t xml:space="preserve">Manish Shilpa stmt (₹)</t>
  </si>
  <si>
    <t xml:space="preserve">Saloni Mehra stmt (₹)</t>
  </si>
  <si>
    <t xml:space="preserve">Vidushi Malhotra stmt (₹)</t>
  </si>
  <si>
    <t xml:space="preserve">Dr Umesh Choudhry stmt (₹)</t>
  </si>
  <si>
    <t xml:space="preserve">DA stmt (₹)</t>
  </si>
  <si>
    <t xml:space="preserve">Override source</t>
  </si>
  <si>
    <t xml:space="preserve">Prev close 21.10 (₹)</t>
  </si>
  <si>
    <t xml:space="preserve">1-day chg %</t>
  </si>
  <si>
    <t xml:space="preserve">Close 22.10.2026 (Screener.in)</t>
  </si>
  <si>
    <t xml:space="preserve">Cash at par (₹1)</t>
  </si>
  <si>
    <t xml:space="preserve">No exchange close found – statement price used</t>
  </si>
  <si>
    <t xml:space="preserve">Holdings as of 23.10.2026. Statement prices: HDFC statement prices 23.10.2026. Market value uses the common Ref Price from the Prices sheet so all portfolios are valued alike.</t>
  </si>
  <si>
    <t xml:space="preserve">Blue = figures from the statement (inputs). Black = formulas. Green = pulled from another sheet.</t>
  </si>
  <si>
    <t xml:space="preserve">Company</t>
  </si>
  <si>
    <t xml:space="preserve">No. of Shares</t>
  </si>
  <si>
    <t xml:space="preserve">Total Invested (₹)</t>
  </si>
  <si>
    <t xml:space="preserve">Portfolio Weight %</t>
  </si>
  <si>
    <t xml:space="preserve">Statement Mkt Value (₹)</t>
  </si>
  <si>
    <t xml:space="preserve">Statement Price (₹)</t>
  </si>
  <si>
    <t xml:space="preserve">Repricing Diff vs Stmt (₹)</t>
  </si>
  <si>
    <t xml:space="preserve">Note</t>
  </si>
  <si>
    <t xml:space="preserve">Changes between 05.10 and 23.10 statements (derived; buys at implied avg cost, sells at 05.10 statement price)</t>
  </si>
  <si>
    <t xml:space="preserve">Date / Time</t>
  </si>
  <si>
    <t xml:space="preserve">Type</t>
  </si>
  <si>
    <t xml:space="preserve">Instrument</t>
  </si>
  <si>
    <t xml:space="preserve">Fill Price (₹)</t>
  </si>
  <si>
    <t xml:space="preserve">Value (₹)</t>
  </si>
  <si>
    <t xml:space="preserve">05.10–23.10.2026</t>
  </si>
  <si>
    <t xml:space="preserve">BUY</t>
  </si>
  <si>
    <t xml:space="preserve">Shown as LTM Limited</t>
  </si>
  <si>
    <t xml:space="preserve">SELL</t>
  </si>
  <si>
    <t xml:space="preserve">International Gemmological Institute (India) Ltd</t>
  </si>
  <si>
    <t xml:space="preserve">Shown as AFCOM</t>
  </si>
  <si>
    <t xml:space="preserve">Shown as InterGlobe Aviation Ltd (Indigo)</t>
  </si>
  <si>
    <t xml:space="preserve">Net bought (buys − sells)</t>
  </si>
  <si>
    <t xml:space="preserve">No cost or price on statement (marked *) – carried at nil</t>
  </si>
  <si>
    <t xml:space="preserve">Holdings as of 23.10.2026 (live, ~11:23 IST). Statement prices: Live LTP 23.10.2026 ~11:23 IST (equity); MF NAV per Axis statement 23.10.2026 (three demats + MF merged). Market value uses the common Ref Price from the Prices sheet so all portfolios are valued alike.</t>
  </si>
  <si>
    <t xml:space="preserve">Axis Direct (Shilpa) + Axis Direct (Manish) + HDFC Securities (Manish)</t>
  </si>
  <si>
    <t xml:space="preserve">Axis Direct Shilpa 226; Axis Direct Manish 3165; HDFC Securities Manish 504</t>
  </si>
  <si>
    <t xml:space="preserve">Axis Direct Shilpa 10; Axis Direct Manish 11049; HDFC Securities Manish 101</t>
  </si>
  <si>
    <t xml:space="preserve">Axis Direct Shilpa 7; Axis Direct Manish 153; HDFC Securities Manish 5</t>
  </si>
  <si>
    <t xml:space="preserve">Axis Direct Shilpa 58; Axis Direct Manish 899; HDFC Securities Manish 56</t>
  </si>
  <si>
    <t xml:space="preserve">Axis Direct Shilpa 206; Axis Direct Manish 1180; HDFC Securities Manish 8</t>
  </si>
  <si>
    <t xml:space="preserve">Axis Direct (Manish)</t>
  </si>
  <si>
    <t xml:space="preserve">Axis Direct (Manish) MF</t>
  </si>
  <si>
    <t xml:space="preserve">Mutual fund, 2 folios (1,804.130 + 200.459 units); NAV ₹157.3291 per Axis statement 23.10.2026 – no exchange close, statement NAV used</t>
  </si>
  <si>
    <t xml:space="preserve">Axis Direct Shilpa 267; Axis Direct Manish 3396; HDFC Securities Manish 99</t>
  </si>
  <si>
    <t xml:space="preserve">Axis Direct Shilpa 2; Axis Direct Manish 64; HDFC Securities Manish 6</t>
  </si>
  <si>
    <t xml:space="preserve">Axis Direct Shilpa 2; Axis Direct Manish 52; HDFC Securities Manish 12</t>
  </si>
  <si>
    <t xml:space="preserve">Axis Direct (Shilpa) + Axis Direct (Manish)</t>
  </si>
  <si>
    <t xml:space="preserve">Axis Direct Shilpa 1; Axis Direct Manish 31</t>
  </si>
  <si>
    <t xml:space="preserve">HDFC Securities (Manish)</t>
  </si>
  <si>
    <t xml:space="preserve">Axis Direct (Shilpa) + HDFC Securities (Manish)</t>
  </si>
  <si>
    <t xml:space="preserve">Axis Direct Shilpa 30; HDFC Securities Manish 130</t>
  </si>
  <si>
    <t xml:space="preserve">Axis Direct Shilpa 18; Axis Direct Manish 25; HDFC Securities Manish 4</t>
  </si>
  <si>
    <t xml:space="preserve">Axis Direct Shilpa 3; Axis Direct Manish 8</t>
  </si>
  <si>
    <t xml:space="preserve">Axis Direct Shilpa 1; Axis Direct Manish 5</t>
  </si>
  <si>
    <t xml:space="preserve">Axis Direct Shilpa 3; Axis Direct Manish 7</t>
  </si>
  <si>
    <t xml:space="preserve">Axis Direct Shilpa 93; Axis Direct Manish 75</t>
  </si>
  <si>
    <t xml:space="preserve">Axis Direct Shilpa 2; Axis Direct Manish 4</t>
  </si>
  <si>
    <t xml:space="preserve">Axis Direct Shilpa 1; Axis Direct Manish 15; HDFC Securities Manish 1</t>
  </si>
  <si>
    <t xml:space="preserve">Axis Direct (Shilpa)</t>
  </si>
  <si>
    <t xml:space="preserve">Axis Direct Shilpa 9; Axis Direct Manish 25</t>
  </si>
  <si>
    <t xml:space="preserve">Axis Direct Shilpa 1; Axis Direct Manish 3</t>
  </si>
  <si>
    <t xml:space="preserve">Axis Direct Shilpa 1; Axis Direct Manish 4</t>
  </si>
  <si>
    <t xml:space="preserve">Holdings as of 20.10.2026 + trades of 21–22.10.2026. Statement prices: 20.10.2026 statement prices (only for rows with no trades since). Market value uses the common Ref Price from the Prices sheet so all portfolios are valued alike.</t>
  </si>
  <si>
    <t xml:space="preserve">Angel One trades 21–22.10.2026 (blended into holdings; buys include charges)</t>
  </si>
  <si>
    <t xml:space="preserve">Trades 21.10 buy 362 (charges included in cost); no statement value after trades</t>
  </si>
  <si>
    <t xml:space="preserve">21.10.2026</t>
  </si>
  <si>
    <t xml:space="preserve">Trades 21.10 buy 9 (charges included in cost); no statement value after trades</t>
  </si>
  <si>
    <t xml:space="preserve">Trades 21.10 buy 79 (charges included in cost); no statement value after trades</t>
  </si>
  <si>
    <t xml:space="preserve">Trades 21.10 buy 970 (charges included in cost); no statement value after trades</t>
  </si>
  <si>
    <t xml:space="preserve">LIC Housing Finance Ltd</t>
  </si>
  <si>
    <t xml:space="preserve">22.10.2026</t>
  </si>
  <si>
    <t xml:space="preserve">Trades 21.10 buy 547 (charges included in cost); no statement value after trades</t>
  </si>
  <si>
    <t xml:space="preserve">Trades 22.10 buy 1 (charges included in cost); no statement value after trades</t>
  </si>
  <si>
    <t xml:space="preserve">Trades 22.10 buy 6 (charges included in cost); no statement value after trades</t>
  </si>
  <si>
    <t xml:space="preserve">Trades 22.10 buy 8 (charges included in cost); no statement value after trades</t>
  </si>
  <si>
    <t xml:space="preserve">Trades 22.10 buy 10 (charges included in cost); no statement value after trades</t>
  </si>
  <si>
    <t xml:space="preserve">Trades 22.10 buy 4 (charges included in cost); no statement value after trades</t>
  </si>
  <si>
    <t xml:space="preserve">New position, bought 22.10 (charges included in cost); no statement value</t>
  </si>
  <si>
    <t xml:space="preserve">Holdings as of 04.10.2026 (+ trades of 05.10.2026). Statement prices: LTP 05.10.2026. Market value uses the common Ref Price from the Prices sheet so all portfolios are valued alike.</t>
  </si>
  <si>
    <t xml:space="preserve">Trades executed 05.10.2026 (already blended into Wtd Avg Cost)</t>
  </si>
  <si>
    <t xml:space="preserve">2026-10-05 12:46:57</t>
  </si>
  <si>
    <t xml:space="preserve">2026-10-05 12:46:33</t>
  </si>
  <si>
    <t xml:space="preserve">2026-10-05 12:46:00</t>
  </si>
  <si>
    <t xml:space="preserve">Holdings as of 04.10.2026 + trades of 09.10.2026. Statement prices: NSE live 09.10.2026 ~09:45 IST. Market value uses the common Ref Price from the Prices sheet so all portfolios are valued alike.</t>
  </si>
  <si>
    <t xml:space="preserve">Buys on 09.10.2026 (derived: statement 09.10 minus 04.10; already blended into Wtd Avg Cost)</t>
  </si>
  <si>
    <t xml:space="preserve">09.10.2026</t>
  </si>
  <si>
    <t xml:space="preserve">SME</t>
  </si>
  <si>
    <t xml:space="preserve">Uninvested cash, valued at ₹1 per unit</t>
  </si>
  <si>
    <t xml:space="preserve">New position 09.10.2026</t>
  </si>
  <si>
    <t xml:space="preserve">Holdings as of Post 12.09.2026 trades (file dated 04.10.2026). Statement prices: As on statement (date not printed). Market value uses the common Ref Price from the Prices sheet so all portfolios are valued alike.</t>
  </si>
  <si>
    <t xml:space="preserve">HDFC Sec + Kotak</t>
  </si>
  <si>
    <t xml:space="preserve">Kotak Securities</t>
  </si>
  <si>
    <t xml:space="preserve">Shown as Connplex Smart Theatres Ltd</t>
  </si>
  <si>
    <t xml:space="preserve">Shown as Afcom Holdings Ltd</t>
  </si>
  <si>
    <t xml:space="preserve">Name as on statement</t>
  </si>
  <si>
    <t xml:space="preserve">Shown as LTIMindtree Ltd</t>
  </si>
  <si>
    <t xml:space="preserve">Rights entitlement – nil cost</t>
  </si>
  <si>
    <t xml:space="preserve">{"built": "23.10.2026", "close_date": "22.10.2026", "prev_date": "21.10.2026", "closes": {"Bajaj Finance Ltd": [942.1, 926], "Titan Company Ltd": [4350, 4380.9], "Poonawalla Fincorp Ltd": [432.45, 437.3], "HDFC Bank Ltd": [694.05, 706.95], "HCL Technologies Ltd": [1421.7, 1424.2], "Bajaj Housing Finance Ltd": [81.02, 81.17], "LTM Ltd (formerly LTIMindtree)": [4274, 4298], "Affle 3i Ltd": [1362.8, 1395.3], "L&amp;T Technology Services Ltd": [3954.8, 3996.3], "Fineotex Chemical Ltd": [51.55, 52.73], "AFCOM Holdings Ltd": [1371.45, 1414.9], "Connplex Cinemas Ltd": [234.25, 239.7], "Vinati Organics Ltd": [1089.9, 1096.1], "Persistent Systems Ltd": [5740.5, 5858.5], "Tata Consultancy Services Ltd": [2506.9, 2529], "Tata Elxsi Ltd": [3846.8, 3848.6], "Trent Ltd": [2775.8, 2822], "Avenue Supermarts (DMart) Ltd": [3166, 3250.9], "Nestle India Ltd": [1189.9, 1223.9], "Eicher Motors Ltd": [7084.5, 7170.5], "InterGlobe Aviation Ltd (IndiGo)": [4600, 4641.5], "Waaree Energies Ltd": [2370, 2455], "Rategain Travel Technologies Ltd": [788.1, 779.7], "Shriram Properties Ltd": [65.13, 66.01], "Bagmane Prime Office REIT": [105.54, 105.53], "Bharti Airtel Ltd": [1895, 1891.7], "Orient Electric Ltd": [188.91, 189.6], "Reliance Industries Ltd": [1184.5, 1209], "Jio Financial Services Ltd": [210.8, 211.39], "NCC Ltd": [120.17, 123.2], "Capacite Infraprojects Ltd": [154.93, 161.42], "Indus Towers Ltd": [381.85, 379], "Vedanta Power (VEDPOWER)": [29.51, 30.3], "Moschip Technologies Ltd": [169.62, 173.28], "Godrej Consumer Products Ltd": [860.2, 859], "Vedant Fashions (Manyavar) Ltd": [490.05, 501.7], "Indian Railway Finance Corp Ltd": [77, 76.8], "RITES Ltd": [196.09, 197.42], "Indraprastha Gas Ltd": [140.01, 142.31], "Great Eastern Shipping Co Ltd": [1518.6, 1506.3], "HUDCO Ltd": [151.77, 154.34], "NTPC Green Energy Ltd": [84.35, 84.04], "Brigade Enterprises Ltd": [557.1, 570.2], "GFL Ltd": [54.58, 55.21], "Sonata Software Ltd": [239.75, 240.5], "Syngene International Ltd": [372.5, 376.45], "Ambuja Cements Ltd": [363, 359.9], "Astec LifeSciences Ltd": [669.2, 665.9], "Gujarat Energy": [218.13, 222.02], "Indian Energy Exchange Ltd": [104, 103.28], "Vinyl Chemicals (India) Ltd": [205.95, 201.62], "JK Tyre &amp; Industries Ltd": [323, 327.55], "REC Ltd": [301.1, 302.5], "Shakti Pumps (India) Ltd": [400.65, 403.8], "Ashoka Buildcon Ltd": [101.09, 102.18], "Cyient Ltd": [1143.7, 1169.7], "Utkarsh Small Finance Bank Ltd": [12.17, 12.55], "Orient Cement Ltd": [116.89, 113.81], "Waaree Renewable Technologies Ltd": [718.95, 743.25], "Eureka Forbes Ltd": [316.8, 326.15], "Eternal Ltd": [304.45, 312.35], "VRL Logistics Ltd": [266.55, 284.85], "Kotak Mahindra Bank Ltd": [437, 437.8], "Alkyl Amines Chemicals Ltd": [1704.2, 1721.4], "Pfizer Ltd": [3688.9, 3754.7], "Garware Technical Fibres Ltd": [749.6, 740.7], "Central Depository Services (India) Ltd": [1225, 1237.2], "Abbott India Ltd": [25360, 25680], "Tanla Platforms Ltd": [581.3, 562.1], "Vaibhav Global Ltd": [195.22, 199.32], "Asian Paints Ltd": [2284.8, 2319.4], "Aarti Drugs Ltd": [380.05, 388.6], "Deepak Nitrite Ltd": [1487.4, 1506.2], "Infosys Ltd": [1153.35, 1168], "Dr Lal PathLabs Ltd": [1843.7, 1836.1], "Page Industries Ltd": [34425, 34870], "Clean Science and Technology Ltd": [748.05, 741.1], "Jubilant FoodWorks Ltd": [404.9, 405], "ICICI Prudential Life Insurance Co Ltd": [431, 431.5]}, "screener_urls": {"Bajaj Finance Ltd": "/company/BAJFINANCE/consolidated/", "Titan Company Ltd": "/company/TITAN/consolidated/", "Poonawalla Fincorp Ltd": "/company/POONAWALLA/consolidated/", "HDFC Bank Ltd": "/company/HDFCBANK/consolidated/", "HCL Technologies Ltd": "/company/HCLTECH/consolidated/", "Bajaj Housing Finance Ltd": "/company/BAJAJHFL/", "LTM Ltd (formerly LTIMindtree)": "/company/LTM/", "Affle 3i Ltd": "/company/AFFLE/consolidated/", "L&amp;T Technology Services Ltd": "/company/LTTS/consolidated/", "Fineotex Chemical Ltd": "/company/FCL/consolidated/", "AFCOM Holdings Ltd": "/company/544224/", "Connplex Cinemas Ltd": "/company/CONNPLEX/", "Vinati Organics Ltd": "/company/VINATIORGA/", "Persistent Systems Ltd": "/company/PERSISTENT/consolidated/", "Tata Consultancy Services Ltd": "/company/TCS/consolidated/", "Tata Elxsi Ltd": "/company/TATAELXSI/", "Trent Ltd": "/company/TRENT/consolidated/", "Avenue Supermarts (DMart) Ltd": "/company/DMART/consolidated/", "Nestle India Ltd": "/company/NESTLEIND/", "Eicher Motors Ltd": "/company/EICHERMOT/consolidated/", "InterGlobe Aviation Ltd (IndiGo)": "/company/INDIGO/", "Waaree Energies Ltd": "/company/WAAREEENER/consolidated/", "Rategain Travel Technologies Ltd": "/company/RATEGAIN/consolidated/", "International Gemmological Institute (India) Ltd": "/company/IGIL/", "Shriram Properties Ltd": "/company/SHRIRAMPPS/consolidated/", "Bagmane Prime Office REIT": "/company/BAGMANE/consolidated/", "Bharti Airtel Ltd": "/company/BHARTIARTL/consolidated/", "Orient Electric Ltd": "/company/ORIENTELEC/", "Reliance Industries Ltd": "/company/RELIANCE/", "Jio Financial Services Ltd": "/company/JIOFIN/", "NCC Ltd": "/company/NCC/", "Capacite Infraprojects Ltd": "/company/CAPACITE/", "Indus Towers Ltd": "/company/INDUSTOWER/", "Vedanta Power (VEDPOWER)": "/company/VEDPOWER/consolidated/", "Moschip Technologies Ltd": "/company/MOSCHIP/", "Godrej Consumer Products Ltd": "/company/GODREJCP/", "Vedant Fashions (Manyavar) Ltd": "/company/MANYAVAR/", "Indian Railway Finance Corp Ltd": "/company/IRFC/", "RITES Ltd": "/company/RITES/", "Indraprastha Gas Ltd": "/company/IGL/", "Great Eastern Shipping Co Ltd": "/company/GESHIP/", "HUDCO Ltd": "/company/HUDCO/", "NTPC Green Energy Ltd": "/company/NTPCGREEN/", "Brigade Enterprises Ltd": "/company/BRIGADE/", "GFL Ltd": "/company/GFLLIMITED/", "Sonata Software Ltd": "/company/SONATSOFTW/", "Syngene International Ltd": "/company/SYNGENE/", "Ambuja Cements Ltd": "/company/AMBUJACEM/", "Astec LifeSciences Ltd": "/company/ASTEC/", "Gujarat Energy": "/company/GUJENERGY/consolidated/", "Indian Energy Exchange Ltd": "/company/IEX/", "Vinyl Chemicals (India) Ltd": "/company/VINYLINDIA/", "JK Tyre &amp; Industries Ltd": "/company/JKTYRE/", "REC Ltd": "/company/RECLTD/", "Shakti Pumps (India) Ltd": "/company/SHAKTIPUMP/", "Ashoka Buildcon Ltd": "/company/ASHOKA/", "Cyient Ltd": "/company/CYIENT/", "Utkarsh Small Finance Bank Ltd": "/company/UTKARSHBNK/", "Orient Cement Ltd": "/company/ORIENTCEM/", "Waaree Renewable Technologies Ltd": "/company/WAAREERTL/consolidated/", "Eureka Forbes Ltd": "/company/EUREKAFORB/", "Eternal Ltd": "/company/ETERNAL/consolidated/", "VRL Logistics Ltd": "/company/VRLLOG/", "Kotak Mahindra Bank Ltd": "/company/KOTAKBANK/consolidated/", "Alkyl Amines Chemicals Ltd": "/company/ALKYLAMINE/", "Pfizer Ltd": "/company/PFIZER/", "Garware Technical Fibres Ltd": "/company/GARFIBRES/consolidated/", "Central Depository Services (India) Ltd": "/company/CDSL/consolidated/", "Abbott India Ltd": "/company/ABBOTINDIA/", "Tanla Platforms Ltd": "/company/TANLA/consolidated/", "Vaibhav Global Ltd": "/company/VAIBHAVGBL/consolidated/", "Asian Paints Ltd": "/company/ASIANPAINT/consolidated/", "Aarti Drugs Ltd": "/company/AARTIDRUGS/consolidated/", "Deepak Nitrite Ltd": "/company/DEEPAKNTR/consolidated/", "Infosys Ltd": "/company/INFY/consolidated/", "Dr Lal PathLabs Ltd": "/company/LALPATHLAB/consolidated/", "Page Industries Ltd": "/company/PAGEIND/", "Clean Science and Technology Ltd": "/company/CLEAN/consolidated/", "Jubilant FoodWorks Ltd": "/company/JUBLFOOD/consolidated/", "ICICI Prudential Life Insurance Co Ltd": "/company/ICICILIFE/"}, "notes": ["No exchange close for the 4 ETFs (Nifty 50 BeES, Gold BeES, Liquid BeES, HDFC Gold ETF), the Utkarsh SFB rights entitlement, NEPC Agro and PSL Ltd – these stay at statement price (Liquid BeES holds near ₹1,000).", "Names aligned across statements: LTM Ltd = LTIMindtree (DA); Connplex Cinemas = Connplex Smart Theatres (DA); AFCOM = Afcom Holdings.", "Trades blended into holdings and listed on each tab: Vidushi 05.10.2026 (3 buys, ₹9,889); Dr Umesh 09.10.2026 (13 buys, ₹5.01 L, incl. new Eicher Motors and Rategain).", "Dr Umesh holds ₹36,000 uninvested cash at ICICI Direct – row 'Cash – ICICI Direct' at ₹1 per unit, counted in totals but not as a holding.", "Statement invested/market totals reconcile to transcribed rows within ₹2 (rupee rounding on the statements).", "Gautam: NEPC Agro Foods (144 sh) and PSL Ltd (1,000 sh) still have no cost or price on the statement – carried at nil.", "Manish Shilpa: Axis and HDFC CSVs carry short names (e.g. 'Nip. India Nifty', 'C D S L', 'Waaree Renewab.'); aligned to canonical names. 'Nippon ETF Infra' is carried as Nippon India ETF Infra BeES. ETFs have no exchange close and stay on the statement price.", "Gautam refreshed from HDFC statement of 23.10.2026 (31 lines; invested ₹55,01,448 reconciles to ₹55,01,448.50). Changes vs the 05.10 statement are derived: 16 buys and 1 exit (International Gemmological Institute, 80 sh, valued at the 05.10 statement price).", "Vidushi, Dr Umesh and DA have no new statements since 09.10 and are only repriced to the 22.10.2026 close.", "Manish Shilpa is new (23.10.2026): Axis Direct (Shilpa), Axis Direct (Manish), HDFC Securities (Manish) and Manish's Axis mutual fund (UTI Nifty 50 Index Fund – 2 folios, ₹1,99,990 invested) merged into one account. A stock held in more than one demat is one row; the row note lists the split. Statement totals: invested ₹98,57,779, market value ₹1,16,36,410 (equity at live ~11:23 IST prices, MF at statement NAV).", "Saloni Mehra is new (Angel One): 26-holding statement of 20.10.2026 (invested ₹1,10,23,244; market value ₹1,13,95,012) rolled forward with the 15 trades of 21–22.10.2026. Buys add cost including all charges; Kotak Mahindra Bank (1,580 sh, realised ≈ ₹62,288) and LIC Housing Finance (700 sh, realised ≈ ₹-29,271) were sold out; Trent is a new position. Statement invested is now the row sum (no printed total after trades). Rows touched by trades have no statement value, so the account's 'Stmt Market Value' covers untraded rows only."], "portfolios": [{"key": "Gautam", "tab": "Gautam", "name": "Gautam", "broker": "HDFC Securities", "holdings_date": "23.10.2026", "price_basis": "HDFC statement prices 23.10.2026", "stmt_invested": 5501448.5, "stmt_mv": 5224564.0, "basis_label": "Gautam stmt – 23.10", "stale_prices": false, "rows": [["Bajaj Finance Ltd", "HDFC Securities", 1901, 1912279, 1783138, ""], ["Poonawalla Fincorp Ltd", "HDFC Securities", 1132, 527172, 489024, ""], ["Nippon India ETF Nifty 1D Rate Liquid BeES", "HDFC Securities", 325, 325000, 325000, ""], ["HDFC Bank Ltd", "HDFC Securities", 447, 320122, 310218, ""], ["LTM Ltd (formerly LTIMindtree)", "HDFC Securities", 60, 273840, 256440, "Shown as LTM Limited"], ["Tata Consultancy Services Ltd", "HDFC Securities", 92, 210588, 230644, ""], ["Titan Company Ltd", "HDFC Securities", 47, 223898, 204450, ""], ["Connplex Cinemas Ltd", "HDFC Securities", 800, 211200, 192000, ""], ["AFCOM Holdings Ltd", "HDFC Securities", 120, 199920, 165240, "Shown as AFCOM"], ["Tata Elxsi Ltd", "HDFC Securities", 41, 140474, 157727, ""], ["Eicher Motors Ltd", "HDFC Securities", 20, 147414, 141680, ""], ["Bajaj Housing Finance Ltd", "HDFC Securities", 1600, 132930, 129920, ""], ["L&amp;T Technology Services Ltd", "HDFC Securities", 30, 104531, 119880, ""], ["Persistent Systems Ltd", "HDFC Securities", 19, 105436, 109060, ""], ["InterGlobe Aviation Ltd (IndiGo)", "HDFC Securities", 20, 103860, 92160, "Shown as InterGlobe Aviation Ltd (Indigo)"], ["Affle 3i Ltd", "HDFC Securities", 66, 106115, 89958, ""], ["Trent Ltd", "HDFC Securities", 31, 86006, 86056, ""], ["Avenue Supermarts (DMart) Ltd", "HDFC Securities", 24, 89946, 75984, ""], ["Waaree Energies Ltd", "HDFC Securities", 27, 68363, 63990, ""], ["Rategain Travel Technologies Ltd", "HDFC Securities", 72, 59636, 56808, ""], ["Fineotex Chemical Ltd", "HDFC Securities", 830, 46702, 43575, ""], ["Nestle India Ltd", "HDFC Securities", 22, 27683, 26180, ""], ["Shriram Properties Ltd", "HDFC Securities", 250, 19250, 16925, ""], ["Bagmane Prime Office REIT", "HDFC Securities", 150, 16050, 15900, ""], ["Nippon India ETF Gold BeES", "HDFC Securities", 121, 13310, 14883, ""], ["Vinati Organics Ltd", "HDFC Securities", 10, 11941, 10970, ""], ["Bharti Airtel Ltd", "HDFC Securities", 5, 9610, 9475, ""], ["Orient Electric Ltd", "HDFC Securities", 25, 4500, 3850, ""], ["HDFC Gold ETF", "HDFC Securities", 27, 3672, 3429, ""], ["NEPC Agro Foods Ltd", "HDFC Securities", 144, null, null, "No cost or price on statement (marked *) – carried at nil"], ["PSL Ltd (formerly PSL Holdings Ltd)", "HDFC Securities", 1000, null, null, "No cost or price on statement (marked *) – carried at nil"]], "trades": [["05.10–23.10.2026", "BUY", "Affle 3i Ltd", 8, 1364.62, 10917], ["05.10–23.10.2026", "BUY", "Avenue Supermarts (DMart) Ltd", 3, 3179.0, 9537], ["05.10–23.10.2026", "BUY", "Bajaj Finance Ltd", 237, 932.3, 220956], ["05.10–23.10.2026", "BUY", "Bajaj Housing Finance Ltd", 274, 81.1, 22222], ["05.10–23.10.2026", "BUY", "Eicher Motors Ltd", 3, 7055.0, 21165], ["05.10–23.10.2026", "BUY", "Fineotex Chemical Ltd", 138, 52.29, 7216], ["05.10–23.10.2026", "BUY", "HDFC Bank Ltd", 57, 693.96, 39556], ["05.10–23.10.2026", "SELL", "International Gemmological Institute (India) Ltd", 80, 314.0, 25120], ["05.10–23.10.2026", "BUY", "L&amp;T Technology Services Ltd", 5, 3954.0, 19770], ["05.10–23.10.2026", "BUY", "Nippon India ETF Nifty 1D Rate Liquid BeES", 25, 1000.0, 25000], ["05.10–23.10.2026", "BUY", "Persistent Systems Ltd", 3, 5806.0, 17418], ["05.10–23.10.2026", "BUY", "Poonawalla Fincorp Ltd", 131, 432.84, 56702], ["05.10–23.10.2026", "BUY", "Rategain Travel Technologies Ltd", 9, 789.22, 7103], ["05.10–23.10.2026", "BUY", "Tata Elxsi Ltd", 7, 3852.57, 26968], ["05.10–23.10.2026", "BUY", "Titan Company Ltd", 6, 4349.0, 26094], ["05.10–23.10.2026", "BUY", "Trent Ltd", 3, 2787.33, 8362], ["05.10–23.10.2026", "BUY", "Waaree Energies Ltd", 3, 2367.33, 7102]], "trades_title": "Changes between 05.10 and 23.10 statements (derived; buys at implied avg cost, sells at 05.10 statement price)"}, {"key": "Manish", "tab": "Manish Shilpa", "name": "Manish Shilpa", "broker": "Axis Direct + HDFC Securities", "holdings_date": "23.10.2026 (live, ~11:23 IST)", "price_basis": "Live LTP 23.10.2026 ~11:23 IST (equity); MF NAV per Axis statement 23.10.2026 (three demats + MF merged)", "basis_label": "Manish Shilpa stmt – live 23.10", "stale_prices": false, "stmt_invested": 9857779, "stmt_mv": 11636410.18, "rows": [["Bajaj Housing Finance Ltd", "Axis Direct (Shilpa) + Axis Direct (Manish) + HDFC Securities (Manish)", 3762.0, 432693, 292084, "Axis Direct Shilpa 267; Axis Direct Manish 3396; HDFC Securities Manish 99"], ["Nippon India ETF Nifty 1D Rate Liquid BeES", "Axis Direct (Shilpa) + Axis Direct (Manish)", 4.0, 5559, 5559, "Axis Direct Shilpa 1; Axis Direct Manish 3"], ["Eicher Motors Ltd", "Axis Direct (Shilpa) + Axis Direct (Manish)", 6.0, 43747, 41760, "Axis Direct Shilpa 1; Axis Direct Manish 5"], ["Waaree Renewable Technologies Ltd", "Axis Direct (Shilpa) + Axis Direct (Manish)", 5.0, 5105, 3398, "Axis Direct Shilpa 1; Axis Direct Manish 4"], ["Vinati Organics Ltd", "Axis Direct (Shilpa) + Axis Direct (Manish) + HDFC Securities (Manish)", 17.0, 29694, 18142, "Axis Direct Shilpa 1; Axis Direct Manish 15; HDFC Securities Manish 1"], ["Nippon India ETF Nifty 50 BeES", "Axis Direct (Shilpa) + Axis Direct (Manish) + HDFC Securities (Manish)", 11160.0, 1687580, 2864693, "Axis Direct Shilpa 10; Axis Direct Manish 11049; HDFC Securities Manish 101"], ["Affle 3i Ltd", "Axis Direct (Shilpa) + Axis Direct (Manish) + HDFC Securities (Manish)", 47.0, 76969, 62254, "Axis Direct Shilpa 18; Axis Direct Manish 25; HDFC Securities Manish 4"], ["Eureka Forbes Ltd", "Axis Direct (Shilpa)", 35.0, 19821, 10747, ""], ["HDFC Gold ETF", "Axis Direct (Shilpa) + Axis Direct (Manish)", 168.0, 15354, 20131, "Axis Direct Shilpa 93; Axis Direct Manish 75"], ["Eternal Ltd", "Axis Direct (Shilpa) + Axis Direct (Manish)", 34.0, 10336, 10411, "Axis Direct Shilpa 9; Axis Direct Manish 25"], ["VRL Logistics Ltd", "Axis Direct (Shilpa)", 50.0, 13962, 12668, ""], ["Tata Elxsi Ltd", "Axis Direct (Shilpa) + Axis Direct (Manish)", 32.0, 212270, 120470, "Axis Direct Shilpa 1; Axis Direct Manish 31"], ["Waaree Energies Ltd", "Axis Direct (Shilpa) + Axis Direct (Manish)", 6.0, 18946, 13900, "Axis Direct Shilpa 2; Axis Direct Manish 4"], ["Bajaj Finance Ltd", "Axis Direct (Shilpa) + Axis Direct (Manish) + HDFC Securities (Manish)", 3895.0, 2912389, 3625900, "Axis Direct Shilpa 226; Axis Direct Manish 3165; HDFC Securities Manish 504"], ["Persistent Systems Ltd", "Axis Direct (Shilpa) + Axis Direct (Manish)", 11.0, 49823, 63648, "Axis Direct Shilpa 3; Axis Direct Manish 8"], ["Kotak Mahindra Bank Ltd", "Axis Direct (Shilpa) + HDFC Securities (Manish)", 160.0, 63501, 69298, "Axis Direct Shilpa 30; HDFC Securities Manish 130"], ["Trent Ltd", "Axis Direct (Shilpa) + Axis Direct (Manish)", 10.0, 30536, 27130, "Axis Direct Shilpa 3; Axis Direct Manish 7"], ["LTM Ltd (formerly LTIMindtree)", "Axis Direct (Shilpa) + Axis Direct (Manish) + HDFC Securities (Manish)", 66.0, 348137, 276816, "Axis Direct Shilpa 2; Axis Direct Manish 52; HDFC Securities Manish 12"], ["Avenue Supermarts (DMart) Ltd", "Axis Direct (Shilpa) + Axis Direct (Manish)", 6.0, 23637, 18758, "Axis Direct Shilpa 2; Axis Direct Manish 4"], ["HDFC Bank Ltd", "Axis Direct (Shilpa) + Axis Direct (Manish) + HDFC Securities (Manish)", 1013.0, 812683, 697943, "Axis Direct Shilpa 58; Axis Direct Manish 899; HDFC Securities Manish 56"], ["L&amp;T Technology Services Ltd", "Axis Direct (Shilpa) + Axis Direct (Manish) + HDFC Securities (Manish)", 72.0, 303467, 282588, "Axis Direct Shilpa 2; Axis Direct Manish 64; HDFC Securities Manish 6"], ["Titan Company Ltd", "Axis Direct (Shilpa) + Axis Direct (Manish) + HDFC Securities (Manish)", 165.0, 564530, 700725, "Axis Direct Shilpa 7; Axis Direct Manish 153; HDFC Securities Manish 5"], ["Poonawalla Fincorp Ltd", "Axis Direct (Shilpa) + Axis Direct (Manish) + HDFC Securities (Manish)", 1394.0, 622513, 578058, "Axis Direct Shilpa 206; Axis Direct Manish 1180; HDFC Securities Manish 8"], ["Alkyl Amines Chemicals Ltd", "Axis Direct (Manish)", 3.0, 12327, 4865, ""], ["Indian Energy Exchange Ltd", "Axis Direct (Manish)", 12.0, 2262, 1209, ""], ["Pfizer Ltd", "Axis Direct (Manish)", 1.0, 6103, 3601, ""], ["Jio Financial Services Ltd", "Axis Direct (Manish)", 32.0, 3256, 6556, ""], ["Garware Technical Fibres Ltd", "Axis Direct (Manish)", 5.0, 3380, 3606, ""], ["Reliance Industries Ltd", "Axis Direct (Manish)", 32.0, 38635, 37526, ""], ["Central Depository Services (India) Ltd", "Axis Direct (Manish)", 134.0, 51658, 158643, ""], ["Connplex Cinemas Ltd", "Axis Direct (Manish)", 800.0, 188075, 175200, ""], ["Tata Consultancy Services Ltd", "Axis Direct (Manish)", 29.0, 97994, 74127, ""], ["Abbott India Ltd", "Axis Direct (Manish)", 3.0, 54700, 74400, ""], ["Tanla Platforms Ltd", "Axis Direct (Manish)", 33.0, 40602, 18610, ""], ["Fineotex Chemical Ltd", "Axis Direct (Manish)", 3500.0, 117474, 167755, ""], ["Nippon India ETF Infra BeES", "Axis Direct (Manish)", 34.0, 14923, 29819, ""], ["Vaibhav Global Ltd", "Axis Direct (Manish)", 5.0, 1680, 936, ""], ["Asian Paints Ltd", "Axis Direct (Manish)", 22.0, 78545, 50046, ""], ["Aarti Drugs Ltd", "Axis Direct (Manish)", 6.0, 3768, 2241, ""], ["Deepak Nitrite Ltd", "Axis Direct (Manish)", 1.0, 2393, 1427, ""], ["Infosys Ltd", "Axis Direct (Manish)", 64.0, 102862, 74240, ""], ["Rategain Travel Technologies Ltd", "Axis Direct (Manish)", 5.0, 3317, 3815, ""], ["AFCOM Holdings Ltd", "Axis Direct (Manish)", 360.0, 362724, 457200, ""], ["Clean Science and Technology Ltd", "Axis Direct (Manish)", 14.0, 22090, 10168, ""], ["Dr Lal PathLabs Ltd", "HDFC Securities (Manish)", 44.0, 52231, 80313, ""], ["Page Industries Ltd", "HDFC Securities (Manish)", 2.0, 93537, 67650, ""], ["UTI Nifty 50 Index Fund - Growth", "Axis Direct (Manish) MF", 2004.589, 199990, 315380.18, "Mutual fund, 2 folios (1,804.130 + 200.459 units); NAV ₹157.3291 per Axis statement 23.10.2026 – no exchange close, statement NAV used"]], "trades_title": "", "trades": []}, {"key": "Saloni", "tab": "Saloni Mehra", "name": "Saloni Mehra", "broker": "Angel One", "holdings_date": "20.10.2026 + trades of 21–22.10.2026", "price_basis": "20.10.2026 statement prices (only for rows with no trades since)", "basis_label": "Saloni stmt – 20.10", "stale_prices": true, "stmt_invested": 11014028, "stmt_mv": 3325492, "rows": [["Bajaj Finance Ltd", "Angel One", 4713, 4439078, null, "Trades 21.10 buy 362 (charges included in cost); no statement value after trades"], ["Titan Company Ltd", "Angel One", 244, 1046469, null, "Trades 21.10 buy 9 (charges included in cost); no statement value after trades"], ["Jubilant FoodWorks Ltd", "Angel One", 2000, 845300, 827000, ""], ["Tata Consultancy Services Ltd", "Angel One", 305, 659410, 750575, ""], ["HDFC Bank Ltd", "Angel One", 1089, 841371, null, "Trades 21.10 buy 79 (charges included in cost); no statement value after trades"], ["AFCOM Holdings Ltd", "Angel One", 360, 361080, 536742, ""], ["LTM Ltd (formerly LTIMindtree)", "Angel One", 83, 323526, 353987, ""], ["ICICI Prudential Life Insurance Co Ltd", "Angel One", 700, 340305, 306600, ""], ["Bajaj Housing Finance Ltd", "Angel One", 3860, 331672, null, "Trades 21.10 buy 547 (charges included in cost); no statement value after trades"], ["Fineotex Chemical Ltd", "Angel One", 4830, 209864, 269562, ""], ["L&amp;T Technology Services Ltd", "Angel One", 72, 245895, null, "Trades 22.10 buy 1 (charges included in cost); no statement value after trades"], ["Tata Elxsi Ltd", "Angel One", 61, 246916, null, "Trades 22.10 buy 6 (charges included in cost); no statement value after trades"], ["Connplex Cinemas Ltd", "Angel One", 800, 170200, 198400, ""], ["Poonawalla Fincorp Ltd", "Angel One", 1267, 552838, null, "Trades 21.10 buy 970 (charges included in cost); no statement value after trades"], ["Affle 3i Ltd", "Angel One", 73, 107884, null, "Trades 22.10 buy 8 (charges included in cost); no statement value after trades"], ["Vinati Organics Ltd", "Angel One", 48, 62798, 53693, ""], ["Rategain Travel Technologies Ltd", "Angel One", 76, 66457, null, "Trades 22.10 buy 10 (charges included in cost); no statement value after trades"], ["Persistent Systems Ltd", "Angel One", 9, 45356, null, "Trades 22.10 buy 1 (charges included in cost); no statement value after trades"], ["Waaree Energies Ltd", "Angel One", 8, 24527, 20120, ""], ["Eicher Motors Ltd", "Angel One", 6, 43513, null, "Trades 22.10 buy 4 (charges included in cost); no statement value after trades"], ["Avenue Supermarts (DMart) Ltd", "Angel One", 7, 25715, null, "Trades 22.10 buy 4 (charges included in cost); no statement value after trades"], ["Nestle India Ltd", "Angel One", 4, 5602, 4971, ""], ["Waaree Renewable Technologies Ltd", "Angel One", 3, 2928, 2479, ""], ["HDFC Gold ETF", "Angel One", 11, 1387, 1363, ""], ["Trent Ltd", "Angel One", 5, 13937, null, "New position, bought 22.10 (charges included in cost); no statement value"]], "trades_title": "Angel One trades 21–22.10.2026 (blended into holdings; buys include charges)", "trades": [["21.10.2026", "SELL", "Kotak Mahindra Bank Ltd", 1580, 445.65, 704127], ["21.10.2026", "BUY", "Bajaj Housing Finance Ltd", 547, 81.76, 44723], ["21.10.2026", "BUY", "Titan Company Ltd", 9, 4419.44, 39775], ["21.10.2026", "BUY", "HDFC Bank Ltd", 79, 710.85, 56157], ["21.10.2026", "BUY", "Poonawalla Fincorp Ltd", 970, 445.53, 432164], ["21.10.2026", "SELL", "LIC Housing Finance Ltd", 700, 512.6, 358820], ["21.10.2026", "BUY", "Bajaj Finance Ltd", 362, 935.65, 338705], ["22.10.2026", "BUY", "Persistent Systems Ltd", 1, 5818.0, 5818], ["22.10.2026", "BUY", "Tata Elxsi Ltd", 6, 3852.22, 23113], ["22.10.2026", "BUY", "L&amp;T Technology Services Ltd", 1, 3930.0, 3930], ["22.10.2026", "BUY", "Trent Ltd", 5, 2780.9, 13904], ["22.10.2026", "BUY", "Affle 3i Ltd", 8, 1380.9, 11047], ["22.10.2026", "BUY", "Eicher Motors Ltd", 4, 7063.5, 28254], ["22.10.2026", "BUY", "Avenue Supermarts (DMart) Ltd", 4, 3191.1, 12764], ["22.10.2026", "BUY", "Rategain Travel Technologies Ltd", 10, 776.5, 7765]]}, {"key": "Vidushi", "tab": "Vidushi Malhotra", "name": "Vidushi Malhotra", "broker": "Zerodha", "holdings_date": "04.10.2026 (+ trades of 05.10.2026)", "price_basis": "LTP 05.10.2026", "stmt_invested": 201361, "stmt_mv": 230319, "basis_label": "Vidushi stmt – LTP 05.10", "stale_prices": false, "rows": [["Bajaj Finance Ltd", "Zerodha", 121, 92928, 117842, ""], ["Titan Company Ltd", "Zerodha", 9, 28441, 41130, ""], ["Poonawalla Fincorp Ltd", "Zerodha", 38, 17192, 17123, ""], ["HDFC Bank Ltd", "Zerodha", 21, 16598, 14863, ""], ["HCL Technologies Ltd", "Zerodha", 9, 10284, 10815, ""], ["Bajaj Housing Finance Ltd", "Zerodha", 121, 13968, 9898, ""], ["LTM Ltd (formerly LTIMindtree)", "Zerodha", 2, 10198, 7972, ""], ["Affle 3i Ltd", "Zerodha", 3, 4954, 4370, ""], ["L&amp;T Technology Services Ltd", "Zerodha", 1, 4607, 3219, ""], ["Fineotex Chemical Ltd", "Zerodha", 50, 1877, 2711, ""], ["Nippon India ETF Nifty 50 BeES", "Zerodha", 1, 251, 257, ""], ["Nippon India ETF Gold BeES", "Zerodha", 1, 63, 121, ""]], "trades_title": "Trades executed 05.10.2026 (already blended into Wtd Avg Cost)", "trades": [["2026-10-05 12:46:57", "BUY", "Poonawalla Fincorp Ltd", 8, 451, 3606], ["2026-10-05 12:46:33", "BUY", "HDFC Bank Ltd", 2, 707, 1414], ["2026-10-05 12:46:00", "BUY", "Bajaj Finance Ltd", 5, 974, 4869]]}, {"key": "Umesh", "tab": "Dr Umesh Choudhry", "name": "Dr Umesh Choudhry", "broker": "ICICI Direct", "holdings_date": "04.10.2026 + trades of 09.10.2026", "price_basis": "NSE live 09.10.2026 ~09:45 IST", "stmt_invested": 5222229.03, "stmt_mv": 5467267.23, "basis_label": "Umesh stmt – NSE live 09.10", "stale_prices": false, "rows": [["Bajaj Finance Ltd", "ICICI Direct", 2412, 1930286, 2318776, ""], ["Titan Company Ltd", "ICICI Direct", 172, 617467, 751984, ""], ["HDFC Bank Ltd", "ICICI Direct", 673, 599414, 472547, ""], ["AFCOM Holdings Ltd", "ICICI Direct", 240, 203179, 342000, "SME"], ["Poonawalla Fincorp Ltd", "ICICI Direct", 769, 346990, 340513, ""], ["Connplex Cinemas Ltd", "ICICI Direct", 800, 183992, 196000, "SME"], ["Bajaj Housing Finance Ltd", "ICICI Direct", 2198, 255800, 180698, ""], ["LTM Ltd (formerly LTIMindtree)", "ICICI Direct", 37, 216602, 149365, "Shown as LTM Limited"], ["Fineotex Chemical Ltd", "ICICI Direct", 2370, 94397, 133502, ""], ["L&amp;T Technology Services Ltd", "ICICI Direct", 32, 151039, 102480, ""], ["Persistent Systems Ltd", "ICICI Direct", 17, 86733, 95634, ""], ["Vinati Organics Ltd", "ICICI Direct", 82, 160741, 92480, ""], ["Tata Elxsi Ltd", "ICICI Direct", 22, 86278, 67571, ""], ["Affle 3i Ltd", "ICICI Direct", 47, 72448, 66876, ""], ["Tata Consultancy Services Ltd", "ICICI Direct", 29, 122603, 63165, ""], ["Eicher Motors Ltd", "ICICI Direct", 3, 20717, 20805, "New position 09.10.2026"], ["Trent Ltd", "ICICI Direct", 5, 14549, 14550, ""], ["Avenue Supermarts (DMart) Ltd", "ICICI Direct", 4, 14740, 14270, ""], ["Rategain Travel Technologies Ltd", "ICICI Direct", 8, 6760, 6727, "New position 09.10.2026"], ["Nestle India Ltd", "ICICI Direct", 1, 1494, 1325, ""], ["Cash – ICICI Direct", "ICICI Direct", 36000, 36000, 36000, "Uninvested cash, valued at ₹1 per unit"]], "trades_title": "Buys on 09.10.2026 (derived: statement 09.10 minus 04.10; already blended into Wtd Avg Cost)", "trades": [["09.10.2026", "BUY", "Bajaj Finance Ltd", 237, 962.39, 228087], ["09.10.2026", "BUY", "Poonawalla Fincorp Ltd", 176, 442.07, 77804], ["09.10.2026", "BUY", "HDFC Bank Ltd", 55, 701.55, 38585], ["09.10.2026", "BUY", "Titan Company Ltd", 6, 4375.0, 26250], ["09.10.2026", "BUY", "Bajaj Housing Finance Ltd", 280, 82.46, 23089], ["09.10.2026", "BUY", "Persistent Systems Ltd", 4, 5588.0, 22352], ["09.10.2026", "BUY", "Tata Elxsi Ltd", 7, 3081.0, 21567], ["09.10.2026", "BUY", "Eicher Motors Ltd", 3, 6905.67, 20717], ["09.10.2026", "BUY", "Avenue Supermarts (DMart) Ltd", 3, 3560.33, 10681], ["09.10.2026", "BUY", "Affle 3i Ltd", 7, 1415.0, 9905], ["09.10.2026", "BUY", "Trent Ltd", 3, 2885.0, 8655], ["09.10.2026", "BUY", "Rategain Travel Technologies Ltd", 8, 845.0, 6760], ["09.10.2026", "BUY", "L&amp;T Technology Services Ltd", 2, 3185.0, 6370]]}, {"key": "DA", "tab": "DA", "name": "DA", "broker": "HDFC Securities + Kotak Securities", "holdings_date": "Post 12.09.2026 trades (file dated 04.10.2026)", "price_basis": "As on statement (date not printed)", "stmt_invested": 4364995, "stmt_mv": 4141021, "basis_label": "DA stmt – older", "stale_prices": true, "rows": [["Bajaj Finance Ltd", "HDFC Sec + Kotak", 915, 964117, 946110, ""], ["Poonawalla Fincorp Ltd", "HDFC Sec + Kotak", 792, 376533, 352440, ""], ["Titan Company Ltd", "HDFC Sec + Kotak", 59, 260113, 295590, ""], ["HDFC Bank Ltd", "HDFC Sec + Kotak", 337, 250961, 238596, ""], ["Reliance Industries Ltd", "HDFC Securities", 146, 198998, 183668, ""], ["AFCOM Holdings Ltd", "Kotak Securities", 120, 169080, 184800, "Shown as Afcom Holdings Ltd"], ["Connplex Cinemas Ltd", "Kotak Securities", 800, 180000, 212000, "Shown as Connplex Smart Theatres Ltd"], ["Bajaj Housing Finance Ltd", "HDFC Sec + Kotak", 1732, 172732, 145488, ""], ["Persistent Systems Ltd", "HDFC Sec + Kotak", 18, 91873, 99288, ""], ["Jio Financial Services Ltd", "HDFC Securities", 374, 94996, 86020, ""], ["Fineotex Chemical Ltd", "HDFC Securities", 2030, 69020, 117131, ""], ["L&amp;T Technology Services Ltd", "HDFC Sec + Kotak", 24, 85824, 80088, ""], ["Affle 3i Ltd", "HDFC Sec + Kotak", 45, 74914, 70560, ""], ["Nestle India Ltd", "Kotak Securities", 52, 65780, 71916, ""], ["Tata Elxsi Ltd", "HDFC Sec + Kotak", 20, 74720, 67660, ""], ["Eicher Motors Ltd", "HDFC Sec + Kotak", 8, 64347, 60240, ""], ["NCC Ltd", "HDFC Securities", 399, 70623, 56259, ""], ["Trent Ltd", "HDFC Sec + Kotak", 18, 53931, 50436, ""], ["Avenue Supermarts (DM</t>
  </si>
  <si>
    <t xml:space="preserve">art) Ltd", "HDFC Sec + Kotak", 13, 51822, 47944, ""], ["Capacite Infraprojects Ltd", "HDFC Securities", 230, 64400, 44160, ""], ["HCL Technologies Ltd", "Kotak Securities", 33, 47223, 39798, ""], ["Indus Towers Ltd", "Kotak Securities", 111, 45510, 43068, ""], ["Vedanta Power (VEDPOWER)", "Kotak Securities", 1072, 46096, 36448, ""], ["Moschip Technologies Ltd", "Kotak Securities", 187, 41888, 39270, ""], ["Godrej Consumer Products Ltd", "HDFC Securities", 40, 41520, 34600, ""], ["Vedant Fashions (Manyavar) Ltd", "HDFC Securities", 66, 43428, 38412, ""], ["Tata Consultancy Services Ltd", "HDFC Sec + Kotak", 13, 31148, 28613, ""], ["Indian Railway Finance Corp Ltd", "Kotak Securities", 302, 48018, 24462, ""], ["RITES Ltd", "Kotak Securities", 116, 29696, 24244, ""], ["Indraprastha Gas Ltd", "Kotak Securities", 166, 33864, 25232, ""], ["Great Eastern Shipping Co Ltd", "HDFC Sec + Kotak", 19, 26923, 26828, ""], ["HUDCO Ltd", "Kotak Securities", 124, 28024, 21452, ""], ["LTM Ltd (formerly LTIMindtree)", "HDFC Sec + Kotak", 5, 23660, 21375, "Shown as LTIMindtree Ltd"], ["NTPC Green Energy Ltd", "Kotak Securities", 245, 27195, 21315, ""], ["Brigade Enterprises Ltd", "Kotak Securities", 35, 24710, 22365, ""], ["Waaree Energies Ltd", "HDFC Securities", 8, 14064, 21000, ""], ["GFL Ltd", "Kotak Securities", 380, 18620, 22040, ""], ["Sonata Software Ltd", "Kotak Securities", 67, 28140, 17822, ""], ["Syngene International Ltd", "Kotak Securities", 51, 30804, 19533, ""], ["Ambuja Cements Ltd", "Kotak Securities", 49, 25823, 19208, ""], ["Astec LifeSciences Ltd", "Kotak Securities", 33, 27093, 23100, ""], ["Gujarat Energy", "Kotak Securities", 110, 43010, 26620, "Name as on statement"], ["Indian Energy Exchange Ltd", "Kotak Securities", 150, 24000, 17100, ""], ["Vinyl Chemicals (India) Ltd", "HDFC Securities", 78, 30030, 17160, ""], ["JK Tyre &amp; Industries Ltd", "Kotak Securities", 48, 19392, 16992, ""], ["REC Ltd", "Kotak Securities", 54, 27540, 16902, ""], ["Shakti Pumps (India) Ltd", "Kotak Securities", 33, 17886, 16302, ""], ["Ashoka Buildcon Ltd", "Kotak Securities", 132, 23496, 15048, ""], ["HDFC Gold ETF", "HDFC Securities", 99, 12177, 12771, ""], ["Cyient Ltd", "Kotak Securities", 9, 12114, 9531, ""], ["Utkarsh Small Finance Bank Ltd", "HDFC Securities", 560, 30800, 8120, ""], ["Orient Cement Ltd", "Kotak Securities", 20, 6320, 2520, ""], ["Utkarsh SFB – Rights Entitlement", "HDFC Securities", 344, 0, 1376, "Rights entitlement – nil cost"]]}]}</t>
  </si>
</sst>
</file>

<file path=xl/styles.xml><?xml version="1.0" encoding="utf-8"?>
<styleSheet xmlns="http://schemas.openxmlformats.org/spreadsheetml/2006/main">
  <numFmts count="7">
    <numFmt numFmtId="164" formatCode="General"/>
    <numFmt numFmtId="165" formatCode="General"/>
    <numFmt numFmtId="166" formatCode="#,##0;[RED]\(#,##0\);\-"/>
    <numFmt numFmtId="167" formatCode="0.0%;[RED]\(0.0%\);\-"/>
    <numFmt numFmtId="168" formatCode="0&quot; stocks&quot;"/>
    <numFmt numFmtId="169" formatCode="#,##0.00;[RED]\(#,##0.00\);\-"/>
    <numFmt numFmtId="170" formatCode="#,##0;\(#,##0\);\-"/>
  </numFmts>
  <fonts count="2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9"/>
      <color rgb="FFFFFFFF"/>
      <name val="Arial"/>
      <family val="0"/>
      <charset val="1"/>
    </font>
    <font>
      <b val="true"/>
      <sz val="10"/>
      <color rgb="FF000000"/>
      <name val="Arial"/>
      <family val="0"/>
      <charset val="1"/>
    </font>
    <font>
      <sz val="10"/>
      <color rgb="FF000000"/>
      <name val="Arial"/>
      <family val="0"/>
      <charset val="1"/>
    </font>
    <font>
      <sz val="10"/>
      <color rgb="FF008000"/>
      <name val="Arial"/>
      <family val="0"/>
      <charset val="1"/>
    </font>
    <font>
      <sz val="10"/>
      <color rgb="FF0000FF"/>
      <name val="Arial"/>
      <family val="0"/>
      <charset val="1"/>
    </font>
    <font>
      <b val="true"/>
      <sz val="10"/>
      <color rgb="FFFFFFFF"/>
      <name val="Arial"/>
      <family val="0"/>
      <charset val="1"/>
    </font>
    <font>
      <i val="true"/>
      <sz val="8"/>
      <color rgb="FF7F7F7F"/>
      <name val="Arial"/>
      <family val="0"/>
      <charset val="1"/>
    </font>
    <font>
      <b val="true"/>
      <sz val="11"/>
      <color rgb="FF1F3864"/>
      <name val="Arial"/>
      <family val="0"/>
      <charset val="1"/>
    </font>
    <font>
      <b val="true"/>
      <sz val="10"/>
      <color rgb="FF008000"/>
      <name val="Arial"/>
      <family val="0"/>
      <charset val="1"/>
    </font>
    <font>
      <b val="true"/>
      <sz val="10"/>
      <color rgb="FF1F3864"/>
      <name val="Arial"/>
      <family val="0"/>
      <charset val="1"/>
    </font>
    <font>
      <sz val="9"/>
      <color rgb="FF404040"/>
      <name val="Arial"/>
      <family val="0"/>
      <charset val="1"/>
    </font>
    <font>
      <sz val="8"/>
      <color rgb="FF008000"/>
      <name val="Arial"/>
      <family val="0"/>
      <charset val="1"/>
    </font>
    <font>
      <sz val="10"/>
      <name val="Arial"/>
      <family val="2"/>
    </font>
    <font>
      <b val="true"/>
      <sz val="9"/>
      <color rgb="FFC00000"/>
      <name val="Arial"/>
      <family val="0"/>
      <charset val="1"/>
    </font>
    <font>
      <sz val="9"/>
      <color rgb="FF595959"/>
      <name val="Arial"/>
      <family val="0"/>
      <charset val="1"/>
    </font>
    <font>
      <sz val="9"/>
      <color rgb="FF0000FF"/>
      <name val="Arial"/>
      <family val="0"/>
      <charset val="1"/>
    </font>
    <font>
      <i val="true"/>
      <sz val="9"/>
      <color rgb="FF7F7F7F"/>
      <name val="Arial"/>
      <family val="0"/>
      <charset val="1"/>
    </font>
  </fonts>
  <fills count="19">
    <fill>
      <patternFill patternType="none"/>
    </fill>
    <fill>
      <patternFill patternType="gray125"/>
    </fill>
    <fill>
      <patternFill patternType="solid">
        <fgColor rgb="FF1F3864"/>
        <bgColor rgb="FF1B4F72"/>
      </patternFill>
    </fill>
    <fill>
      <patternFill patternType="solid">
        <fgColor rgb="FFDCE6F1"/>
        <bgColor rgb="FFD6EAF8"/>
      </patternFill>
    </fill>
    <fill>
      <patternFill patternType="solid">
        <fgColor rgb="FFE8DAEF"/>
        <bgColor rgb="FFD9D9D9"/>
      </patternFill>
    </fill>
    <fill>
      <patternFill patternType="solid">
        <fgColor rgb="FFF5D5D0"/>
        <bgColor rgb="FFE8DAEF"/>
      </patternFill>
    </fill>
    <fill>
      <patternFill patternType="solid">
        <fgColor rgb="FFFBEBD0"/>
        <bgColor rgb="FFFCE4B6"/>
      </patternFill>
    </fill>
    <fill>
      <patternFill patternType="solid">
        <fgColor rgb="FFD5F5E3"/>
        <bgColor rgb="FFD4EFDF"/>
      </patternFill>
    </fill>
    <fill>
      <patternFill patternType="solid">
        <fgColor rgb="FFD6EAF8"/>
        <bgColor rgb="FFDCE6F1"/>
      </patternFill>
    </fill>
    <fill>
      <patternFill patternType="solid">
        <fgColor rgb="FF0B5345"/>
        <bgColor rgb="FF145A32"/>
      </patternFill>
    </fill>
    <fill>
      <patternFill patternType="solid">
        <fgColor rgb="FF4A235A"/>
        <bgColor rgb="FF404040"/>
      </patternFill>
    </fill>
    <fill>
      <patternFill patternType="solid">
        <fgColor rgb="FF7B241C"/>
        <bgColor rgb="FF800000"/>
      </patternFill>
    </fill>
    <fill>
      <patternFill patternType="solid">
        <fgColor rgb="FF7E5109"/>
        <bgColor rgb="FF595959"/>
      </patternFill>
    </fill>
    <fill>
      <patternFill patternType="solid">
        <fgColor rgb="FF145A32"/>
        <bgColor rgb="FF0B5345"/>
      </patternFill>
    </fill>
    <fill>
      <patternFill patternType="solid">
        <fgColor rgb="FF1B4F72"/>
        <bgColor rgb="FF0B5345"/>
      </patternFill>
    </fill>
    <fill>
      <patternFill patternType="solid">
        <fgColor rgb="FFD9D9D9"/>
        <bgColor rgb="FFE8DAEF"/>
      </patternFill>
    </fill>
    <fill>
      <patternFill patternType="solid">
        <fgColor rgb="FFD4EFDF"/>
        <bgColor rgb="FFD5F5E3"/>
      </patternFill>
    </fill>
    <fill>
      <patternFill patternType="solid">
        <fgColor rgb="FFFFFF00"/>
        <bgColor rgb="FFFFFF00"/>
      </patternFill>
    </fill>
    <fill>
      <patternFill patternType="solid">
        <fgColor rgb="FFF2F2F2"/>
        <bgColor rgb="FFFFFFFF"/>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medium">
        <color rgb="FF7F7F7F"/>
      </top>
      <bottom style="medium">
        <color rgb="FF7F7F7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7" fillId="7" borderId="1" xfId="0" applyFont="true" applyBorder="true" applyAlignment="false" applyProtection="false">
      <alignment horizontal="general" vertical="bottom" textRotation="0" wrapText="false" indent="0" shrinkToFit="false"/>
      <protection locked="true" hidden="false"/>
    </xf>
    <xf numFmtId="164" fontId="7" fillId="8" borderId="1" xfId="0" applyFont="true" applyBorder="true" applyAlignment="false" applyProtection="false">
      <alignment horizontal="general" vertical="bottom" textRotation="0" wrapText="false" indent="0" shrinkToFit="false"/>
      <protection locked="true" hidden="false"/>
    </xf>
    <xf numFmtId="164" fontId="11" fillId="9" borderId="1" xfId="0" applyFont="true" applyBorder="true" applyAlignment="false" applyProtection="false">
      <alignment horizontal="general" vertical="bottom" textRotation="0" wrapText="false" indent="0" shrinkToFit="false"/>
      <protection locked="true" hidden="false"/>
    </xf>
    <xf numFmtId="165" fontId="11" fillId="9" borderId="1" xfId="0" applyFont="true" applyBorder="true" applyAlignment="true" applyProtection="false">
      <alignment horizontal="center" vertical="bottom" textRotation="0" wrapText="false" indent="0" shrinkToFit="false"/>
      <protection locked="true" hidden="false"/>
    </xf>
    <xf numFmtId="166" fontId="11" fillId="9" borderId="1" xfId="0" applyFont="true" applyBorder="true" applyAlignment="false" applyProtection="false">
      <alignment horizontal="general" vertical="bottom" textRotation="0" wrapText="false" indent="0" shrinkToFit="false"/>
      <protection locked="true" hidden="false"/>
    </xf>
    <xf numFmtId="167" fontId="11" fillId="9"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64" fontId="6" fillId="11" borderId="1" xfId="0" applyFont="true" applyBorder="true" applyAlignment="true" applyProtection="false">
      <alignment horizontal="center" vertical="center" textRotation="0" wrapText="true" indent="0" shrinkToFit="false"/>
      <protection locked="true" hidden="false"/>
    </xf>
    <xf numFmtId="164" fontId="6" fillId="12" borderId="1" xfId="0" applyFont="true" applyBorder="true" applyAlignment="true" applyProtection="false">
      <alignment horizontal="center" vertical="center" textRotation="0" wrapText="true" indent="0" shrinkToFit="false"/>
      <protection locked="true" hidden="false"/>
    </xf>
    <xf numFmtId="164" fontId="6" fillId="13" borderId="1" xfId="0" applyFont="true" applyBorder="true" applyAlignment="true" applyProtection="false">
      <alignment horizontal="center" vertical="center" textRotation="0" wrapText="true" indent="0" shrinkToFit="false"/>
      <protection locked="true" hidden="false"/>
    </xf>
    <xf numFmtId="164" fontId="6" fillId="14"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9" borderId="2" xfId="0" applyFont="true" applyBorder="true" applyAlignment="true" applyProtection="false">
      <alignment horizontal="center" vertical="center" textRotation="0" wrapText="true" indent="0" shrinkToFit="false"/>
      <protection locked="true" hidden="false"/>
    </xf>
    <xf numFmtId="164" fontId="6" fillId="2" borderId="2" xfId="0" applyFont="true" applyBorder="true" applyAlignment="true" applyProtection="false">
      <alignment horizontal="center" vertical="center" textRotation="0" wrapText="true" indent="0" shrinkToFit="false"/>
      <protection locked="true" hidden="false"/>
    </xf>
    <xf numFmtId="164" fontId="6" fillId="10" borderId="2" xfId="0" applyFont="true" applyBorder="true" applyAlignment="true" applyProtection="false">
      <alignment horizontal="center" vertical="center" textRotation="0" wrapText="true" indent="0" shrinkToFit="false"/>
      <protection locked="true" hidden="false"/>
    </xf>
    <xf numFmtId="164" fontId="6" fillId="11" borderId="2" xfId="0" applyFont="true" applyBorder="true" applyAlignment="true" applyProtection="false">
      <alignment horizontal="center" vertical="center" textRotation="0" wrapText="true" indent="0" shrinkToFit="false"/>
      <protection locked="true" hidden="false"/>
    </xf>
    <xf numFmtId="164" fontId="6" fillId="12" borderId="2" xfId="0" applyFont="true" applyBorder="true" applyAlignment="true" applyProtection="false">
      <alignment horizontal="center" vertical="center" textRotation="0" wrapText="true" indent="0" shrinkToFit="false"/>
      <protection locked="true" hidden="false"/>
    </xf>
    <xf numFmtId="164" fontId="6" fillId="13" borderId="2" xfId="0" applyFont="true" applyBorder="true" applyAlignment="true" applyProtection="false">
      <alignment horizontal="center" vertical="center" textRotation="0" wrapText="true" indent="0" shrinkToFit="false"/>
      <protection locked="true" hidden="false"/>
    </xf>
    <xf numFmtId="164" fontId="6" fillId="14" borderId="2" xfId="0" applyFont="true" applyBorder="true" applyAlignment="true" applyProtection="false">
      <alignment horizontal="center" vertical="center" textRotation="0" wrapText="true" indent="0" shrinkToFit="false"/>
      <protection locked="true" hidden="false"/>
    </xf>
    <xf numFmtId="164" fontId="7" fillId="15" borderId="3" xfId="0" applyFont="true" applyBorder="true" applyAlignment="false" applyProtection="false">
      <alignment horizontal="general" vertical="bottom" textRotation="0" wrapText="false" indent="0" shrinkToFit="false"/>
      <protection locked="true" hidden="false"/>
    </xf>
    <xf numFmtId="165" fontId="7" fillId="15" borderId="3" xfId="0" applyFont="true" applyBorder="true" applyAlignment="true" applyProtection="false">
      <alignment horizontal="center" vertical="bottom" textRotation="0" wrapText="false" indent="0" shrinkToFit="false"/>
      <protection locked="true" hidden="false"/>
    </xf>
    <xf numFmtId="168" fontId="7" fillId="15" borderId="3" xfId="0" applyFont="true" applyBorder="true" applyAlignment="false" applyProtection="false">
      <alignment horizontal="general" vertical="bottom" textRotation="0" wrapText="false" indent="0" shrinkToFit="false"/>
      <protection locked="true" hidden="false"/>
    </xf>
    <xf numFmtId="169" fontId="7" fillId="15" borderId="3" xfId="0" applyFont="true" applyBorder="true" applyAlignment="false" applyProtection="false">
      <alignment horizontal="general" vertical="bottom" textRotation="0" wrapText="false" indent="0" shrinkToFit="false"/>
      <protection locked="true" hidden="false"/>
    </xf>
    <xf numFmtId="166" fontId="7" fillId="15" borderId="3" xfId="0" applyFont="true" applyBorder="true" applyAlignment="false" applyProtection="false">
      <alignment horizontal="general" vertical="bottom" textRotation="0" wrapText="false" indent="0" shrinkToFit="false"/>
      <protection locked="true" hidden="false"/>
    </xf>
    <xf numFmtId="167" fontId="7" fillId="15" borderId="3"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70" fontId="8" fillId="16" borderId="1" xfId="0" applyFont="true" applyBorder="true" applyAlignment="false" applyProtection="false">
      <alignment horizontal="general" vertical="bottom" textRotation="0" wrapText="false" indent="0" shrinkToFit="false"/>
      <protection locked="true" hidden="false"/>
    </xf>
    <xf numFmtId="169" fontId="8" fillId="16" borderId="1" xfId="0" applyFont="true" applyBorder="true" applyAlignment="false" applyProtection="false">
      <alignment horizontal="general" vertical="bottom" textRotation="0" wrapText="false" indent="0" shrinkToFit="false"/>
      <protection locked="true" hidden="false"/>
    </xf>
    <xf numFmtId="166" fontId="8" fillId="16" borderId="1" xfId="0" applyFont="true" applyBorder="true" applyAlignment="false" applyProtection="false">
      <alignment horizontal="general" vertical="bottom" textRotation="0" wrapText="false" indent="0" shrinkToFit="false"/>
      <protection locked="true" hidden="false"/>
    </xf>
    <xf numFmtId="166" fontId="7" fillId="16" borderId="1" xfId="0" applyFont="true" applyBorder="true" applyAlignment="false" applyProtection="false">
      <alignment horizontal="general" vertical="bottom" textRotation="0" wrapText="false" indent="0" shrinkToFit="false"/>
      <protection locked="true" hidden="false"/>
    </xf>
    <xf numFmtId="167" fontId="8" fillId="16" borderId="1" xfId="0" applyFont="true" applyBorder="true" applyAlignment="false" applyProtection="false">
      <alignment horizontal="general" vertical="bottom" textRotation="0" wrapText="false" indent="0" shrinkToFit="false"/>
      <protection locked="true" hidden="false"/>
    </xf>
    <xf numFmtId="167" fontId="7" fillId="16"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9" fontId="10" fillId="17"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20" fillId="0" borderId="1" xfId="0" applyFont="true" applyBorder="true" applyAlignment="false" applyProtection="false">
      <alignment horizontal="general" vertical="bottom" textRotation="0" wrapText="false" indent="0" shrinkToFit="false"/>
      <protection locked="true" hidden="false"/>
    </xf>
    <xf numFmtId="164" fontId="21" fillId="0" borderId="1" xfId="0" applyFont="true" applyBorder="true" applyAlignment="false" applyProtection="false">
      <alignment horizontal="general" vertical="bottom" textRotation="0" wrapText="false" indent="0" shrinkToFit="false"/>
      <protection locked="true" hidden="false"/>
    </xf>
    <xf numFmtId="169" fontId="10" fillId="0" borderId="1" xfId="0" applyFont="true" applyBorder="true" applyAlignment="false" applyProtection="false">
      <alignment horizontal="general" vertical="bottom" textRotation="0" wrapText="false" indent="0" shrinkToFit="false"/>
      <protection locked="true" hidden="false"/>
    </xf>
    <xf numFmtId="166" fontId="7" fillId="3" borderId="1" xfId="0" applyFont="true" applyBorder="true" applyAlignment="false" applyProtection="false">
      <alignment horizontal="general" vertical="bottom" textRotation="0" wrapText="false" indent="0" shrinkToFit="false"/>
      <protection locked="true" hidden="false"/>
    </xf>
    <xf numFmtId="167" fontId="7" fillId="3" borderId="1" xfId="0" applyFont="true" applyBorder="true" applyAlignment="false" applyProtection="false">
      <alignment horizontal="general" vertical="bottom" textRotation="0" wrapText="false" indent="0" shrinkToFit="false"/>
      <protection locked="true" hidden="false"/>
    </xf>
    <xf numFmtId="170" fontId="10" fillId="0" borderId="1" xfId="0" applyFont="true" applyBorder="true" applyAlignment="false" applyProtection="fals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8" fillId="18" borderId="1" xfId="0" applyFont="true" applyBorder="true" applyAlignment="false" applyProtection="false">
      <alignment horizontal="general" vertical="bottom" textRotation="0" wrapText="false" indent="0" shrinkToFit="false"/>
      <protection locked="true" hidden="false"/>
    </xf>
    <xf numFmtId="170" fontId="10" fillId="18" borderId="1" xfId="0" applyFont="true" applyBorder="true" applyAlignment="false" applyProtection="false">
      <alignment horizontal="general" vertical="bottom" textRotation="0" wrapText="false" indent="0" shrinkToFit="false"/>
      <protection locked="true" hidden="false"/>
    </xf>
    <xf numFmtId="166" fontId="10" fillId="18" borderId="1" xfId="0" applyFont="true" applyBorder="true" applyAlignment="false" applyProtection="false">
      <alignment horizontal="general" vertical="bottom" textRotation="0" wrapText="false" indent="0" shrinkToFit="false"/>
      <protection locked="true" hidden="false"/>
    </xf>
    <xf numFmtId="169" fontId="8" fillId="18" borderId="1" xfId="0" applyFont="true" applyBorder="true" applyAlignment="false" applyProtection="false">
      <alignment horizontal="general" vertical="bottom" textRotation="0" wrapText="false" indent="0" shrinkToFit="false"/>
      <protection locked="true" hidden="false"/>
    </xf>
    <xf numFmtId="169" fontId="9" fillId="18" borderId="1" xfId="0" applyFont="true" applyBorder="true" applyAlignment="false" applyProtection="false">
      <alignment horizontal="general" vertical="bottom" textRotation="0" wrapText="false" indent="0" shrinkToFit="false"/>
      <protection locked="true" hidden="false"/>
    </xf>
    <xf numFmtId="166" fontId="8" fillId="18" borderId="1" xfId="0" applyFont="true" applyBorder="true" applyAlignment="false" applyProtection="false">
      <alignment horizontal="general" vertical="bottom" textRotation="0" wrapText="false" indent="0" shrinkToFit="false"/>
      <protection locked="true" hidden="false"/>
    </xf>
    <xf numFmtId="167" fontId="8" fillId="18" borderId="1" xfId="0" applyFont="true" applyBorder="true" applyAlignment="false" applyProtection="false">
      <alignment horizontal="general" vertical="bottom" textRotation="0" wrapText="false" indent="0" shrinkToFit="false"/>
      <protection locked="true" hidden="false"/>
    </xf>
    <xf numFmtId="164" fontId="22" fillId="18" borderId="1" xfId="0" applyFont="true" applyBorder="true" applyAlignment="false" applyProtection="false">
      <alignment horizontal="general" vertical="bottom" textRotation="0" wrapText="false" indent="0" shrinkToFit="false"/>
      <protection locked="true" hidden="false"/>
    </xf>
    <xf numFmtId="166" fontId="7" fillId="4" borderId="1" xfId="0" applyFont="true" applyBorder="true" applyAlignment="false" applyProtection="false">
      <alignment horizontal="general" vertical="bottom" textRotation="0" wrapText="false" indent="0" shrinkToFit="false"/>
      <protection locked="true" hidden="false"/>
    </xf>
    <xf numFmtId="167" fontId="7" fillId="4" borderId="1" xfId="0" applyFont="true" applyBorder="true" applyAlignment="false" applyProtection="false">
      <alignment horizontal="general" vertical="bottom" textRotation="0" wrapText="false" indent="0" shrinkToFit="false"/>
      <protection locked="true" hidden="false"/>
    </xf>
    <xf numFmtId="166" fontId="7" fillId="5" borderId="1" xfId="0" applyFont="true" applyBorder="true" applyAlignment="false" applyProtection="false">
      <alignment horizontal="general" vertical="bottom" textRotation="0" wrapText="false" indent="0" shrinkToFit="false"/>
      <protection locked="true" hidden="false"/>
    </xf>
    <xf numFmtId="167" fontId="7" fillId="5" borderId="1" xfId="0" applyFont="true" applyBorder="true" applyAlignment="false" applyProtection="false">
      <alignment horizontal="general" vertical="bottom" textRotation="0" wrapText="false" indent="0" shrinkToFit="false"/>
      <protection locked="true" hidden="false"/>
    </xf>
    <xf numFmtId="166" fontId="7" fillId="6" borderId="1" xfId="0" applyFont="true" applyBorder="true" applyAlignment="false" applyProtection="false">
      <alignment horizontal="general" vertical="bottom" textRotation="0" wrapText="false" indent="0" shrinkToFit="false"/>
      <protection locked="true" hidden="false"/>
    </xf>
    <xf numFmtId="167" fontId="7" fillId="6" borderId="1" xfId="0" applyFont="true" applyBorder="true" applyAlignment="false" applyProtection="false">
      <alignment horizontal="general" vertical="bottom" textRotation="0" wrapText="false" indent="0" shrinkToFit="false"/>
      <protection locked="true" hidden="false"/>
    </xf>
    <xf numFmtId="166" fontId="7" fillId="7" borderId="1" xfId="0" applyFont="true" applyBorder="true" applyAlignment="false" applyProtection="false">
      <alignment horizontal="general" vertical="bottom" textRotation="0" wrapText="false" indent="0" shrinkToFit="false"/>
      <protection locked="true" hidden="false"/>
    </xf>
    <xf numFmtId="167" fontId="7" fillId="7" borderId="1" xfId="0" applyFont="true" applyBorder="true" applyAlignment="false" applyProtection="false">
      <alignment horizontal="general" vertical="bottom" textRotation="0" wrapText="false" indent="0" shrinkToFit="false"/>
      <protection locked="true" hidden="false"/>
    </xf>
    <xf numFmtId="166" fontId="7" fillId="8" borderId="1" xfId="0" applyFont="true" applyBorder="true" applyAlignment="false" applyProtection="false">
      <alignment horizontal="general" vertical="bottom" textRotation="0" wrapText="false" indent="0" shrinkToFit="false"/>
      <protection locked="true" hidden="false"/>
    </xf>
    <xf numFmtId="167" fontId="7" fillId="8"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CE4B6"/>
        </patternFill>
      </fill>
    </dxf>
    <dxf>
      <fill>
        <patternFill>
          <bgColor rgb="FFF2F2F2"/>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7E5109"/>
      <rgbColor rgb="FF800080"/>
      <rgbColor rgb="FF008080"/>
      <rgbColor rgb="FFBFBFBF"/>
      <rgbColor rgb="FF7F7F7F"/>
      <rgbColor rgb="FF9999FF"/>
      <rgbColor rgb="FF993366"/>
      <rgbColor rgb="FFFBEBD0"/>
      <rgbColor rgb="FFD4EFDF"/>
      <rgbColor rgb="FF660066"/>
      <rgbColor rgb="FFFF8080"/>
      <rgbColor rgb="FF1B4F72"/>
      <rgbColor rgb="FFD9D9D9"/>
      <rgbColor rgb="FF000080"/>
      <rgbColor rgb="FFFF00FF"/>
      <rgbColor rgb="FFFFFF00"/>
      <rgbColor rgb="FF00FFFF"/>
      <rgbColor rgb="FF800080"/>
      <rgbColor rgb="FF800000"/>
      <rgbColor rgb="FF008080"/>
      <rgbColor rgb="FF0000FF"/>
      <rgbColor rgb="FF00CCFF"/>
      <rgbColor rgb="FFD6EAF8"/>
      <rgbColor rgb="FFD5F5E3"/>
      <rgbColor rgb="FFFCE4B6"/>
      <rgbColor rgb="FFDCE6F1"/>
      <rgbColor rgb="FFF2F2F2"/>
      <rgbColor rgb="FFE8DAEF"/>
      <rgbColor rgb="FFF5D5D0"/>
      <rgbColor rgb="FF3366FF"/>
      <rgbColor rgb="FF33CCCC"/>
      <rgbColor rgb="FF99CC00"/>
      <rgbColor rgb="FFFFCC00"/>
      <rgbColor rgb="FFFF9900"/>
      <rgbColor rgb="FFFF6600"/>
      <rgbColor rgb="FF595959"/>
      <rgbColor rgb="FF969696"/>
      <rgbColor rgb="FF1F3864"/>
      <rgbColor rgb="FF339966"/>
      <rgbColor rgb="FF0B5345"/>
      <rgbColor rgb="FF145A32"/>
      <rgbColor rgb="FF7B241C"/>
      <rgbColor rgb="FF993366"/>
      <rgbColor rgb="FF4A235A"/>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4"/>
    <col collapsed="false" customWidth="true" hidden="false" outlineLevel="0" max="3" min="3" style="0" width="40"/>
    <col collapsed="false" customWidth="true" hidden="false" outlineLevel="0" max="4" min="4" style="0" width="26"/>
    <col collapsed="false" customWidth="true" hidden="false" outlineLevel="0" max="5" min="5" style="0" width="11"/>
    <col collapsed="false" customWidth="true" hidden="false" outlineLevel="0" max="8" min="6" style="0" width="14"/>
    <col collapsed="false" customWidth="true" hidden="false" outlineLevel="0" max="9" min="9" style="0" width="9"/>
    <col collapsed="false" customWidth="true" hidden="false" outlineLevel="0" max="10" min="10" style="0" width="12"/>
    <col collapsed="false" customWidth="true" hidden="false" outlineLevel="0" max="11" min="11" style="0" width="14"/>
    <col collapsed="false" customWidth="true" hidden="false" outlineLevel="0" max="12" min="12" style="0" width="15"/>
    <col collapsed="false" customWidth="true" hidden="false" outlineLevel="0" max="13" min="13" style="0" width="14"/>
  </cols>
  <sheetData>
    <row r="1" customFormat="false" ht="17.35" hidden="false" customHeight="false" outlineLevel="0" collapsed="false">
      <c r="A1" s="1" t="s">
        <v>0</v>
      </c>
    </row>
    <row r="2" customFormat="false" ht="15" hidden="false" customHeight="false" outlineLevel="0" collapsed="false">
      <c r="A2" s="2" t="s">
        <v>1</v>
      </c>
    </row>
    <row r="5" customFormat="false" ht="31.5" hidden="false" customHeight="true" outlineLevel="0" collapsed="false">
      <c r="A5" s="3" t="s">
        <v>2</v>
      </c>
      <c r="B5" s="3" t="s">
        <v>3</v>
      </c>
      <c r="C5" s="3" t="s">
        <v>4</v>
      </c>
      <c r="D5" s="3" t="s">
        <v>5</v>
      </c>
      <c r="E5" s="3" t="s">
        <v>6</v>
      </c>
      <c r="F5" s="3" t="s">
        <v>7</v>
      </c>
      <c r="G5" s="3" t="s">
        <v>8</v>
      </c>
      <c r="H5" s="3" t="s">
        <v>9</v>
      </c>
      <c r="I5" s="3" t="s">
        <v>10</v>
      </c>
      <c r="J5" s="3" t="s">
        <v>11</v>
      </c>
      <c r="K5" s="3" t="s">
        <v>12</v>
      </c>
      <c r="L5" s="3" t="s">
        <v>13</v>
      </c>
      <c r="M5" s="3" t="s">
        <v>14</v>
      </c>
    </row>
    <row r="6" customFormat="false" ht="15" hidden="false" customHeight="false" outlineLevel="0" collapsed="false">
      <c r="A6" s="4" t="s">
        <v>15</v>
      </c>
      <c r="B6" s="5" t="s">
        <v>16</v>
      </c>
      <c r="C6" s="5" t="s">
        <v>17</v>
      </c>
      <c r="D6" s="5" t="s">
        <v>18</v>
      </c>
      <c r="E6" s="6" t="n">
        <f aca="false">COUNTIFS(Gautam!$D$7:$D$300,"&gt;0",Gautam!$B$7:$B$300,"&lt;&gt;Cash*")</f>
        <v>31</v>
      </c>
      <c r="F6" s="7" t="n">
        <f aca="false">Gautam!E6</f>
        <v>5501448</v>
      </c>
      <c r="G6" s="7" t="n">
        <f aca="false">Gautam!H6</f>
        <v>5225157.3</v>
      </c>
      <c r="H6" s="8" t="n">
        <f aca="false">G6-F6</f>
        <v>-276290.7</v>
      </c>
      <c r="I6" s="9" t="n">
        <f aca="false">IF(F6&gt;0,H6/F6,"")</f>
        <v>-0.050221450788956</v>
      </c>
      <c r="J6" s="9" t="n">
        <f aca="false">IF($G$12=0,"",G6/$G$12)</f>
        <v>0.138480020081121</v>
      </c>
      <c r="K6" s="10" t="n">
        <v>5501448.5</v>
      </c>
      <c r="L6" s="10" t="n">
        <v>5224564</v>
      </c>
      <c r="M6" s="8" t="n">
        <f aca="false">G6-L6</f>
        <v>593.299999999814</v>
      </c>
    </row>
    <row r="7" customFormat="false" ht="15" hidden="false" customHeight="false" outlineLevel="0" collapsed="false">
      <c r="A7" s="11" t="s">
        <v>19</v>
      </c>
      <c r="B7" s="5" t="s">
        <v>20</v>
      </c>
      <c r="C7" s="5" t="s">
        <v>21</v>
      </c>
      <c r="D7" s="5" t="s">
        <v>22</v>
      </c>
      <c r="E7" s="6" t="n">
        <f aca="false">COUNTIFS('Manish Shilpa'!$D$7:$D$300,"&gt;0",'Manish Shilpa'!$B$7:$B$300,"&lt;&gt;Cash*")</f>
        <v>47</v>
      </c>
      <c r="F7" s="7" t="n">
        <f aca="false">'Manish Shilpa'!E6</f>
        <v>9857778</v>
      </c>
      <c r="G7" s="7" t="n">
        <f aca="false">'Manish Shilpa'!H6</f>
        <v>11825894.92</v>
      </c>
      <c r="H7" s="8" t="n">
        <f aca="false">G7-F7</f>
        <v>1968116.92</v>
      </c>
      <c r="I7" s="9" t="n">
        <f aca="false">IF(F7&gt;0,H7/F7,"")</f>
        <v>0.199651170882525</v>
      </c>
      <c r="J7" s="9" t="n">
        <f aca="false">IF($G$12=0,"",G7/$G$12)</f>
        <v>0.313416433606472</v>
      </c>
      <c r="K7" s="10" t="n">
        <v>9857779</v>
      </c>
      <c r="L7" s="10" t="n">
        <v>11636410.18</v>
      </c>
      <c r="M7" s="8" t="n">
        <f aca="false">G7-L7</f>
        <v>189484.74</v>
      </c>
    </row>
    <row r="8" customFormat="false" ht="15" hidden="false" customHeight="false" outlineLevel="0" collapsed="false">
      <c r="A8" s="12" t="s">
        <v>23</v>
      </c>
      <c r="B8" s="5" t="s">
        <v>24</v>
      </c>
      <c r="C8" s="5" t="s">
        <v>25</v>
      </c>
      <c r="D8" s="5" t="s">
        <v>26</v>
      </c>
      <c r="E8" s="6" t="n">
        <f aca="false">COUNTIFS('Saloni Mehra'!$D$7:$D$300,"&gt;0",'Saloni Mehra'!$B$7:$B$300,"&lt;&gt;Cash*")</f>
        <v>25</v>
      </c>
      <c r="F8" s="7" t="n">
        <f aca="false">'Saloni Mehra'!E6</f>
        <v>11014028</v>
      </c>
      <c r="G8" s="7" t="n">
        <f aca="false">'Saloni Mehra'!H6</f>
        <v>11167525.65</v>
      </c>
      <c r="H8" s="8" t="n">
        <f aca="false">G8-F8</f>
        <v>153497.65</v>
      </c>
      <c r="I8" s="9" t="n">
        <f aca="false">IF(F8&gt;0,H8/F8,"")</f>
        <v>0.0139365589046987</v>
      </c>
      <c r="J8" s="9" t="n">
        <f aca="false">IF($G$12=0,"",G8/$G$12)</f>
        <v>0.295967965647356</v>
      </c>
      <c r="K8" s="10" t="n">
        <v>11014028</v>
      </c>
      <c r="L8" s="10" t="n">
        <v>3325492</v>
      </c>
      <c r="M8" s="8" t="n">
        <f aca="false">G8-L8</f>
        <v>7842033.65</v>
      </c>
    </row>
    <row r="9" customFormat="false" ht="15" hidden="false" customHeight="false" outlineLevel="0" collapsed="false">
      <c r="A9" s="13" t="s">
        <v>27</v>
      </c>
      <c r="B9" s="5" t="s">
        <v>28</v>
      </c>
      <c r="C9" s="5" t="s">
        <v>29</v>
      </c>
      <c r="D9" s="5" t="s">
        <v>30</v>
      </c>
      <c r="E9" s="6" t="n">
        <f aca="false">COUNTIFS('Vidushi Malhotra'!$D$7:$D$300,"&gt;0",'Vidushi Malhotra'!$B$7:$B$300,"&lt;&gt;Cash*")</f>
        <v>12</v>
      </c>
      <c r="F9" s="7" t="n">
        <f aca="false">'Vidushi Malhotra'!E6</f>
        <v>201361</v>
      </c>
      <c r="G9" s="7" t="n">
        <f aca="false">'Vidushi Malhotra'!H6</f>
        <v>226299.362921147</v>
      </c>
      <c r="H9" s="8" t="n">
        <f aca="false">G9-F9</f>
        <v>24938.362921147</v>
      </c>
      <c r="I9" s="9" t="n">
        <f aca="false">IF(F9&gt;0,H9/F9,"")</f>
        <v>0.12384902201095</v>
      </c>
      <c r="J9" s="9" t="n">
        <f aca="false">IF($G$12=0,"",G9/$G$12)</f>
        <v>0.00599751137093332</v>
      </c>
      <c r="K9" s="10" t="n">
        <v>201361</v>
      </c>
      <c r="L9" s="10" t="n">
        <v>230319</v>
      </c>
      <c r="M9" s="8" t="n">
        <f aca="false">G9-L9</f>
        <v>-4019.63707885303</v>
      </c>
    </row>
    <row r="10" customFormat="false" ht="15" hidden="false" customHeight="false" outlineLevel="0" collapsed="false">
      <c r="A10" s="14" t="s">
        <v>31</v>
      </c>
      <c r="B10" s="5" t="s">
        <v>32</v>
      </c>
      <c r="C10" s="5" t="s">
        <v>33</v>
      </c>
      <c r="D10" s="5" t="s">
        <v>34</v>
      </c>
      <c r="E10" s="6" t="n">
        <f aca="false">COUNTIFS('Dr Umesh Choudhry'!$D$7:$D$300,"&gt;0",'Dr Umesh Choudhry'!$B$7:$B$300,"&lt;&gt;Cash*")</f>
        <v>20</v>
      </c>
      <c r="F10" s="7" t="n">
        <f aca="false">'Dr Umesh Choudhry'!E6</f>
        <v>5222229</v>
      </c>
      <c r="G10" s="7" t="n">
        <f aca="false">'Dr Umesh Choudhry'!H6</f>
        <v>5421322.76</v>
      </c>
      <c r="H10" s="8" t="n">
        <f aca="false">G10-F10</f>
        <v>199093.760000001</v>
      </c>
      <c r="I10" s="9" t="n">
        <f aca="false">IF(F10&gt;0,H10/F10,"")</f>
        <v>0.0381242875408184</v>
      </c>
      <c r="J10" s="9" t="n">
        <f aca="false">IF($G$12=0,"",G10/$G$12)</f>
        <v>0.143678906024712</v>
      </c>
      <c r="K10" s="10" t="n">
        <v>5222229.03</v>
      </c>
      <c r="L10" s="10" t="n">
        <v>5467267.23</v>
      </c>
      <c r="M10" s="8" t="n">
        <f aca="false">G10-L10</f>
        <v>-45944.4699999997</v>
      </c>
    </row>
    <row r="11" customFormat="false" ht="15" hidden="false" customHeight="false" outlineLevel="0" collapsed="false">
      <c r="A11" s="15" t="s">
        <v>35</v>
      </c>
      <c r="B11" s="5" t="s">
        <v>36</v>
      </c>
      <c r="C11" s="5" t="s">
        <v>37</v>
      </c>
      <c r="D11" s="5" t="s">
        <v>38</v>
      </c>
      <c r="E11" s="6" t="n">
        <f aca="false">COUNTIFS(DA!$D$7:$D$300,"&gt;0",DA!$B$7:$B$300,"&lt;&gt;Cash*")</f>
        <v>53</v>
      </c>
      <c r="F11" s="7" t="n">
        <f aca="false">DA!E6</f>
        <v>4364996</v>
      </c>
      <c r="G11" s="7" t="n">
        <f aca="false">DA!H6</f>
        <v>3866010.74</v>
      </c>
      <c r="H11" s="8" t="n">
        <f aca="false">G11-F11</f>
        <v>-498985.26</v>
      </c>
      <c r="I11" s="9" t="n">
        <f aca="false">IF(F11&gt;0,H11/F11,"")</f>
        <v>-0.114315170048266</v>
      </c>
      <c r="J11" s="9" t="n">
        <f aca="false">IF($G$12=0,"",G11/$G$12)</f>
        <v>0.102459163269406</v>
      </c>
      <c r="K11" s="10" t="n">
        <v>4364995</v>
      </c>
      <c r="L11" s="10" t="n">
        <v>4141021</v>
      </c>
      <c r="M11" s="8" t="n">
        <f aca="false">G11-L11</f>
        <v>-275010.26</v>
      </c>
    </row>
    <row r="12" customFormat="false" ht="15" hidden="false" customHeight="false" outlineLevel="0" collapsed="false">
      <c r="A12" s="16" t="s">
        <v>39</v>
      </c>
      <c r="B12" s="16" t="s">
        <v>40</v>
      </c>
      <c r="C12" s="16"/>
      <c r="D12" s="16"/>
      <c r="E12" s="17" t="n">
        <f aca="false">'Side by Side'!E6</f>
        <v>88</v>
      </c>
      <c r="F12" s="18" t="n">
        <f aca="false">SUM(F6:F11)</f>
        <v>36161840</v>
      </c>
      <c r="G12" s="18" t="n">
        <f aca="false">SUM(G6:G11)</f>
        <v>37732210.7329212</v>
      </c>
      <c r="H12" s="18" t="n">
        <f aca="false">SUM(H6:H11)</f>
        <v>1570370.73292115</v>
      </c>
      <c r="I12" s="19" t="n">
        <f aca="false">IF(F12&gt;0,H12/F12,"")</f>
        <v>0.0434261844231695</v>
      </c>
      <c r="J12" s="19" t="n">
        <f aca="false">SUM(J6:J11)</f>
        <v>1</v>
      </c>
      <c r="K12" s="18" t="n">
        <f aca="false">SUM(K6:K11)</f>
        <v>36161840.53</v>
      </c>
      <c r="L12" s="18" t="n">
        <f aca="false">SUM(L6:L11)</f>
        <v>30025073.41</v>
      </c>
      <c r="M12" s="18" t="n">
        <f aca="false">SUM(M6:M11)</f>
        <v>7707137.32292115</v>
      </c>
    </row>
    <row r="13" customFormat="false" ht="15" hidden="false" customHeight="false" outlineLevel="0" collapsed="false">
      <c r="L13" s="20" t="s">
        <v>41</v>
      </c>
    </row>
    <row r="15" customFormat="false" ht="15" hidden="false" customHeight="false" outlineLevel="0" collapsed="false">
      <c r="A15" s="21" t="s">
        <v>42</v>
      </c>
    </row>
    <row r="16" customFormat="false" ht="30" hidden="false" customHeight="true" outlineLevel="0" collapsed="false">
      <c r="A16" s="22" t="s">
        <v>43</v>
      </c>
      <c r="B16" s="22" t="s">
        <v>44</v>
      </c>
      <c r="C16" s="22" t="s">
        <v>45</v>
      </c>
      <c r="D16" s="22" t="s">
        <v>46</v>
      </c>
      <c r="E16" s="3" t="s">
        <v>15</v>
      </c>
      <c r="F16" s="23" t="s">
        <v>19</v>
      </c>
      <c r="G16" s="24" t="s">
        <v>23</v>
      </c>
      <c r="H16" s="25" t="s">
        <v>27</v>
      </c>
      <c r="I16" s="26" t="s">
        <v>31</v>
      </c>
      <c r="J16" s="27" t="s">
        <v>35</v>
      </c>
      <c r="K16" s="3" t="s">
        <v>47</v>
      </c>
    </row>
    <row r="17" customFormat="false" ht="15" hidden="false" customHeight="false" outlineLevel="0" collapsed="false">
      <c r="A17" s="6" t="n">
        <v>1</v>
      </c>
      <c r="B17" s="28" t="str">
        <f aca="false">INDEX('Side by Side'!$B$7:$B$95,MATCH(C17,'Side by Side'!$I$7:$I$95,0))</f>
        <v>Bajaj Finance Ltd</v>
      </c>
      <c r="C17" s="7" t="n">
        <f aca="false">LARGE('Side by Side'!$I$7:$I$95,A17)</f>
        <v>13148889.7</v>
      </c>
      <c r="D17" s="29" t="n">
        <f aca="false">INDEX('Side by Side'!$L$7:$L$95,MATCH(C17,'Side by Side'!$I$7:$I$95,0))</f>
        <v>0.34847917587102</v>
      </c>
      <c r="E17" s="29" t="n">
        <f aca="false">INDEX('Side by Side'!$S$7:$S$95,MATCH(C17,'Side by Side'!$I$7:$I$95,0))</f>
        <v>0.342751805768603</v>
      </c>
      <c r="F17" s="29" t="n">
        <f aca="false">INDEX('Side by Side'!$Z$7:$Z$95,MATCH(C17,'Side by Side'!$I$7:$I$95,0))</f>
        <v>0.310291908123939</v>
      </c>
      <c r="G17" s="29" t="n">
        <f aca="false">INDEX('Side by Side'!$AG$7:$AG$95,MATCH(C17,'Side by Side'!$I$7:$I$95,0))</f>
        <v>0.397591860467318</v>
      </c>
      <c r="H17" s="29" t="n">
        <f aca="false">INDEX('Side by Side'!$AN$7:$AN$95,MATCH(C17,'Side by Side'!$I$7:$I$95,0))</f>
        <v>0.503731422521595</v>
      </c>
      <c r="I17" s="29" t="n">
        <f aca="false">INDEX('Side by Side'!$AU$7:$AU$95,MATCH(C17,'Side by Side'!$I$7:$I$95,0))</f>
        <v>0.41914958776592</v>
      </c>
      <c r="J17" s="29" t="n">
        <f aca="false">INDEX('Side by Side'!$BB$7:$BB$95,MATCH(C17,'Side by Side'!$I$7:$I$95,0))</f>
        <v>0.222974419362322</v>
      </c>
      <c r="K17" s="30" t="n">
        <f aca="false">INDEX('Side by Side'!$E$7:$E$95,MATCH(C17,'Side by Side'!$I$7:$I$95,0))</f>
        <v>6</v>
      </c>
    </row>
    <row r="18" customFormat="false" ht="15" hidden="false" customHeight="false" outlineLevel="0" collapsed="false">
      <c r="A18" s="6" t="n">
        <v>2</v>
      </c>
      <c r="B18" s="28" t="str">
        <f aca="false">INDEX('Side by Side'!$B$7:$B$95,MATCH(C18,'Side by Side'!$I$7:$I$95,0))</f>
        <v>Titan Company Ltd</v>
      </c>
      <c r="C18" s="7" t="n">
        <f aca="false">LARGE('Side by Side'!$I$7:$I$95,A18)</f>
        <v>3027600</v>
      </c>
      <c r="D18" s="29" t="n">
        <f aca="false">INDEX('Side by Side'!$L$7:$L$95,MATCH(C18,'Side by Side'!$I$7:$I$95,0))</f>
        <v>0.0802391363026719</v>
      </c>
      <c r="E18" s="29" t="n">
        <f aca="false">INDEX('Side by Side'!$S$7:$S$95,MATCH(C18,'Side by Side'!$I$7:$I$95,0))</f>
        <v>0.0391280086438737</v>
      </c>
      <c r="F18" s="29" t="n">
        <f aca="false">INDEX('Side by Side'!$Z$7:$Z$95,MATCH(C18,'Side by Side'!$I$7:$I$95,0))</f>
        <v>0.0606930811456931</v>
      </c>
      <c r="G18" s="29" t="n">
        <f aca="false">INDEX('Side by Side'!$AG$7:$AG$95,MATCH(C18,'Side by Side'!$I$7:$I$95,0))</f>
        <v>0.095043435158799</v>
      </c>
      <c r="H18" s="29" t="n">
        <f aca="false">INDEX('Side by Side'!$AN$7:$AN$95,MATCH(C18,'Side by Side'!$I$7:$I$95,0))</f>
        <v>0.173000928922817</v>
      </c>
      <c r="I18" s="29" t="n">
        <f aca="false">INDEX('Side by Side'!$AU$7:$AU$95,MATCH(C18,'Side by Side'!$I$7:$I$95,0))</f>
        <v>0.138010598727016</v>
      </c>
      <c r="J18" s="29" t="n">
        <f aca="false">INDEX('Side by Side'!$BB$7:$BB$95,MATCH(C18,'Side by Side'!$I$7:$I$95,0))</f>
        <v>0.0663862615135932</v>
      </c>
      <c r="K18" s="30" t="n">
        <f aca="false">INDEX('Side by Side'!$E$7:$E$95,MATCH(C18,'Side by Side'!$I$7:$I$95,0))</f>
        <v>6</v>
      </c>
    </row>
    <row r="19" customFormat="false" ht="15" hidden="false" customHeight="false" outlineLevel="0" collapsed="false">
      <c r="A19" s="6" t="n">
        <v>3</v>
      </c>
      <c r="B19" s="28" t="str">
        <f aca="false">INDEX('Side by Side'!$B$7:$B$95,MATCH(C19,'Side by Side'!$I$7:$I$95,0))</f>
        <v>Nippon India ETF Nifty 50 BeES</v>
      </c>
      <c r="C19" s="7" t="n">
        <f aca="false">LARGE('Side by Side'!$I$7:$I$95,A19)</f>
        <v>2864949.69292115</v>
      </c>
      <c r="D19" s="29" t="n">
        <f aca="false">INDEX('Side by Side'!$L$7:$L$95,MATCH(C19,'Side by Side'!$I$7:$I$95,0))</f>
        <v>0.0759284875513932</v>
      </c>
      <c r="E19" s="29" t="n">
        <f aca="false">INDEX('Side by Side'!$S$7:$S$95,MATCH(C19,'Side by Side'!$I$7:$I$95,0))</f>
        <v>0</v>
      </c>
      <c r="F19" s="29" t="n">
        <f aca="false">INDEX('Side by Side'!$Z$7:$Z$95,MATCH(C19,'Side by Side'!$I$7:$I$95,0))</f>
        <v>0.2422390034225</v>
      </c>
      <c r="G19" s="29" t="n">
        <f aca="false">INDEX('Side by Side'!$AG$7:$AG$95,MATCH(C19,'Side by Side'!$I$7:$I$95,0))</f>
        <v>0</v>
      </c>
      <c r="H19" s="29" t="n">
        <f aca="false">INDEX('Side by Side'!$AN$7:$AN$95,MATCH(C19,'Side by Side'!$I$7:$I$95,0))</f>
        <v>0.00113430686606218</v>
      </c>
      <c r="I19" s="29" t="n">
        <f aca="false">INDEX('Side by Side'!$AU$7:$AU$95,MATCH(C19,'Side by Side'!$I$7:$I$95,0))</f>
        <v>0</v>
      </c>
      <c r="J19" s="29" t="n">
        <f aca="false">INDEX('Side by Side'!$BB$7:$BB$95,MATCH(C19,'Side by Side'!$I$7:$I$95,0))</f>
        <v>0</v>
      </c>
      <c r="K19" s="30" t="n">
        <f aca="false">INDEX('Side by Side'!$E$7:$E$95,MATCH(C19,'Side by Side'!$I$7:$I$95,0))</f>
        <v>2</v>
      </c>
    </row>
    <row r="20" customFormat="false" ht="15" hidden="false" customHeight="false" outlineLevel="0" collapsed="false">
      <c r="A20" s="6" t="n">
        <v>4</v>
      </c>
      <c r="B20" s="28" t="str">
        <f aca="false">INDEX('Side by Side'!$B$7:$B$95,MATCH(C20,'Side by Side'!$I$7:$I$95,0))</f>
        <v>HDFC Bank Ltd</v>
      </c>
      <c r="C20" s="7" t="n">
        <f aca="false">LARGE('Side by Side'!$I$7:$I$95,A20)</f>
        <v>2484699</v>
      </c>
      <c r="D20" s="29" t="n">
        <f aca="false">INDEX('Side by Side'!$L$7:$L$95,MATCH(C20,'Side by Side'!$I$7:$I$95,0))</f>
        <v>0.0658508725499117</v>
      </c>
      <c r="E20" s="29" t="n">
        <f aca="false">INDEX('Side by Side'!$S$7:$S$95,MATCH(C20,'Side by Side'!$I$7:$I$95,0))</f>
        <v>0.0593743560600558</v>
      </c>
      <c r="F20" s="29" t="n">
        <f aca="false">INDEX('Side by Side'!$Z$7:$Z$95,MATCH(C20,'Side by Side'!$I$7:$I$95,0))</f>
        <v>0.0594519615433891</v>
      </c>
      <c r="G20" s="29" t="n">
        <f aca="false">INDEX('Side by Side'!$AG$7:$AG$95,MATCH(C20,'Side by Side'!$I$7:$I$95,0))</f>
        <v>0.0676802072086577</v>
      </c>
      <c r="H20" s="29" t="n">
        <f aca="false">INDEX('Side by Side'!$AN$7:$AN$95,MATCH(C20,'Side by Side'!$I$7:$I$95,0))</f>
        <v>0.0644060584698977</v>
      </c>
      <c r="I20" s="29" t="n">
        <f aca="false">INDEX('Side by Side'!$AU$7:$AU$95,MATCH(C20,'Side by Side'!$I$7:$I$95,0))</f>
        <v>0.086158981982471</v>
      </c>
      <c r="J20" s="29" t="n">
        <f aca="false">INDEX('Side by Side'!$BB$7:$BB$95,MATCH(C20,'Side by Side'!$I$7:$I$95,0))</f>
        <v>0.0605003104569751</v>
      </c>
      <c r="K20" s="30" t="n">
        <f aca="false">INDEX('Side by Side'!$E$7:$E$95,MATCH(C20,'Side by Side'!$I$7:$I$95,0))</f>
        <v>6</v>
      </c>
    </row>
    <row r="21" customFormat="false" ht="15" hidden="false" customHeight="false" outlineLevel="0" collapsed="false">
      <c r="A21" s="6" t="n">
        <v>5</v>
      </c>
      <c r="B21" s="28" t="str">
        <f aca="false">INDEX('Side by Side'!$B$7:$B$95,MATCH(C21,'Side by Side'!$I$7:$I$95,0))</f>
        <v>Poonawalla Fincorp Ltd</v>
      </c>
      <c r="C21" s="7" t="n">
        <f aca="false">LARGE('Side by Side'!$I$7:$I$95,A21)</f>
        <v>2331770.4</v>
      </c>
      <c r="D21" s="29" t="n">
        <f aca="false">INDEX('Side by Side'!$L$7:$L$95,MATCH(C21,'Side by Side'!$I$7:$I$95,0))</f>
        <v>0.0617978738777037</v>
      </c>
      <c r="E21" s="29" t="n">
        <f aca="false">INDEX('Side by Side'!$S$7:$S$95,MATCH(C21,'Side by Side'!$I$7:$I$95,0))</f>
        <v>0.0936877823754703</v>
      </c>
      <c r="F21" s="29" t="n">
        <f aca="false">INDEX('Side by Side'!$Z$7:$Z$95,MATCH(C21,'Side by Side'!$I$7:$I$95,0))</f>
        <v>0.0509758715156924</v>
      </c>
      <c r="G21" s="29" t="n">
        <f aca="false">INDEX('Side by Side'!$AG$7:$AG$95,MATCH(C21,'Side by Side'!$I$7:$I$95,0))</f>
        <v>0.0490631646769488</v>
      </c>
      <c r="H21" s="29" t="n">
        <f aca="false">INDEX('Side by Side'!$AN$7:$AN$95,MATCH(C21,'Side by Side'!$I$7:$I$95,0))</f>
        <v>0.0726166427862461</v>
      </c>
      <c r="I21" s="29" t="n">
        <f aca="false">INDEX('Side by Side'!$AU$7:$AU$95,MATCH(C21,'Side by Side'!$I$7:$I$95,0))</f>
        <v>0.0613418652092944</v>
      </c>
      <c r="J21" s="29" t="n">
        <f aca="false">INDEX('Side by Side'!$BB$7:$BB$95,MATCH(C21,'Side by Side'!$I$7:$I$95,0))</f>
        <v>0.0885927181878445</v>
      </c>
      <c r="K21" s="30" t="n">
        <f aca="false">INDEX('Side by Side'!$E$7:$E$95,MATCH(C21,'Side by Side'!$I$7:$I$95,0))</f>
        <v>6</v>
      </c>
    </row>
    <row r="22" customFormat="false" ht="15" hidden="false" customHeight="false" outlineLevel="0" collapsed="false">
      <c r="A22" s="6" t="n">
        <v>6</v>
      </c>
      <c r="B22" s="28" t="str">
        <f aca="false">INDEX('Side by Side'!$B$7:$B$95,MATCH(C22,'Side by Side'!$I$7:$I$95,0))</f>
        <v>AFCOM Holdings Ltd</v>
      </c>
      <c r="C22" s="7" t="n">
        <f aca="false">LARGE('Side by Side'!$I$7:$I$95,A22)</f>
        <v>1645740</v>
      </c>
      <c r="D22" s="29" t="n">
        <f aca="false">INDEX('Side by Side'!$L$7:$L$95,MATCH(C22,'Side by Side'!$I$7:$I$95,0))</f>
        <v>0.0436163152922312</v>
      </c>
      <c r="E22" s="29" t="n">
        <f aca="false">INDEX('Side by Side'!$S$7:$S$95,MATCH(C22,'Side by Side'!$I$7:$I$95,0))</f>
        <v>0.0314964680584831</v>
      </c>
      <c r="F22" s="29" t="n">
        <f aca="false">INDEX('Side by Side'!$Z$7:$Z$95,MATCH(C22,'Side by Side'!$I$7:$I$95,0))</f>
        <v>0.0417492294105383</v>
      </c>
      <c r="G22" s="29" t="n">
        <f aca="false">INDEX('Side by Side'!$AG$7:$AG$95,MATCH(C22,'Side by Side'!$I$7:$I$95,0))</f>
        <v>0.0442105096037993</v>
      </c>
      <c r="H22" s="29" t="n">
        <f aca="false">INDEX('Side by Side'!$AN$7:$AN$95,MATCH(C22,'Side by Side'!$I$7:$I$95,0))</f>
        <v>0</v>
      </c>
      <c r="I22" s="29" t="n">
        <f aca="false">INDEX('Side by Side'!$AU$7:$AU$95,MATCH(C22,'Side by Side'!$I$7:$I$95,0))</f>
        <v>0.0607135960302057</v>
      </c>
      <c r="J22" s="29" t="n">
        <f aca="false">INDEX('Side by Side'!$BB$7:$BB$95,MATCH(C22,'Side by Side'!$I$7:$I$95,0))</f>
        <v>0.0425694627014927</v>
      </c>
      <c r="K22" s="30" t="n">
        <f aca="false">INDEX('Side by Side'!$E$7:$E$95,MATCH(C22,'Side by Side'!$I$7:$I$95,0))</f>
        <v>5</v>
      </c>
    </row>
    <row r="23" customFormat="false" ht="15" hidden="false" customHeight="false" outlineLevel="0" collapsed="false">
      <c r="A23" s="6" t="n">
        <v>7</v>
      </c>
      <c r="B23" s="28" t="str">
        <f aca="false">INDEX('Side by Side'!$B$7:$B$95,MATCH(C23,'Side by Side'!$I$7:$I$95,0))</f>
        <v>Tata Consultancy Services Ltd</v>
      </c>
      <c r="C23" s="7" t="n">
        <f aca="false">LARGE('Side by Side'!$I$7:$I$95,A23)</f>
        <v>1173229.2</v>
      </c>
      <c r="D23" s="29" t="n">
        <f aca="false">INDEX('Side by Side'!$L$7:$L$95,MATCH(C23,'Side by Side'!$I$7:$I$95,0))</f>
        <v>0.0310935717046752</v>
      </c>
      <c r="E23" s="29" t="n">
        <f aca="false">INDEX('Side by Side'!$S$7:$S$95,MATCH(C23,'Side by Side'!$I$7:$I$95,0))</f>
        <v>0.0441393027536224</v>
      </c>
      <c r="F23" s="29" t="n">
        <f aca="false">INDEX('Side by Side'!$Z$7:$Z$95,MATCH(C23,'Side by Side'!$I$7:$I$95,0))</f>
        <v>0.00614753475249043</v>
      </c>
      <c r="G23" s="29" t="n">
        <f aca="false">INDEX('Side by Side'!$AG$7:$AG$95,MATCH(C23,'Side by Side'!$I$7:$I$95,0))</f>
        <v>0.0684667780458601</v>
      </c>
      <c r="H23" s="29" t="n">
        <f aca="false">INDEX('Side by Side'!$AN$7:$AN$95,MATCH(C23,'Side by Side'!$I$7:$I$95,0))</f>
        <v>0</v>
      </c>
      <c r="I23" s="29" t="n">
        <f aca="false">INDEX('Side by Side'!$AU$7:$AU$95,MATCH(C23,'Side by Side'!$I$7:$I$95,0))</f>
        <v>0.0134100298429751</v>
      </c>
      <c r="J23" s="29" t="n">
        <f aca="false">INDEX('Side by Side'!$BB$7:$BB$95,MATCH(C23,'Side by Side'!$I$7:$I$95,0))</f>
        <v>0.00842980068906896</v>
      </c>
      <c r="K23" s="30" t="n">
        <f aca="false">INDEX('Side by Side'!$E$7:$E$95,MATCH(C23,'Side by Side'!$I$7:$I$95,0))</f>
        <v>5</v>
      </c>
    </row>
    <row r="24" customFormat="false" ht="15" hidden="false" customHeight="false" outlineLevel="0" collapsed="false">
      <c r="A24" s="6" t="n">
        <v>8</v>
      </c>
      <c r="B24" s="28" t="str">
        <f aca="false">INDEX('Side by Side'!$B$7:$B$95,MATCH(C24,'Side by Side'!$I$7:$I$95,0))</f>
        <v>LTM Ltd (formerly LTIMindtree)</v>
      </c>
      <c r="C24" s="7" t="n">
        <f aca="false">LARGE('Side by Side'!$I$7:$I$95,A24)</f>
        <v>1081322</v>
      </c>
      <c r="D24" s="29" t="n">
        <f aca="false">INDEX('Side by Side'!$L$7:$L$95,MATCH(C24,'Side by Side'!$I$7:$I$95,0))</f>
        <v>0.0286577960579594</v>
      </c>
      <c r="E24" s="29" t="n">
        <f aca="false">INDEX('Side by Side'!$S$7:$S$95,MATCH(C24,'Side by Side'!$I$7:$I$95,0))</f>
        <v>0.0490779483327708</v>
      </c>
      <c r="F24" s="29" t="n">
        <f aca="false">INDEX('Side by Side'!$Z$7:$Z$95,MATCH(C24,'Side by Side'!$I$7:$I$95,0))</f>
        <v>0.0238530785118798</v>
      </c>
      <c r="G24" s="29" t="n">
        <f aca="false">INDEX('Side by Side'!$AG$7:$AG$95,MATCH(C24,'Side by Side'!$I$7:$I$95,0))</f>
        <v>0.0317654967732266</v>
      </c>
      <c r="H24" s="29" t="n">
        <f aca="false">INDEX('Side by Side'!$AN$7:$AN$95,MATCH(C24,'Side by Side'!$I$7:$I$95,0))</f>
        <v>0.0377729742128285</v>
      </c>
      <c r="I24" s="29" t="n">
        <f aca="false">INDEX('Side by Side'!$AU$7:$AU$95,MATCH(C24,'Side by Side'!$I$7:$I$95,0))</f>
        <v>0.0291696338699451</v>
      </c>
      <c r="J24" s="29" t="n">
        <f aca="false">INDEX('Side by Side'!$BB$7:$BB$95,MATCH(C24,'Side by Side'!$I$7:$I$95,0))</f>
        <v>0.0055276618295168</v>
      </c>
      <c r="K24" s="30" t="n">
        <f aca="false">INDEX('Side by Side'!$E$7:$E$95,MATCH(C24,'Side by Side'!$I$7:$I$95,0))</f>
        <v>6</v>
      </c>
    </row>
    <row r="25" customFormat="false" ht="15" hidden="false" customHeight="false" outlineLevel="0" collapsed="false">
      <c r="A25" s="6" t="n">
        <v>9</v>
      </c>
      <c r="B25" s="28" t="str">
        <f aca="false">INDEX('Side by Side'!$B$7:$B$95,MATCH(C25,'Side by Side'!$I$7:$I$95,0))</f>
        <v>Bajaj Housing Finance Ltd</v>
      </c>
      <c r="C25" s="7" t="n">
        <f aca="false">LARGE('Side by Side'!$I$7:$I$95,A25)</f>
        <v>1075378.46</v>
      </c>
      <c r="D25" s="29" t="n">
        <f aca="false">INDEX('Side by Side'!$L$7:$L$95,MATCH(C25,'Side by Side'!$I$7:$I$95,0))</f>
        <v>0.0285002770606743</v>
      </c>
      <c r="E25" s="29" t="n">
        <f aca="false">INDEX('Side by Side'!$S$7:$S$95,MATCH(C25,'Side by Side'!$I$7:$I$95,0))</f>
        <v>0.0248092052654568</v>
      </c>
      <c r="F25" s="29" t="n">
        <f aca="false">INDEX('Side by Side'!$Z$7:$Z$95,MATCH(C25,'Side by Side'!$I$7:$I$95,0))</f>
        <v>0.0257737145528433</v>
      </c>
      <c r="G25" s="29" t="n">
        <f aca="false">INDEX('Side by Side'!$AG$7:$AG$95,MATCH(C25,'Side by Side'!$I$7:$I$95,0))</f>
        <v>0.0280041622290789</v>
      </c>
      <c r="H25" s="29" t="n">
        <f aca="false">INDEX('Side by Side'!$AN$7:$AN$95,MATCH(C25,'Side by Side'!$I$7:$I$95,0))</f>
        <v>0.043320581522874</v>
      </c>
      <c r="I25" s="29" t="n">
        <f aca="false">INDEX('Side by Side'!$AU$7:$AU$95,MATCH(C25,'Side by Side'!$I$7:$I$95,0))</f>
        <v>0.0328484334697682</v>
      </c>
      <c r="J25" s="29" t="n">
        <f aca="false">INDEX('Side by Side'!$BB$7:$BB$95,MATCH(C25,'Side by Side'!$I$7:$I$95,0))</f>
        <v>0.0362975297890662</v>
      </c>
      <c r="K25" s="30" t="n">
        <f aca="false">INDEX('Side by Side'!$E$7:$E$95,MATCH(C25,'Side by Side'!$I$7:$I$95,0))</f>
        <v>6</v>
      </c>
    </row>
    <row r="26" customFormat="false" ht="15" hidden="false" customHeight="false" outlineLevel="0" collapsed="false">
      <c r="A26" s="6" t="n">
        <v>10</v>
      </c>
      <c r="B26" s="28" t="str">
        <f aca="false">INDEX('Side by Side'!$B$7:$B$95,MATCH(C26,'Side by Side'!$I$7:$I$95,0))</f>
        <v>Connplex Cinemas Ltd</v>
      </c>
      <c r="C26" s="7" t="n">
        <f aca="false">LARGE('Side by Side'!$I$7:$I$95,A26)</f>
        <v>937000</v>
      </c>
      <c r="D26" s="29" t="n">
        <f aca="false">INDEX('Side by Side'!$L$7:$L$95,MATCH(C26,'Side by Side'!$I$7:$I$95,0))</f>
        <v>0.024832894277845</v>
      </c>
      <c r="E26" s="29" t="n">
        <f aca="false">INDEX('Side by Side'!$S$7:$S$95,MATCH(C26,'Side by Side'!$I$7:$I$95,0))</f>
        <v>0.0358649489844067</v>
      </c>
      <c r="F26" s="29" t="n">
        <f aca="false">INDEX('Side by Side'!$Z$7:$Z$95,MATCH(C26,'Side by Side'!$I$7:$I$95,0))</f>
        <v>0.0158465808522506</v>
      </c>
      <c r="G26" s="29" t="n">
        <f aca="false">INDEX('Side by Side'!$AG$7:$AG$95,MATCH(C26,'Side by Side'!$I$7:$I$95,0))</f>
        <v>0.0167807987080827</v>
      </c>
      <c r="H26" s="29" t="n">
        <f aca="false">INDEX('Side by Side'!$AN$7:$AN$95,MATCH(C26,'Side by Side'!$I$7:$I$95,0))</f>
        <v>0</v>
      </c>
      <c r="I26" s="29" t="n">
        <f aca="false">INDEX('Side by Side'!$AU$7:$AU$95,MATCH(C26,'Side by Side'!$I$7:$I$95,0))</f>
        <v>0.0345672095715622</v>
      </c>
      <c r="J26" s="29" t="n">
        <f aca="false">INDEX('Side by Side'!$BB$7:$BB$95,MATCH(C26,'Side by Side'!$I$7:$I$95,0))</f>
        <v>0.0484737401427912</v>
      </c>
      <c r="K26" s="30" t="n">
        <f aca="false">INDEX('Side by Side'!$E$7:$E$95,MATCH(C26,'Side by Side'!$I$7:$I$95,0))</f>
        <v>5</v>
      </c>
    </row>
    <row r="29" customFormat="false" ht="15" hidden="false" customHeight="false" outlineLevel="0" collapsed="false">
      <c r="A29" s="31" t="s">
        <v>48</v>
      </c>
    </row>
    <row r="30" customFormat="false" ht="15" hidden="false" customHeight="false" outlineLevel="0" collapsed="false">
      <c r="A30" s="32" t="s">
        <v>49</v>
      </c>
    </row>
    <row r="31" customFormat="false" ht="15" hidden="false" customHeight="false" outlineLevel="0" collapsed="false">
      <c r="A31" s="32" t="str">
        <f aca="false">"• Securities on an exchange close: "&amp;COUNTIF(Prices!$K$6:$K$300,"Close*")&amp;"   |   on a statement price: "&amp;COUNTIF(Prices!$K$6:$K$300,"No exchange*")&amp;"   |   held in all 6 accounts: "&amp;COUNTIF('Side by Side'!$E$7:$E$95,6)</f>
        <v>• Securities on an exchange close: 79   |   on a statement price: 9   |   held in all 6 accounts: 9</v>
      </c>
    </row>
    <row r="32" customFormat="false" ht="15" hidden="false" customHeight="false" outlineLevel="0" collapsed="false">
      <c r="A32" s="32" t="s">
        <v>50</v>
      </c>
    </row>
    <row r="33" customFormat="false" ht="15" hidden="false" customHeight="false" outlineLevel="0" collapsed="false">
      <c r="A33" s="32" t="s">
        <v>51</v>
      </c>
    </row>
    <row r="34" customFormat="false" ht="15" hidden="false" customHeight="false" outlineLevel="0" collapsed="false">
      <c r="A34" s="32" t="s">
        <v>52</v>
      </c>
    </row>
    <row r="35" customFormat="false" ht="15" hidden="false" customHeight="false" outlineLevel="0" collapsed="false">
      <c r="A35" s="32" t="s">
        <v>53</v>
      </c>
    </row>
    <row r="36" customFormat="false" ht="15" hidden="false" customHeight="false" outlineLevel="0" collapsed="false">
      <c r="A36" s="32" t="s">
        <v>54</v>
      </c>
    </row>
    <row r="37" customFormat="false" ht="15" hidden="false" customHeight="false" outlineLevel="0" collapsed="false">
      <c r="A37" s="32" t="s">
        <v>55</v>
      </c>
    </row>
    <row r="38" customFormat="false" ht="15" hidden="false" customHeight="false" outlineLevel="0" collapsed="false">
      <c r="A38" s="32" t="s">
        <v>56</v>
      </c>
    </row>
    <row r="39" customFormat="false" ht="15" hidden="false" customHeight="false" outlineLevel="0" collapsed="false">
      <c r="A39" s="32" t="s">
        <v>57</v>
      </c>
    </row>
    <row r="40" customFormat="false" ht="15" hidden="false" customHeight="false" outlineLevel="0" collapsed="false">
      <c r="A40" s="32" t="s">
        <v>58</v>
      </c>
    </row>
    <row r="41" customFormat="false" ht="15" hidden="false" customHeight="false" outlineLevel="0" collapsed="false">
      <c r="A41" s="32" t="s">
        <v>59</v>
      </c>
    </row>
    <row r="42" customFormat="false" ht="15" hidden="false" customHeight="false" outlineLevel="0" collapsed="false">
      <c r="A42" s="32" t="s">
        <v>60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B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6"/>
    <col collapsed="false" customWidth="true" hidden="false" outlineLevel="0" max="3" min="3" style="0" width="11"/>
    <col collapsed="false" customWidth="true" hidden="false" outlineLevel="0" max="4" min="4" style="0" width="20"/>
    <col collapsed="false" customWidth="true" hidden="false" outlineLevel="0" max="6" min="5" style="0" width="8"/>
    <col collapsed="false" customWidth="true" hidden="false" outlineLevel="0" max="7" min="7" style="0" width="10"/>
    <col collapsed="false" customWidth="true" hidden="false" outlineLevel="0" max="9" min="8" style="0" width="12"/>
    <col collapsed="false" customWidth="true" hidden="false" outlineLevel="0" max="10" min="10" style="0" width="11"/>
    <col collapsed="false" customWidth="true" hidden="false" outlineLevel="0" max="12" min="11" style="0" width="7.5"/>
    <col collapsed="false" customWidth="true" hidden="false" outlineLevel="0" max="13" min="13" style="0" width="8"/>
    <col collapsed="false" customWidth="true" hidden="false" outlineLevel="0" max="14" min="14" style="0" width="10"/>
    <col collapsed="false" customWidth="true" hidden="false" outlineLevel="0" max="16" min="15" style="0" width="12"/>
    <col collapsed="false" customWidth="true" hidden="false" outlineLevel="0" max="17" min="17" style="0" width="11"/>
    <col collapsed="false" customWidth="true" hidden="false" outlineLevel="0" max="19" min="18" style="0" width="7.5"/>
    <col collapsed="false" customWidth="true" hidden="false" outlineLevel="0" max="20" min="20" style="0" width="8"/>
    <col collapsed="false" customWidth="true" hidden="false" outlineLevel="0" max="21" min="21" style="0" width="10"/>
    <col collapsed="false" customWidth="true" hidden="false" outlineLevel="0" max="23" min="22" style="0" width="12"/>
    <col collapsed="false" customWidth="true" hidden="false" outlineLevel="0" max="24" min="24" style="0" width="11"/>
    <col collapsed="false" customWidth="true" hidden="false" outlineLevel="0" max="26" min="25" style="0" width="7.5"/>
    <col collapsed="false" customWidth="true" hidden="false" outlineLevel="0" max="27" min="27" style="0" width="8"/>
    <col collapsed="false" customWidth="true" hidden="false" outlineLevel="0" max="28" min="28" style="0" width="10"/>
    <col collapsed="false" customWidth="true" hidden="false" outlineLevel="0" max="30" min="29" style="0" width="12"/>
    <col collapsed="false" customWidth="true" hidden="false" outlineLevel="0" max="31" min="31" style="0" width="11"/>
    <col collapsed="false" customWidth="true" hidden="false" outlineLevel="0" max="33" min="32" style="0" width="7.5"/>
    <col collapsed="false" customWidth="true" hidden="false" outlineLevel="0" max="34" min="34" style="0" width="8"/>
    <col collapsed="false" customWidth="true" hidden="false" outlineLevel="0" max="35" min="35" style="0" width="10"/>
    <col collapsed="false" customWidth="true" hidden="false" outlineLevel="0" max="37" min="36" style="0" width="12"/>
    <col collapsed="false" customWidth="true" hidden="false" outlineLevel="0" max="38" min="38" style="0" width="11"/>
    <col collapsed="false" customWidth="true" hidden="false" outlineLevel="0" max="40" min="39" style="0" width="7.5"/>
    <col collapsed="false" customWidth="true" hidden="false" outlineLevel="0" max="41" min="41" style="0" width="8"/>
    <col collapsed="false" customWidth="true" hidden="false" outlineLevel="0" max="42" min="42" style="0" width="10"/>
    <col collapsed="false" customWidth="true" hidden="false" outlineLevel="0" max="44" min="43" style="0" width="12"/>
    <col collapsed="false" customWidth="true" hidden="false" outlineLevel="0" max="45" min="45" style="0" width="11"/>
    <col collapsed="false" customWidth="true" hidden="false" outlineLevel="0" max="47" min="46" style="0" width="7.5"/>
    <col collapsed="false" customWidth="true" hidden="false" outlineLevel="0" max="48" min="48" style="0" width="8"/>
    <col collapsed="false" customWidth="true" hidden="false" outlineLevel="0" max="49" min="49" style="0" width="10"/>
    <col collapsed="false" customWidth="true" hidden="false" outlineLevel="0" max="51" min="50" style="0" width="12"/>
    <col collapsed="false" customWidth="true" hidden="false" outlineLevel="0" max="52" min="52" style="0" width="11"/>
    <col collapsed="false" customWidth="true" hidden="false" outlineLevel="0" max="54" min="53" style="0" width="7.5"/>
  </cols>
  <sheetData>
    <row r="1" customFormat="false" ht="17.35" hidden="false" customHeight="false" outlineLevel="0" collapsed="false">
      <c r="A1" s="1" t="s">
        <v>61</v>
      </c>
    </row>
    <row r="2" customFormat="false" ht="15" hidden="false" customHeight="false" outlineLevel="0" collapsed="false">
      <c r="A2" s="2" t="s">
        <v>62</v>
      </c>
    </row>
    <row r="4" customFormat="false" ht="30" hidden="false" customHeight="true" outlineLevel="0" collapsed="false">
      <c r="A4" s="33"/>
      <c r="B4" s="33"/>
      <c r="C4" s="33"/>
      <c r="D4" s="33"/>
      <c r="E4" s="33"/>
      <c r="F4" s="34" t="s">
        <v>39</v>
      </c>
      <c r="G4" s="34"/>
      <c r="H4" s="34"/>
      <c r="I4" s="34"/>
      <c r="J4" s="34"/>
      <c r="K4" s="34"/>
      <c r="L4" s="34"/>
      <c r="M4" s="35" t="s">
        <v>63</v>
      </c>
      <c r="N4" s="35"/>
      <c r="O4" s="35"/>
      <c r="P4" s="35"/>
      <c r="Q4" s="35"/>
      <c r="R4" s="35"/>
      <c r="S4" s="35"/>
      <c r="T4" s="36" t="s">
        <v>64</v>
      </c>
      <c r="U4" s="36"/>
      <c r="V4" s="36"/>
      <c r="W4" s="36"/>
      <c r="X4" s="36"/>
      <c r="Y4" s="36"/>
      <c r="Z4" s="36"/>
      <c r="AA4" s="37" t="s">
        <v>65</v>
      </c>
      <c r="AB4" s="37"/>
      <c r="AC4" s="37"/>
      <c r="AD4" s="37"/>
      <c r="AE4" s="37"/>
      <c r="AF4" s="37"/>
      <c r="AG4" s="37"/>
      <c r="AH4" s="38" t="s">
        <v>66</v>
      </c>
      <c r="AI4" s="38"/>
      <c r="AJ4" s="38"/>
      <c r="AK4" s="38"/>
      <c r="AL4" s="38"/>
      <c r="AM4" s="38"/>
      <c r="AN4" s="38"/>
      <c r="AO4" s="39" t="s">
        <v>67</v>
      </c>
      <c r="AP4" s="39"/>
      <c r="AQ4" s="39"/>
      <c r="AR4" s="39"/>
      <c r="AS4" s="39"/>
      <c r="AT4" s="39"/>
      <c r="AU4" s="39"/>
      <c r="AV4" s="40" t="s">
        <v>68</v>
      </c>
      <c r="AW4" s="40"/>
      <c r="AX4" s="40"/>
      <c r="AY4" s="40"/>
      <c r="AZ4" s="40"/>
      <c r="BA4" s="40"/>
      <c r="BB4" s="40"/>
    </row>
    <row r="5" customFormat="false" ht="30" hidden="false" customHeight="true" outlineLevel="0" collapsed="false">
      <c r="A5" s="3" t="s">
        <v>69</v>
      </c>
      <c r="B5" s="3" t="s">
        <v>44</v>
      </c>
      <c r="C5" s="3" t="s">
        <v>70</v>
      </c>
      <c r="D5" s="3" t="s">
        <v>71</v>
      </c>
      <c r="E5" s="3" t="s">
        <v>72</v>
      </c>
      <c r="F5" s="22" t="s">
        <v>73</v>
      </c>
      <c r="G5" s="22" t="s">
        <v>74</v>
      </c>
      <c r="H5" s="22" t="s">
        <v>7</v>
      </c>
      <c r="I5" s="22" t="s">
        <v>75</v>
      </c>
      <c r="J5" s="22" t="s">
        <v>76</v>
      </c>
      <c r="K5" s="22" t="s">
        <v>10</v>
      </c>
      <c r="L5" s="22" t="s">
        <v>77</v>
      </c>
      <c r="M5" s="3" t="s">
        <v>73</v>
      </c>
      <c r="N5" s="3" t="s">
        <v>74</v>
      </c>
      <c r="O5" s="3" t="s">
        <v>7</v>
      </c>
      <c r="P5" s="3" t="s">
        <v>75</v>
      </c>
      <c r="Q5" s="3" t="s">
        <v>76</v>
      </c>
      <c r="R5" s="3" t="s">
        <v>10</v>
      </c>
      <c r="S5" s="3" t="s">
        <v>77</v>
      </c>
      <c r="T5" s="23" t="s">
        <v>73</v>
      </c>
      <c r="U5" s="23" t="s">
        <v>74</v>
      </c>
      <c r="V5" s="23" t="s">
        <v>7</v>
      </c>
      <c r="W5" s="23" t="s">
        <v>75</v>
      </c>
      <c r="X5" s="23" t="s">
        <v>76</v>
      </c>
      <c r="Y5" s="23" t="s">
        <v>10</v>
      </c>
      <c r="Z5" s="23" t="s">
        <v>77</v>
      </c>
      <c r="AA5" s="24" t="s">
        <v>73</v>
      </c>
      <c r="AB5" s="24" t="s">
        <v>74</v>
      </c>
      <c r="AC5" s="24" t="s">
        <v>7</v>
      </c>
      <c r="AD5" s="24" t="s">
        <v>75</v>
      </c>
      <c r="AE5" s="24" t="s">
        <v>76</v>
      </c>
      <c r="AF5" s="24" t="s">
        <v>10</v>
      </c>
      <c r="AG5" s="24" t="s">
        <v>77</v>
      </c>
      <c r="AH5" s="25" t="s">
        <v>73</v>
      </c>
      <c r="AI5" s="25" t="s">
        <v>74</v>
      </c>
      <c r="AJ5" s="25" t="s">
        <v>7</v>
      </c>
      <c r="AK5" s="25" t="s">
        <v>75</v>
      </c>
      <c r="AL5" s="25" t="s">
        <v>76</v>
      </c>
      <c r="AM5" s="25" t="s">
        <v>10</v>
      </c>
      <c r="AN5" s="25" t="s">
        <v>77</v>
      </c>
      <c r="AO5" s="26" t="s">
        <v>73</v>
      </c>
      <c r="AP5" s="26" t="s">
        <v>74</v>
      </c>
      <c r="AQ5" s="26" t="s">
        <v>7</v>
      </c>
      <c r="AR5" s="26" t="s">
        <v>75</v>
      </c>
      <c r="AS5" s="26" t="s">
        <v>76</v>
      </c>
      <c r="AT5" s="26" t="s">
        <v>10</v>
      </c>
      <c r="AU5" s="26" t="s">
        <v>77</v>
      </c>
      <c r="AV5" s="27" t="s">
        <v>73</v>
      </c>
      <c r="AW5" s="27" t="s">
        <v>74</v>
      </c>
      <c r="AX5" s="27" t="s">
        <v>7</v>
      </c>
      <c r="AY5" s="27" t="s">
        <v>75</v>
      </c>
      <c r="AZ5" s="27" t="s">
        <v>76</v>
      </c>
      <c r="BA5" s="27" t="s">
        <v>10</v>
      </c>
      <c r="BB5" s="27" t="s">
        <v>77</v>
      </c>
    </row>
    <row r="6" customFormat="false" ht="15" hidden="false" customHeight="false" outlineLevel="0" collapsed="false">
      <c r="A6" s="41"/>
      <c r="B6" s="41" t="s">
        <v>78</v>
      </c>
      <c r="C6" s="41"/>
      <c r="D6" s="41"/>
      <c r="E6" s="42" t="n">
        <f aca="false">COUNTIFS(E7:E95,"&gt;0",B7:B95,"&lt;&gt;Cash*")</f>
        <v>88</v>
      </c>
      <c r="F6" s="43" t="n">
        <f aca="false">COUNTIFS(F7:F95,"&gt;0",$B7:$B95,"&lt;&gt;Cash*")</f>
        <v>88</v>
      </c>
      <c r="G6" s="44"/>
      <c r="H6" s="45" t="n">
        <f aca="false">SUM(H7:H95)</f>
        <v>36161840</v>
      </c>
      <c r="I6" s="45" t="n">
        <f aca="false">SUM(I7:I95)</f>
        <v>37732210.7329211</v>
      </c>
      <c r="J6" s="45" t="n">
        <f aca="false">I6-H6</f>
        <v>1570370.73292115</v>
      </c>
      <c r="K6" s="46" t="n">
        <f aca="false">IF(H6&gt;0,J6/H6,"")</f>
        <v>0.0434261844231695</v>
      </c>
      <c r="L6" s="46" t="n">
        <f aca="false">SUM(L7:L95)</f>
        <v>1</v>
      </c>
      <c r="M6" s="43" t="n">
        <f aca="false">COUNTIFS(M7:M95,"&gt;0",$B7:$B95,"&lt;&gt;Cash*")</f>
        <v>31</v>
      </c>
      <c r="N6" s="44"/>
      <c r="O6" s="45" t="n">
        <f aca="false">SUM(O7:O95)</f>
        <v>5501448</v>
      </c>
      <c r="P6" s="45" t="n">
        <f aca="false">SUM(P7:P95)</f>
        <v>5225157.3</v>
      </c>
      <c r="Q6" s="45" t="n">
        <f aca="false">P6-O6</f>
        <v>-276290.7</v>
      </c>
      <c r="R6" s="46" t="n">
        <f aca="false">IF(O6&gt;0,Q6/O6,"")</f>
        <v>-0.050221450788956</v>
      </c>
      <c r="S6" s="46" t="n">
        <f aca="false">SUM(S7:S95)</f>
        <v>1</v>
      </c>
      <c r="T6" s="43" t="n">
        <f aca="false">COUNTIFS(T7:T95,"&gt;0",$B7:$B95,"&lt;&gt;Cash*")</f>
        <v>47</v>
      </c>
      <c r="U6" s="44"/>
      <c r="V6" s="45" t="n">
        <f aca="false">SUM(V7:V95)</f>
        <v>9857778</v>
      </c>
      <c r="W6" s="45" t="n">
        <f aca="false">SUM(W7:W95)</f>
        <v>11825894.92</v>
      </c>
      <c r="X6" s="45" t="n">
        <f aca="false">W6-V6</f>
        <v>1968116.92</v>
      </c>
      <c r="Y6" s="46" t="n">
        <f aca="false">IF(V6&gt;0,X6/V6,"")</f>
        <v>0.199651170882525</v>
      </c>
      <c r="Z6" s="46" t="n">
        <f aca="false">SUM(Z7:Z95)</f>
        <v>1</v>
      </c>
      <c r="AA6" s="43" t="n">
        <f aca="false">COUNTIFS(AA7:AA95,"&gt;0",$B7:$B95,"&lt;&gt;Cash*")</f>
        <v>25</v>
      </c>
      <c r="AB6" s="44"/>
      <c r="AC6" s="45" t="n">
        <f aca="false">SUM(AC7:AC95)</f>
        <v>11014028</v>
      </c>
      <c r="AD6" s="45" t="n">
        <f aca="false">SUM(AD7:AD95)</f>
        <v>11167525.65</v>
      </c>
      <c r="AE6" s="45" t="n">
        <f aca="false">AD6-AC6</f>
        <v>153497.65</v>
      </c>
      <c r="AF6" s="46" t="n">
        <f aca="false">IF(AC6&gt;0,AE6/AC6,"")</f>
        <v>0.0139365589046987</v>
      </c>
      <c r="AG6" s="46" t="n">
        <f aca="false">SUM(AG7:AG95)</f>
        <v>1</v>
      </c>
      <c r="AH6" s="43" t="n">
        <f aca="false">COUNTIFS(AH7:AH95,"&gt;0",$B7:$B95,"&lt;&gt;Cash*")</f>
        <v>12</v>
      </c>
      <c r="AI6" s="44"/>
      <c r="AJ6" s="45" t="n">
        <f aca="false">SUM(AJ7:AJ95)</f>
        <v>201361</v>
      </c>
      <c r="AK6" s="45" t="n">
        <f aca="false">SUM(AK7:AK95)</f>
        <v>226299.362921147</v>
      </c>
      <c r="AL6" s="45" t="n">
        <f aca="false">AK6-AJ6</f>
        <v>24938.362921147</v>
      </c>
      <c r="AM6" s="46" t="n">
        <f aca="false">IF(AJ6&gt;0,AL6/AJ6,"")</f>
        <v>0.12384902201095</v>
      </c>
      <c r="AN6" s="46" t="n">
        <f aca="false">SUM(AN7:AN95)</f>
        <v>1</v>
      </c>
      <c r="AO6" s="43" t="n">
        <f aca="false">COUNTIFS(AO7:AO95,"&gt;0",$B7:$B95,"&lt;&gt;Cash*")</f>
        <v>20</v>
      </c>
      <c r="AP6" s="44"/>
      <c r="AQ6" s="45" t="n">
        <f aca="false">SUM(AQ7:AQ95)</f>
        <v>5222229</v>
      </c>
      <c r="AR6" s="45" t="n">
        <f aca="false">SUM(AR7:AR95)</f>
        <v>5421322.76</v>
      </c>
      <c r="AS6" s="45" t="n">
        <f aca="false">AR6-AQ6</f>
        <v>199093.76</v>
      </c>
      <c r="AT6" s="46" t="n">
        <f aca="false">IF(AQ6&gt;0,AS6/AQ6,"")</f>
        <v>0.0381242875408183</v>
      </c>
      <c r="AU6" s="46" t="n">
        <f aca="false">SUM(AU7:AU95)</f>
        <v>1</v>
      </c>
      <c r="AV6" s="43" t="n">
        <f aca="false">COUNTIFS(AV7:AV95,"&gt;0",$B7:$B95,"&lt;&gt;Cash*")</f>
        <v>53</v>
      </c>
      <c r="AW6" s="44"/>
      <c r="AX6" s="45" t="n">
        <f aca="false">SUM(AX7:AX95)</f>
        <v>4364996</v>
      </c>
      <c r="AY6" s="45" t="n">
        <f aca="false">SUM(AY7:AY95)</f>
        <v>3866010.74</v>
      </c>
      <c r="AZ6" s="45" t="n">
        <f aca="false">AY6-AX6</f>
        <v>-498985.26</v>
      </c>
      <c r="BA6" s="46" t="n">
        <f aca="false">IF(AX6&gt;0,AZ6/AX6,"")</f>
        <v>-0.114315170048266</v>
      </c>
      <c r="BB6" s="46" t="n">
        <f aca="false">SUM(BB7:BB95)</f>
        <v>1</v>
      </c>
    </row>
    <row r="7" customFormat="false" ht="15" hidden="false" customHeight="false" outlineLevel="0" collapsed="false">
      <c r="A7" s="5" t="n">
        <v>1</v>
      </c>
      <c r="B7" s="47" t="s">
        <v>79</v>
      </c>
      <c r="C7" s="48" t="n">
        <f aca="false">IFERROR(INDEX(Prices!$C$6:$C$300,MATCH($B7,Prices!$A$6:$A$300,0)),"")</f>
        <v>942.1</v>
      </c>
      <c r="D7" s="49" t="str">
        <f aca="false">IFERROR(INDEX(Prices!$D$6:$D$300,MATCH($B7,Prices!$A$6:$A$300,0)),"")</f>
        <v>Close 22.10.2026 (Screener.in)</v>
      </c>
      <c r="E7" s="6" t="n">
        <f aca="false">(M7&gt;0)+(T7&gt;0)+(AA7&gt;0)+(AH7&gt;0)+(AO7&gt;0)+(AV7&gt;0)</f>
        <v>6</v>
      </c>
      <c r="F7" s="50" t="n">
        <f aca="false">M7+T7+AA7+AH7+AO7+AV7</f>
        <v>13957</v>
      </c>
      <c r="G7" s="51" t="n">
        <f aca="false">IF(AND(F7&gt;0,H7&gt;0),H7/F7,"")</f>
        <v>877.772945475389</v>
      </c>
      <c r="H7" s="52" t="n">
        <f aca="false">O7+V7+AC7+AJ7+AQ7+AX7</f>
        <v>12251077</v>
      </c>
      <c r="I7" s="53" t="n">
        <f aca="false">P7+W7+AD7+AK7+AR7+AY7</f>
        <v>13148889.7</v>
      </c>
      <c r="J7" s="52" t="n">
        <f aca="false">I7-H7</f>
        <v>897812.699999999</v>
      </c>
      <c r="K7" s="54" t="n">
        <f aca="false">IF(H7&gt;0,J7/H7,"")</f>
        <v>0.0732843896091747</v>
      </c>
      <c r="L7" s="55" t="n">
        <f aca="false">IF(I$6=0,"",I7/I$6)</f>
        <v>0.34847917587102</v>
      </c>
      <c r="M7" s="56" t="n">
        <f aca="false">SUMIFS(Gautam!$D$7:$D$300,Gautam!$B$7:$B$300,$B7)</f>
        <v>1901</v>
      </c>
      <c r="N7" s="57" t="n">
        <f aca="false">IF(AND(M7&gt;0,O7&gt;0),O7/M7,"")</f>
        <v>1005.93319305629</v>
      </c>
      <c r="O7" s="8" t="n">
        <f aca="false">SUMIFS(Gautam!$E$7:$E$300,Gautam!$B$7:$B$300,$B7)</f>
        <v>1912279</v>
      </c>
      <c r="P7" s="8" t="n">
        <f aca="false">SUMIFS(Gautam!$H$7:$H$300,Gautam!$B$7:$B$300,$B7)</f>
        <v>1790932.1</v>
      </c>
      <c r="Q7" s="8" t="n">
        <f aca="false">P7-O7</f>
        <v>-121346.9</v>
      </c>
      <c r="R7" s="9" t="n">
        <f aca="false">IF(O7&gt;0,Q7/O7,"")</f>
        <v>-0.0634566922504509</v>
      </c>
      <c r="S7" s="9" t="n">
        <f aca="false">IF(P$6=0,"",P7/P$6)</f>
        <v>0.342751805768603</v>
      </c>
      <c r="T7" s="56" t="n">
        <f aca="false">SUMIFS('Manish Shilpa'!$D$7:$D$300,'Manish Shilpa'!$B$7:$B$300,$B7)</f>
        <v>3895</v>
      </c>
      <c r="U7" s="57" t="n">
        <f aca="false">IF(AND(T7&gt;0,V7&gt;0),V7/T7,"")</f>
        <v>747.725032092426</v>
      </c>
      <c r="V7" s="8" t="n">
        <f aca="false">SUMIFS('Manish Shilpa'!$E$7:$E$300,'Manish Shilpa'!$B$7:$B$300,$B7)</f>
        <v>2912389</v>
      </c>
      <c r="W7" s="8" t="n">
        <f aca="false">SUMIFS('Manish Shilpa'!$H$7:$H$300,'Manish Shilpa'!$B$7:$B$300,$B7)</f>
        <v>3669479.5</v>
      </c>
      <c r="X7" s="8" t="n">
        <f aca="false">W7-V7</f>
        <v>757090.5</v>
      </c>
      <c r="Y7" s="9" t="n">
        <f aca="false">IF(V7&gt;0,X7/V7,"")</f>
        <v>0.25995514335482</v>
      </c>
      <c r="Z7" s="9" t="n">
        <f aca="false">IF(W$6=0,"",W7/W$6)</f>
        <v>0.310291908123939</v>
      </c>
      <c r="AA7" s="56" t="n">
        <f aca="false">SUMIFS('Saloni Mehra'!$D$7:$D$300,'Saloni Mehra'!$B$7:$B$300,$B7)</f>
        <v>4713</v>
      </c>
      <c r="AB7" s="57" t="n">
        <f aca="false">IF(AND(AA7&gt;0,AC7&gt;0),AC7/AA7,"")</f>
        <v>941.879482283047</v>
      </c>
      <c r="AC7" s="8" t="n">
        <f aca="false">SUMIFS('Saloni Mehra'!$E$7:$E$300,'Saloni Mehra'!$B$7:$B$300,$B7)</f>
        <v>4439078</v>
      </c>
      <c r="AD7" s="8" t="n">
        <f aca="false">SUMIFS('Saloni Mehra'!$H$7:$H$300,'Saloni Mehra'!$B$7:$B$300,$B7)</f>
        <v>4440117.3</v>
      </c>
      <c r="AE7" s="8" t="n">
        <f aca="false">AD7-AC7</f>
        <v>1039.29999999981</v>
      </c>
      <c r="AF7" s="9" t="n">
        <f aca="false">IF(AC7&gt;0,AE7/AC7,"")</f>
        <v>0.000234125194466016</v>
      </c>
      <c r="AG7" s="9" t="n">
        <f aca="false">IF(AD$6=0,"",AD7/AD$6)</f>
        <v>0.397591860467318</v>
      </c>
      <c r="AH7" s="56" t="n">
        <f aca="false">SUMIFS('Vidushi Malhotra'!$D$7:$D$300,'Vidushi Malhotra'!$B$7:$B$300,$B7)</f>
        <v>121</v>
      </c>
      <c r="AI7" s="57" t="n">
        <f aca="false">IF(AND(AH7&gt;0,AJ7&gt;0),AJ7/AH7,"")</f>
        <v>768</v>
      </c>
      <c r="AJ7" s="8" t="n">
        <f aca="false">SUMIFS('Vidushi Malhotra'!$E$7:$E$300,'Vidushi Malhotra'!$B$7:$B$300,$B7)</f>
        <v>92928</v>
      </c>
      <c r="AK7" s="8" t="n">
        <f aca="false">SUMIFS('Vidushi Malhotra'!$H$7:$H$300,'Vidushi Malhotra'!$B$7:$B$300,$B7)</f>
        <v>113994.1</v>
      </c>
      <c r="AL7" s="8" t="n">
        <f aca="false">AK7-AJ7</f>
        <v>21066.1</v>
      </c>
      <c r="AM7" s="9" t="n">
        <f aca="false">IF(AJ7&gt;0,AL7/AJ7,"")</f>
        <v>0.226692708333333</v>
      </c>
      <c r="AN7" s="9" t="n">
        <f aca="false">IF(AK$6=0,"",AK7/AK$6)</f>
        <v>0.503731422521595</v>
      </c>
      <c r="AO7" s="56" t="n">
        <f aca="false">SUMIFS('Dr Umesh Choudhry'!$D$7:$D$300,'Dr Umesh Choudhry'!$B$7:$B$300,$B7)</f>
        <v>2412</v>
      </c>
      <c r="AP7" s="57" t="n">
        <f aca="false">IF(AND(AO7&gt;0,AQ7&gt;0),AQ7/AO7,"")</f>
        <v>800.284411276949</v>
      </c>
      <c r="AQ7" s="8" t="n">
        <f aca="false">SUMIFS('Dr Umesh Choudhry'!$E$7:$E$300,'Dr Umesh Choudhry'!$B$7:$B$300,$B7)</f>
        <v>1930286</v>
      </c>
      <c r="AR7" s="8" t="n">
        <f aca="false">SUMIFS('Dr Umesh Choudhry'!$H$7:$H$300,'Dr Umesh Choudhry'!$B$7:$B$300,$B7)</f>
        <v>2272345.2</v>
      </c>
      <c r="AS7" s="8" t="n">
        <f aca="false">AR7-AQ7</f>
        <v>342059.2</v>
      </c>
      <c r="AT7" s="9" t="n">
        <f aca="false">IF(AQ7&gt;0,AS7/AQ7,"")</f>
        <v>0.177206486499928</v>
      </c>
      <c r="AU7" s="9" t="n">
        <f aca="false">IF(AR$6=0,"",AR7/AR$6)</f>
        <v>0.41914958776592</v>
      </c>
      <c r="AV7" s="56" t="n">
        <f aca="false">SUMIFS(DA!$D$7:$D$300,DA!$B$7:$B$300,$B7)</f>
        <v>915</v>
      </c>
      <c r="AW7" s="57" t="n">
        <f aca="false">IF(AND(AV7&gt;0,AX7&gt;0),AX7/AV7,"")</f>
        <v>1053.67978142077</v>
      </c>
      <c r="AX7" s="8" t="n">
        <f aca="false">SUMIFS(DA!$E$7:$E$300,DA!$B$7:$B$300,$B7)</f>
        <v>964117</v>
      </c>
      <c r="AY7" s="8" t="n">
        <f aca="false">SUMIFS(DA!$H$7:$H$300,DA!$B$7:$B$300,$B7)</f>
        <v>862021.5</v>
      </c>
      <c r="AZ7" s="8" t="n">
        <f aca="false">AY7-AX7</f>
        <v>-102095.5</v>
      </c>
      <c r="BA7" s="9" t="n">
        <f aca="false">IF(AX7&gt;0,AZ7/AX7,"")</f>
        <v>-0.105895342577716</v>
      </c>
      <c r="BB7" s="9" t="n">
        <f aca="false">IF(AY$6=0,"",AY7/AY$6)</f>
        <v>0.222974419362322</v>
      </c>
    </row>
    <row r="8" customFormat="false" ht="15" hidden="false" customHeight="false" outlineLevel="0" collapsed="false">
      <c r="A8" s="5" t="n">
        <v>2</v>
      </c>
      <c r="B8" s="47" t="s">
        <v>80</v>
      </c>
      <c r="C8" s="48" t="n">
        <f aca="false">IFERROR(INDEX(Prices!$C$6:$C$300,MATCH($B8,Prices!$A$6:$A$300,0)),"")</f>
        <v>4350</v>
      </c>
      <c r="D8" s="49" t="str">
        <f aca="false">IFERROR(INDEX(Prices!$D$6:$D$300,MATCH($B8,Prices!$A$6:$A$300,0)),"")</f>
        <v>Close 22.10.2026 (Screener.in)</v>
      </c>
      <c r="E8" s="6" t="n">
        <f aca="false">(M8&gt;0)+(T8&gt;0)+(AA8&gt;0)+(AH8&gt;0)+(AO8&gt;0)+(AV8&gt;0)</f>
        <v>6</v>
      </c>
      <c r="F8" s="50" t="n">
        <f aca="false">M8+T8+AA8+AH8+AO8+AV8</f>
        <v>696</v>
      </c>
      <c r="G8" s="51" t="n">
        <f aca="false">IF(AND(F8&gt;0,H8&gt;0),H8/F8,"")</f>
        <v>3938.10057471264</v>
      </c>
      <c r="H8" s="52" t="n">
        <f aca="false">O8+V8+AC8+AJ8+AQ8+AX8</f>
        <v>2740918</v>
      </c>
      <c r="I8" s="53" t="n">
        <f aca="false">P8+W8+AD8+AK8+AR8+AY8</f>
        <v>3027600</v>
      </c>
      <c r="J8" s="52" t="n">
        <f aca="false">I8-H8</f>
        <v>286682</v>
      </c>
      <c r="K8" s="54" t="n">
        <f aca="false">IF(H8&gt;0,J8/H8,"")</f>
        <v>0.104593424538786</v>
      </c>
      <c r="L8" s="55" t="n">
        <f aca="false">IF(I$6=0,"",I8/I$6)</f>
        <v>0.0802391363026719</v>
      </c>
      <c r="M8" s="56" t="n">
        <f aca="false">SUMIFS(Gautam!$D$7:$D$300,Gautam!$B$7:$B$300,$B8)</f>
        <v>47</v>
      </c>
      <c r="N8" s="57" t="n">
        <f aca="false">IF(AND(M8&gt;0,O8&gt;0),O8/M8,"")</f>
        <v>4763.78723404255</v>
      </c>
      <c r="O8" s="8" t="n">
        <f aca="false">SUMIFS(Gautam!$E$7:$E$300,Gautam!$B$7:$B$300,$B8)</f>
        <v>223898</v>
      </c>
      <c r="P8" s="8" t="n">
        <f aca="false">SUMIFS(Gautam!$H$7:$H$300,Gautam!$B$7:$B$300,$B8)</f>
        <v>204450</v>
      </c>
      <c r="Q8" s="8" t="n">
        <f aca="false">P8-O8</f>
        <v>-19448</v>
      </c>
      <c r="R8" s="9" t="n">
        <f aca="false">IF(O8&gt;0,Q8/O8,"")</f>
        <v>-0.0868609813397172</v>
      </c>
      <c r="S8" s="9" t="n">
        <f aca="false">IF(P$6=0,"",P8/P$6)</f>
        <v>0.0391280086438737</v>
      </c>
      <c r="T8" s="56" t="n">
        <f aca="false">SUMIFS('Manish Shilpa'!$D$7:$D$300,'Manish Shilpa'!$B$7:$B$300,$B8)</f>
        <v>165</v>
      </c>
      <c r="U8" s="57" t="n">
        <f aca="false">IF(AND(T8&gt;0,V8&gt;0),V8/T8,"")</f>
        <v>3421.39393939394</v>
      </c>
      <c r="V8" s="8" t="n">
        <f aca="false">SUMIFS('Manish Shilpa'!$E$7:$E$300,'Manish Shilpa'!$B$7:$B$300,$B8)</f>
        <v>564530</v>
      </c>
      <c r="W8" s="8" t="n">
        <f aca="false">SUMIFS('Manish Shilpa'!$H$7:$H$300,'Manish Shilpa'!$B$7:$B$300,$B8)</f>
        <v>717750</v>
      </c>
      <c r="X8" s="8" t="n">
        <f aca="false">W8-V8</f>
        <v>153220</v>
      </c>
      <c r="Y8" s="9" t="n">
        <f aca="false">IF(V8&gt;0,X8/V8,"")</f>
        <v>0.271411616743131</v>
      </c>
      <c r="Z8" s="9" t="n">
        <f aca="false">IF(W$6=0,"",W8/W$6)</f>
        <v>0.0606930811456931</v>
      </c>
      <c r="AA8" s="56" t="n">
        <f aca="false">SUMIFS('Saloni Mehra'!$D$7:$D$300,'Saloni Mehra'!$B$7:$B$300,$B8)</f>
        <v>244</v>
      </c>
      <c r="AB8" s="57" t="n">
        <f aca="false">IF(AND(AA8&gt;0,AC8&gt;0),AC8/AA8,"")</f>
        <v>4288.80737704918</v>
      </c>
      <c r="AC8" s="8" t="n">
        <f aca="false">SUMIFS('Saloni Mehra'!$E$7:$E$300,'Saloni Mehra'!$B$7:$B$300,$B8)</f>
        <v>1046469</v>
      </c>
      <c r="AD8" s="8" t="n">
        <f aca="false">SUMIFS('Saloni Mehra'!$H$7:$H$300,'Saloni Mehra'!$B$7:$B$300,$B8)</f>
        <v>1061400</v>
      </c>
      <c r="AE8" s="8" t="n">
        <f aca="false">AD8-AC8</f>
        <v>14931</v>
      </c>
      <c r="AF8" s="9" t="n">
        <f aca="false">IF(AC8&gt;0,AE8/AC8,"")</f>
        <v>0.0142679811824335</v>
      </c>
      <c r="AG8" s="9" t="n">
        <f aca="false">IF(AD$6=0,"",AD8/AD$6)</f>
        <v>0.095043435158799</v>
      </c>
      <c r="AH8" s="56" t="n">
        <f aca="false">SUMIFS('Vidushi Malhotra'!$D$7:$D$300,'Vidushi Malhotra'!$B$7:$B$300,$B8)</f>
        <v>9</v>
      </c>
      <c r="AI8" s="57" t="n">
        <f aca="false">IF(AND(AH8&gt;0,AJ8&gt;0),AJ8/AH8,"")</f>
        <v>3160.11111111111</v>
      </c>
      <c r="AJ8" s="8" t="n">
        <f aca="false">SUMIFS('Vidushi Malhotra'!$E$7:$E$300,'Vidushi Malhotra'!$B$7:$B$300,$B8)</f>
        <v>28441</v>
      </c>
      <c r="AK8" s="8" t="n">
        <f aca="false">SUMIFS('Vidushi Malhotra'!$H$7:$H$300,'Vidushi Malhotra'!$B$7:$B$300,$B8)</f>
        <v>39150</v>
      </c>
      <c r="AL8" s="8" t="n">
        <f aca="false">AK8-AJ8</f>
        <v>10709</v>
      </c>
      <c r="AM8" s="9" t="n">
        <f aca="false">IF(AJ8&gt;0,AL8/AJ8,"")</f>
        <v>0.376533877149186</v>
      </c>
      <c r="AN8" s="9" t="n">
        <f aca="false">IF(AK$6=0,"",AK8/AK$6)</f>
        <v>0.173000928922817</v>
      </c>
      <c r="AO8" s="56" t="n">
        <f aca="false">SUMIFS('Dr Umesh Choudhry'!$D$7:$D$300,'Dr Umesh Choudhry'!$B$7:$B$300,$B8)</f>
        <v>172</v>
      </c>
      <c r="AP8" s="57" t="n">
        <f aca="false">IF(AND(AO8&gt;0,AQ8&gt;0),AQ8/AO8,"")</f>
        <v>3589.92441860465</v>
      </c>
      <c r="AQ8" s="8" t="n">
        <f aca="false">SUMIFS('Dr Umesh Choudhry'!$E$7:$E$300,'Dr Umesh Choudhry'!$B$7:$B$300,$B8)</f>
        <v>617467</v>
      </c>
      <c r="AR8" s="8" t="n">
        <f aca="false">SUMIFS('Dr Umesh Choudhry'!$H$7:$H$300,'Dr Umesh Choudhry'!$B$7:$B$300,$B8)</f>
        <v>748200</v>
      </c>
      <c r="AS8" s="8" t="n">
        <f aca="false">AR8-AQ8</f>
        <v>130733</v>
      </c>
      <c r="AT8" s="9" t="n">
        <f aca="false">IF(AQ8&gt;0,AS8/AQ8,"")</f>
        <v>0.211724675164827</v>
      </c>
      <c r="AU8" s="9" t="n">
        <f aca="false">IF(AR$6=0,"",AR8/AR$6)</f>
        <v>0.138010598727016</v>
      </c>
      <c r="AV8" s="56" t="n">
        <f aca="false">SUMIFS(DA!$D$7:$D$300,DA!$B$7:$B$300,$B8)</f>
        <v>59</v>
      </c>
      <c r="AW8" s="57" t="n">
        <f aca="false">IF(AND(AV8&gt;0,AX8&gt;0),AX8/AV8,"")</f>
        <v>4408.69491525424</v>
      </c>
      <c r="AX8" s="8" t="n">
        <f aca="false">SUMIFS(DA!$E$7:$E$300,DA!$B$7:$B$300,$B8)</f>
        <v>260113</v>
      </c>
      <c r="AY8" s="8" t="n">
        <f aca="false">SUMIFS(DA!$H$7:$H$300,DA!$B$7:$B$300,$B8)</f>
        <v>256650</v>
      </c>
      <c r="AZ8" s="8" t="n">
        <f aca="false">AY8-AX8</f>
        <v>-3463</v>
      </c>
      <c r="BA8" s="9" t="n">
        <f aca="false">IF(AX8&gt;0,AZ8/AX8,"")</f>
        <v>-0.0133134445414108</v>
      </c>
      <c r="BB8" s="9" t="n">
        <f aca="false">IF(AY$6=0,"",AY8/AY$6)</f>
        <v>0.0663862615135932</v>
      </c>
    </row>
    <row r="9" customFormat="false" ht="15" hidden="false" customHeight="false" outlineLevel="0" collapsed="false">
      <c r="A9" s="5" t="n">
        <v>3</v>
      </c>
      <c r="B9" s="47" t="s">
        <v>81</v>
      </c>
      <c r="C9" s="48" t="n">
        <f aca="false">IFERROR(INDEX(Prices!$C$6:$C$300,MATCH($B9,Prices!$A$6:$A$300,0)),"")</f>
        <v>256.692921146953</v>
      </c>
      <c r="D9" s="49" t="str">
        <f aca="false">IFERROR(INDEX(Prices!$D$6:$D$300,MATCH($B9,Prices!$A$6:$A$300,0)),"")</f>
        <v>Manish Shilpa stmt – live 23.10</v>
      </c>
      <c r="E9" s="6" t="n">
        <f aca="false">(M9&gt;0)+(T9&gt;0)+(AA9&gt;0)+(AH9&gt;0)+(AO9&gt;0)+(AV9&gt;0)</f>
        <v>2</v>
      </c>
      <c r="F9" s="50" t="n">
        <f aca="false">M9+T9+AA9+AH9+AO9+AV9</f>
        <v>11161</v>
      </c>
      <c r="G9" s="51" t="n">
        <f aca="false">IF(AND(F9&gt;0,H9&gt;0),H9/F9,"")</f>
        <v>151.225786219873</v>
      </c>
      <c r="H9" s="52" t="n">
        <f aca="false">O9+V9+AC9+AJ9+AQ9+AX9</f>
        <v>1687831</v>
      </c>
      <c r="I9" s="53" t="n">
        <f aca="false">P9+W9+AD9+AK9+AR9+AY9</f>
        <v>2864949.69292115</v>
      </c>
      <c r="J9" s="52" t="n">
        <f aca="false">I9-H9</f>
        <v>1177118.69292115</v>
      </c>
      <c r="K9" s="54" t="n">
        <f aca="false">IF(H9&gt;0,J9/H9,"")</f>
        <v>0.697415021362415</v>
      </c>
      <c r="L9" s="55" t="n">
        <f aca="false">IF(I$6=0,"",I9/I$6)</f>
        <v>0.0759284875513932</v>
      </c>
      <c r="M9" s="56" t="n">
        <f aca="false">SUMIFS(Gautam!$D$7:$D$300,Gautam!$B$7:$B$300,$B9)</f>
        <v>0</v>
      </c>
      <c r="N9" s="57" t="str">
        <f aca="false">IF(AND(M9&gt;0,O9&gt;0),O9/M9,"")</f>
        <v/>
      </c>
      <c r="O9" s="8" t="n">
        <f aca="false">SUMIFS(Gautam!$E$7:$E$300,Gautam!$B$7:$B$300,$B9)</f>
        <v>0</v>
      </c>
      <c r="P9" s="8" t="n">
        <f aca="false">SUMIFS(Gautam!$H$7:$H$300,Gautam!$B$7:$B$300,$B9)</f>
        <v>0</v>
      </c>
      <c r="Q9" s="8" t="n">
        <f aca="false">P9-O9</f>
        <v>0</v>
      </c>
      <c r="R9" s="9" t="str">
        <f aca="false">IF(O9&gt;0,Q9/O9,"")</f>
        <v/>
      </c>
      <c r="S9" s="9" t="n">
        <f aca="false">IF(P$6=0,"",P9/P$6)</f>
        <v>0</v>
      </c>
      <c r="T9" s="56" t="n">
        <f aca="false">SUMIFS('Manish Shilpa'!$D$7:$D$300,'Manish Shilpa'!$B$7:$B$300,$B9)</f>
        <v>11160</v>
      </c>
      <c r="U9" s="57" t="n">
        <f aca="false">IF(AND(T9&gt;0,V9&gt;0),V9/T9,"")</f>
        <v>151.216845878136</v>
      </c>
      <c r="V9" s="8" t="n">
        <f aca="false">SUMIFS('Manish Shilpa'!$E$7:$E$300,'Manish Shilpa'!$B$7:$B$300,$B9)</f>
        <v>1687580</v>
      </c>
      <c r="W9" s="8" t="n">
        <f aca="false">SUMIFS('Manish Shilpa'!$H$7:$H$300,'Manish Shilpa'!$B$7:$B$300,$B9)</f>
        <v>2864693</v>
      </c>
      <c r="X9" s="8" t="n">
        <f aca="false">W9-V9</f>
        <v>1177113</v>
      </c>
      <c r="Y9" s="9" t="n">
        <f aca="false">IF(V9&gt;0,X9/V9,"")</f>
        <v>0.697515377048792</v>
      </c>
      <c r="Z9" s="9" t="n">
        <f aca="false">IF(W$6=0,"",W9/W$6)</f>
        <v>0.2422390034225</v>
      </c>
      <c r="AA9" s="56" t="n">
        <f aca="false">SUMIFS('Saloni Mehra'!$D$7:$D$300,'Saloni Mehra'!$B$7:$B$300,$B9)</f>
        <v>0</v>
      </c>
      <c r="AB9" s="57" t="str">
        <f aca="false">IF(AND(AA9&gt;0,AC9&gt;0),AC9/AA9,"")</f>
        <v/>
      </c>
      <c r="AC9" s="8" t="n">
        <f aca="false">SUMIFS('Saloni Mehra'!$E$7:$E$300,'Saloni Mehra'!$B$7:$B$300,$B9)</f>
        <v>0</v>
      </c>
      <c r="AD9" s="8" t="n">
        <f aca="false">SUMIFS('Saloni Mehra'!$H$7:$H$300,'Saloni Mehra'!$B$7:$B$300,$B9)</f>
        <v>0</v>
      </c>
      <c r="AE9" s="8" t="n">
        <f aca="false">AD9-AC9</f>
        <v>0</v>
      </c>
      <c r="AF9" s="9" t="str">
        <f aca="false">IF(AC9&gt;0,AE9/AC9,"")</f>
        <v/>
      </c>
      <c r="AG9" s="9" t="n">
        <f aca="false">IF(AD$6=0,"",AD9/AD$6)</f>
        <v>0</v>
      </c>
      <c r="AH9" s="56" t="n">
        <f aca="false">SUMIFS('Vidushi Malhotra'!$D$7:$D$300,'Vidushi Malhotra'!$B$7:$B$300,$B9)</f>
        <v>1</v>
      </c>
      <c r="AI9" s="57" t="n">
        <f aca="false">IF(AND(AH9&gt;0,AJ9&gt;0),AJ9/AH9,"")</f>
        <v>251</v>
      </c>
      <c r="AJ9" s="8" t="n">
        <f aca="false">SUMIFS('Vidushi Malhotra'!$E$7:$E$300,'Vidushi Malhotra'!$B$7:$B$300,$B9)</f>
        <v>251</v>
      </c>
      <c r="AK9" s="8" t="n">
        <f aca="false">SUMIFS('Vidushi Malhotra'!$H$7:$H$300,'Vidushi Malhotra'!$B$7:$B$300,$B9)</f>
        <v>256.692921146953</v>
      </c>
      <c r="AL9" s="8" t="n">
        <f aca="false">AK9-AJ9</f>
        <v>5.69292114695338</v>
      </c>
      <c r="AM9" s="9" t="n">
        <f aca="false">IF(AJ9&gt;0,AL9/AJ9,"")</f>
        <v>0.0226809607448342</v>
      </c>
      <c r="AN9" s="9" t="n">
        <f aca="false">IF(AK$6=0,"",AK9/AK$6)</f>
        <v>0.00113430686606218</v>
      </c>
      <c r="AO9" s="56" t="n">
        <f aca="false">SUMIFS('Dr Umesh Choudhry'!$D$7:$D$300,'Dr Umesh Choudhry'!$B$7:$B$300,$B9)</f>
        <v>0</v>
      </c>
      <c r="AP9" s="57" t="str">
        <f aca="false">IF(AND(AO9&gt;0,AQ9&gt;0),AQ9/AO9,"")</f>
        <v/>
      </c>
      <c r="AQ9" s="8" t="n">
        <f aca="false">SUMIFS('Dr Umesh Choudhry'!$E$7:$E$300,'Dr Umesh Choudhry'!$B$7:$B$300,$B9)</f>
        <v>0</v>
      </c>
      <c r="AR9" s="8" t="n">
        <f aca="false">SUMIFS('Dr Umesh Choudhry'!$H$7:$H$300,'Dr Umesh Choudhry'!$B$7:$B$300,$B9)</f>
        <v>0</v>
      </c>
      <c r="AS9" s="8" t="n">
        <f aca="false">AR9-AQ9</f>
        <v>0</v>
      </c>
      <c r="AT9" s="9" t="str">
        <f aca="false">IF(AQ9&gt;0,AS9/AQ9,"")</f>
        <v/>
      </c>
      <c r="AU9" s="9" t="n">
        <f aca="false">IF(AR$6=0,"",AR9/AR$6)</f>
        <v>0</v>
      </c>
      <c r="AV9" s="56" t="n">
        <f aca="false">SUMIFS(DA!$D$7:$D$300,DA!$B$7:$B$300,$B9)</f>
        <v>0</v>
      </c>
      <c r="AW9" s="57" t="str">
        <f aca="false">IF(AND(AV9&gt;0,AX9&gt;0),AX9/AV9,"")</f>
        <v/>
      </c>
      <c r="AX9" s="8" t="n">
        <f aca="false">SUMIFS(DA!$E$7:$E$300,DA!$B$7:$B$300,$B9)</f>
        <v>0</v>
      </c>
      <c r="AY9" s="8" t="n">
        <f aca="false">SUMIFS(DA!$H$7:$H$300,DA!$B$7:$B$300,$B9)</f>
        <v>0</v>
      </c>
      <c r="AZ9" s="8" t="n">
        <f aca="false">AY9-AX9</f>
        <v>0</v>
      </c>
      <c r="BA9" s="9" t="str">
        <f aca="false">IF(AX9&gt;0,AZ9/AX9,"")</f>
        <v/>
      </c>
      <c r="BB9" s="9" t="n">
        <f aca="false">IF(AY$6=0,"",AY9/AY$6)</f>
        <v>0</v>
      </c>
    </row>
    <row r="10" customFormat="false" ht="15" hidden="false" customHeight="false" outlineLevel="0" collapsed="false">
      <c r="A10" s="5" t="n">
        <v>4</v>
      </c>
      <c r="B10" s="47" t="s">
        <v>82</v>
      </c>
      <c r="C10" s="48" t="n">
        <f aca="false">IFERROR(INDEX(Prices!$C$6:$C$300,MATCH($B10,Prices!$A$6:$A$300,0)),"")</f>
        <v>694.05</v>
      </c>
      <c r="D10" s="49" t="str">
        <f aca="false">IFERROR(INDEX(Prices!$D$6:$D$300,MATCH($B10,Prices!$A$6:$A$300,0)),"")</f>
        <v>Close 22.10.2026 (Screener.in)</v>
      </c>
      <c r="E10" s="6" t="n">
        <f aca="false">(M10&gt;0)+(T10&gt;0)+(AA10&gt;0)+(AH10&gt;0)+(AO10&gt;0)+(AV10&gt;0)</f>
        <v>6</v>
      </c>
      <c r="F10" s="50" t="n">
        <f aca="false">M10+T10+AA10+AH10+AO10+AV10</f>
        <v>3580</v>
      </c>
      <c r="G10" s="51" t="n">
        <f aca="false">IF(AND(F10&gt;0,H10&gt;0),H10/F10,"")</f>
        <v>793.617039106145</v>
      </c>
      <c r="H10" s="52" t="n">
        <f aca="false">O10+V10+AC10+AJ10+AQ10+AX10</f>
        <v>2841149</v>
      </c>
      <c r="I10" s="53" t="n">
        <f aca="false">P10+W10+AD10+AK10+AR10+AY10</f>
        <v>2484699</v>
      </c>
      <c r="J10" s="52" t="n">
        <f aca="false">I10-H10</f>
        <v>-356450</v>
      </c>
      <c r="K10" s="54" t="n">
        <f aca="false">IF(H10&gt;0,J10/H10,"")</f>
        <v>-0.125459805170373</v>
      </c>
      <c r="L10" s="55" t="n">
        <f aca="false">IF(I$6=0,"",I10/I$6)</f>
        <v>0.0658508725499117</v>
      </c>
      <c r="M10" s="56" t="n">
        <f aca="false">SUMIFS(Gautam!$D$7:$D$300,Gautam!$B$7:$B$300,$B10)</f>
        <v>447</v>
      </c>
      <c r="N10" s="57" t="n">
        <f aca="false">IF(AND(M10&gt;0,O10&gt;0),O10/M10,"")</f>
        <v>716.156599552573</v>
      </c>
      <c r="O10" s="8" t="n">
        <f aca="false">SUMIFS(Gautam!$E$7:$E$300,Gautam!$B$7:$B$300,$B10)</f>
        <v>320122</v>
      </c>
      <c r="P10" s="8" t="n">
        <f aca="false">SUMIFS(Gautam!$H$7:$H$300,Gautam!$B$7:$B$300,$B10)</f>
        <v>310240.35</v>
      </c>
      <c r="Q10" s="8" t="n">
        <f aca="false">P10-O10</f>
        <v>-9881.65000000002</v>
      </c>
      <c r="R10" s="9" t="n">
        <f aca="false">IF(O10&gt;0,Q10/O10,"")</f>
        <v>-0.0308683876771981</v>
      </c>
      <c r="S10" s="9" t="n">
        <f aca="false">IF(P$6=0,"",P10/P$6)</f>
        <v>0.0593743560600558</v>
      </c>
      <c r="T10" s="56" t="n">
        <f aca="false">SUMIFS('Manish Shilpa'!$D$7:$D$300,'Manish Shilpa'!$B$7:$B$300,$B10)</f>
        <v>1013</v>
      </c>
      <c r="U10" s="57" t="n">
        <f aca="false">IF(AND(T10&gt;0,V10&gt;0),V10/T10,"")</f>
        <v>802.253701875617</v>
      </c>
      <c r="V10" s="8" t="n">
        <f aca="false">SUMIFS('Manish Shilpa'!$E$7:$E$300,'Manish Shilpa'!$B$7:$B$300,$B10)</f>
        <v>812683</v>
      </c>
      <c r="W10" s="8" t="n">
        <f aca="false">SUMIFS('Manish Shilpa'!$H$7:$H$300,'Manish Shilpa'!$B$7:$B$300,$B10)</f>
        <v>703072.65</v>
      </c>
      <c r="X10" s="8" t="n">
        <f aca="false">W10-V10</f>
        <v>-109610.35</v>
      </c>
      <c r="Y10" s="9" t="n">
        <f aca="false">IF(V10&gt;0,X10/V10,"")</f>
        <v>-0.134874668228571</v>
      </c>
      <c r="Z10" s="9" t="n">
        <f aca="false">IF(W$6=0,"",W10/W$6)</f>
        <v>0.0594519615433891</v>
      </c>
      <c r="AA10" s="56" t="n">
        <f aca="false">SUMIFS('Saloni Mehra'!$D$7:$D$300,'Saloni Mehra'!$B$7:$B$300,$B10)</f>
        <v>1089</v>
      </c>
      <c r="AB10" s="57" t="n">
        <f aca="false">IF(AND(AA10&gt;0,AC10&gt;0),AC10/AA10,"")</f>
        <v>772.608815426997</v>
      </c>
      <c r="AC10" s="8" t="n">
        <f aca="false">SUMIFS('Saloni Mehra'!$E$7:$E$300,'Saloni Mehra'!$B$7:$B$300,$B10)</f>
        <v>841371</v>
      </c>
      <c r="AD10" s="8" t="n">
        <f aca="false">SUMIFS('Saloni Mehra'!$H$7:$H$300,'Saloni Mehra'!$B$7:$B$300,$B10)</f>
        <v>755820.45</v>
      </c>
      <c r="AE10" s="8" t="n">
        <f aca="false">AD10-AC10</f>
        <v>-85550.5500000001</v>
      </c>
      <c r="AF10" s="9" t="n">
        <f aca="false">IF(AC10&gt;0,AE10/AC10,"")</f>
        <v>-0.101679936674784</v>
      </c>
      <c r="AG10" s="9" t="n">
        <f aca="false">IF(AD$6=0,"",AD10/AD$6)</f>
        <v>0.0676802072086577</v>
      </c>
      <c r="AH10" s="56" t="n">
        <f aca="false">SUMIFS('Vidushi Malhotra'!$D$7:$D$300,'Vidushi Malhotra'!$B$7:$B$300,$B10)</f>
        <v>21</v>
      </c>
      <c r="AI10" s="57" t="n">
        <f aca="false">IF(AND(AH10&gt;0,AJ10&gt;0),AJ10/AH10,"")</f>
        <v>790.380952380952</v>
      </c>
      <c r="AJ10" s="8" t="n">
        <f aca="false">SUMIFS('Vidushi Malhotra'!$E$7:$E$300,'Vidushi Malhotra'!$B$7:$B$300,$B10)</f>
        <v>16598</v>
      </c>
      <c r="AK10" s="8" t="n">
        <f aca="false">SUMIFS('Vidushi Malhotra'!$H$7:$H$300,'Vidushi Malhotra'!$B$7:$B$300,$B10)</f>
        <v>14575.05</v>
      </c>
      <c r="AL10" s="8" t="n">
        <f aca="false">AK10-AJ10</f>
        <v>-2022.95</v>
      </c>
      <c r="AM10" s="9" t="n">
        <f aca="false">IF(AJ10&gt;0,AL10/AJ10,"")</f>
        <v>-0.121879142065309</v>
      </c>
      <c r="AN10" s="9" t="n">
        <f aca="false">IF(AK$6=0,"",AK10/AK$6)</f>
        <v>0.0644060584698977</v>
      </c>
      <c r="AO10" s="56" t="n">
        <f aca="false">SUMIFS('Dr Umesh Choudhry'!$D$7:$D$300,'Dr Umesh Choudhry'!$B$7:$B$300,$B10)</f>
        <v>673</v>
      </c>
      <c r="AP10" s="57" t="n">
        <f aca="false">IF(AND(AO10&gt;0,AQ10&gt;0),AQ10/AO10,"")</f>
        <v>890.659732540862</v>
      </c>
      <c r="AQ10" s="8" t="n">
        <f aca="false">SUMIFS('Dr Umesh Choudhry'!$E$7:$E$300,'Dr Umesh Choudhry'!$B$7:$B$300,$B10)</f>
        <v>599414</v>
      </c>
      <c r="AR10" s="8" t="n">
        <f aca="false">SUMIFS('Dr Umesh Choudhry'!$H$7:$H$300,'Dr Umesh Choudhry'!$B$7:$B$300,$B10)</f>
        <v>467095.65</v>
      </c>
      <c r="AS10" s="8" t="n">
        <f aca="false">AR10-AQ10</f>
        <v>-132318.35</v>
      </c>
      <c r="AT10" s="9" t="n">
        <f aca="false">IF(AQ10&gt;0,AS10/AQ10,"")</f>
        <v>-0.22074617876793</v>
      </c>
      <c r="AU10" s="9" t="n">
        <f aca="false">IF(AR$6=0,"",AR10/AR$6)</f>
        <v>0.086158981982471</v>
      </c>
      <c r="AV10" s="56" t="n">
        <f aca="false">SUMIFS(DA!$D$7:$D$300,DA!$B$7:$B$300,$B10)</f>
        <v>337</v>
      </c>
      <c r="AW10" s="57" t="n">
        <f aca="false">IF(AND(AV10&gt;0,AX10&gt;0),AX10/AV10,"")</f>
        <v>744.691394658754</v>
      </c>
      <c r="AX10" s="8" t="n">
        <f aca="false">SUMIFS(DA!$E$7:$E$300,DA!$B$7:$B$300,$B10)</f>
        <v>250961</v>
      </c>
      <c r="AY10" s="8" t="n">
        <f aca="false">SUMIFS(DA!$H$7:$H$300,DA!$B$7:$B$300,$B10)</f>
        <v>233894.85</v>
      </c>
      <c r="AZ10" s="8" t="n">
        <f aca="false">AY10-AX10</f>
        <v>-17066.15</v>
      </c>
      <c r="BA10" s="9" t="n">
        <f aca="false">IF(AX10&gt;0,AZ10/AX10,"")</f>
        <v>-0.0680031957156691</v>
      </c>
      <c r="BB10" s="9" t="n">
        <f aca="false">IF(AY$6=0,"",AY10/AY$6)</f>
        <v>0.0605003104569751</v>
      </c>
    </row>
    <row r="11" customFormat="false" ht="15" hidden="false" customHeight="false" outlineLevel="0" collapsed="false">
      <c r="A11" s="5" t="n">
        <v>5</v>
      </c>
      <c r="B11" s="47" t="s">
        <v>83</v>
      </c>
      <c r="C11" s="48" t="n">
        <f aca="false">IFERROR(INDEX(Prices!$C$6:$C$300,MATCH($B11,Prices!$A$6:$A$300,0)),"")</f>
        <v>432.45</v>
      </c>
      <c r="D11" s="49" t="str">
        <f aca="false">IFERROR(INDEX(Prices!$D$6:$D$300,MATCH($B11,Prices!$A$6:$A$300,0)),"")</f>
        <v>Close 22.10.2026 (Screener.in)</v>
      </c>
      <c r="E11" s="6" t="n">
        <f aca="false">(M11&gt;0)+(T11&gt;0)+(AA11&gt;0)+(AH11&gt;0)+(AO11&gt;0)+(AV11&gt;0)</f>
        <v>6</v>
      </c>
      <c r="F11" s="50" t="n">
        <f aca="false">M11+T11+AA11+AH11+AO11+AV11</f>
        <v>5392</v>
      </c>
      <c r="G11" s="51" t="n">
        <f aca="false">IF(AND(F11&gt;0,H11&gt;0),H11/F11,"")</f>
        <v>453.122774480712</v>
      </c>
      <c r="H11" s="52" t="n">
        <f aca="false">O11+V11+AC11+AJ11+AQ11+AX11</f>
        <v>2443238</v>
      </c>
      <c r="I11" s="53" t="n">
        <f aca="false">P11+W11+AD11+AK11+AR11+AY11</f>
        <v>2331770.4</v>
      </c>
      <c r="J11" s="52" t="n">
        <f aca="false">I11-H11</f>
        <v>-111467.6</v>
      </c>
      <c r="K11" s="54" t="n">
        <f aca="false">IF(H11&gt;0,J11/H11,"")</f>
        <v>-0.0456228987925039</v>
      </c>
      <c r="L11" s="55" t="n">
        <f aca="false">IF(I$6=0,"",I11/I$6)</f>
        <v>0.0617978738777037</v>
      </c>
      <c r="M11" s="56" t="n">
        <f aca="false">SUMIFS(Gautam!$D$7:$D$300,Gautam!$B$7:$B$300,$B11)</f>
        <v>1132</v>
      </c>
      <c r="N11" s="57" t="n">
        <f aca="false">IF(AND(M11&gt;0,O11&gt;0),O11/M11,"")</f>
        <v>465.69964664311</v>
      </c>
      <c r="O11" s="8" t="n">
        <f aca="false">SUMIFS(Gautam!$E$7:$E$300,Gautam!$B$7:$B$300,$B11)</f>
        <v>527172</v>
      </c>
      <c r="P11" s="8" t="n">
        <f aca="false">SUMIFS(Gautam!$H$7:$H$300,Gautam!$B$7:$B$300,$B11)</f>
        <v>489533.4</v>
      </c>
      <c r="Q11" s="8" t="n">
        <f aca="false">P11-O11</f>
        <v>-37638.6</v>
      </c>
      <c r="R11" s="9" t="n">
        <f aca="false">IF(O11&gt;0,Q11/O11,"")</f>
        <v>-0.0713971910496006</v>
      </c>
      <c r="S11" s="9" t="n">
        <f aca="false">IF(P$6=0,"",P11/P$6)</f>
        <v>0.0936877823754703</v>
      </c>
      <c r="T11" s="56" t="n">
        <f aca="false">SUMIFS('Manish Shilpa'!$D$7:$D$300,'Manish Shilpa'!$B$7:$B$300,$B11)</f>
        <v>1394</v>
      </c>
      <c r="U11" s="57" t="n">
        <f aca="false">IF(AND(T11&gt;0,V11&gt;0),V11/T11,"")</f>
        <v>446.56599713056</v>
      </c>
      <c r="V11" s="8" t="n">
        <f aca="false">SUMIFS('Manish Shilpa'!$E$7:$E$300,'Manish Shilpa'!$B$7:$B$300,$B11)</f>
        <v>622513</v>
      </c>
      <c r="W11" s="8" t="n">
        <f aca="false">SUMIFS('Manish Shilpa'!$H$7:$H$300,'Manish Shilpa'!$B$7:$B$300,$B11)</f>
        <v>602835.3</v>
      </c>
      <c r="X11" s="8" t="n">
        <f aca="false">W11-V11</f>
        <v>-19677.7000000001</v>
      </c>
      <c r="Y11" s="9" t="n">
        <f aca="false">IF(V11&gt;0,X11/V11,"")</f>
        <v>-0.0316101029215455</v>
      </c>
      <c r="Z11" s="9" t="n">
        <f aca="false">IF(W$6=0,"",W11/W$6)</f>
        <v>0.0509758715156924</v>
      </c>
      <c r="AA11" s="56" t="n">
        <f aca="false">SUMIFS('Saloni Mehra'!$D$7:$D$300,'Saloni Mehra'!$B$7:$B$300,$B11)</f>
        <v>1267</v>
      </c>
      <c r="AB11" s="57" t="n">
        <f aca="false">IF(AND(AA11&gt;0,AC11&gt;0),AC11/AA11,"")</f>
        <v>436.336227308603</v>
      </c>
      <c r="AC11" s="8" t="n">
        <f aca="false">SUMIFS('Saloni Mehra'!$E$7:$E$300,'Saloni Mehra'!$B$7:$B$300,$B11)</f>
        <v>552838</v>
      </c>
      <c r="AD11" s="8" t="n">
        <f aca="false">SUMIFS('Saloni Mehra'!$H$7:$H$300,'Saloni Mehra'!$B$7:$B$300,$B11)</f>
        <v>547914.15</v>
      </c>
      <c r="AE11" s="8" t="n">
        <f aca="false">AD11-AC11</f>
        <v>-4923.84999999998</v>
      </c>
      <c r="AF11" s="9" t="n">
        <f aca="false">IF(AC11&gt;0,AE11/AC11,"")</f>
        <v>-0.00890649702082704</v>
      </c>
      <c r="AG11" s="9" t="n">
        <f aca="false">IF(AD$6=0,"",AD11/AD$6)</f>
        <v>0.0490631646769488</v>
      </c>
      <c r="AH11" s="56" t="n">
        <f aca="false">SUMIFS('Vidushi Malhotra'!$D$7:$D$300,'Vidushi Malhotra'!$B$7:$B$300,$B11)</f>
        <v>38</v>
      </c>
      <c r="AI11" s="57" t="n">
        <f aca="false">IF(AND(AH11&gt;0,AJ11&gt;0),AJ11/AH11,"")</f>
        <v>452.421052631579</v>
      </c>
      <c r="AJ11" s="8" t="n">
        <f aca="false">SUMIFS('Vidushi Malhotra'!$E$7:$E$300,'Vidushi Malhotra'!$B$7:$B$300,$B11)</f>
        <v>17192</v>
      </c>
      <c r="AK11" s="8" t="n">
        <f aca="false">SUMIFS('Vidushi Malhotra'!$H$7:$H$300,'Vidushi Malhotra'!$B$7:$B$300,$B11)</f>
        <v>16433.1</v>
      </c>
      <c r="AL11" s="8" t="n">
        <f aca="false">AK11-AJ11</f>
        <v>-758.900000000002</v>
      </c>
      <c r="AM11" s="9" t="n">
        <f aca="false">IF(AJ11&gt;0,AL11/AJ11,"")</f>
        <v>-0.0441426244765008</v>
      </c>
      <c r="AN11" s="9" t="n">
        <f aca="false">IF(AK$6=0,"",AK11/AK$6)</f>
        <v>0.0726166427862461</v>
      </c>
      <c r="AO11" s="56" t="n">
        <f aca="false">SUMIFS('Dr Umesh Choudhry'!$D$7:$D$300,'Dr Umesh Choudhry'!$B$7:$B$300,$B11)</f>
        <v>769</v>
      </c>
      <c r="AP11" s="57" t="n">
        <f aca="false">IF(AND(AO11&gt;0,AQ11&gt;0),AQ11/AO11,"")</f>
        <v>451.222366710013</v>
      </c>
      <c r="AQ11" s="8" t="n">
        <f aca="false">SUMIFS('Dr Umesh Choudhry'!$E$7:$E$300,'Dr Umesh Choudhry'!$B$7:$B$300,$B11)</f>
        <v>346990</v>
      </c>
      <c r="AR11" s="8" t="n">
        <f aca="false">SUMIFS('Dr Umesh Choudhry'!$H$7:$H$300,'Dr Umesh Choudhry'!$B$7:$B$300,$B11)</f>
        <v>332554.05</v>
      </c>
      <c r="AS11" s="8" t="n">
        <f aca="false">AR11-AQ11</f>
        <v>-14435.95</v>
      </c>
      <c r="AT11" s="9" t="n">
        <f aca="false">IF(AQ11&gt;0,AS11/AQ11,"")</f>
        <v>-0.041603360327387</v>
      </c>
      <c r="AU11" s="9" t="n">
        <f aca="false">IF(AR$6=0,"",AR11/AR$6)</f>
        <v>0.0613418652092944</v>
      </c>
      <c r="AV11" s="56" t="n">
        <f aca="false">SUMIFS(DA!$D$7:$D$300,DA!$B$7:$B$300,$B11)</f>
        <v>792</v>
      </c>
      <c r="AW11" s="57" t="n">
        <f aca="false">IF(AND(AV11&gt;0,AX11&gt;0),AX11/AV11,"")</f>
        <v>475.420454545455</v>
      </c>
      <c r="AX11" s="8" t="n">
        <f aca="false">SUMIFS(DA!$E$7:$E$300,DA!$B$7:$B$300,$B11)</f>
        <v>376533</v>
      </c>
      <c r="AY11" s="8" t="n">
        <f aca="false">SUMIFS(DA!$H$7:$H$300,DA!$B$7:$B$300,$B11)</f>
        <v>342500.4</v>
      </c>
      <c r="AZ11" s="8" t="n">
        <f aca="false">AY11-AX11</f>
        <v>-34032.6</v>
      </c>
      <c r="BA11" s="9" t="n">
        <f aca="false">IF(AX11&gt;0,AZ11/AX11,"")</f>
        <v>-0.0903841097593041</v>
      </c>
      <c r="BB11" s="9" t="n">
        <f aca="false">IF(AY$6=0,"",AY11/AY$6)</f>
        <v>0.0885927181878445</v>
      </c>
    </row>
    <row r="12" customFormat="false" ht="15" hidden="false" customHeight="false" outlineLevel="0" collapsed="false">
      <c r="A12" s="5" t="n">
        <v>6</v>
      </c>
      <c r="B12" s="47" t="s">
        <v>84</v>
      </c>
      <c r="C12" s="48" t="n">
        <f aca="false">IFERROR(INDEX(Prices!$C$6:$C$300,MATCH($B12,Prices!$A$6:$A$300,0)),"")</f>
        <v>1371.45</v>
      </c>
      <c r="D12" s="49" t="str">
        <f aca="false">IFERROR(INDEX(Prices!$D$6:$D$300,MATCH($B12,Prices!$A$6:$A$300,0)),"")</f>
        <v>Close 22.10.2026 (Screener.in)</v>
      </c>
      <c r="E12" s="6" t="n">
        <f aca="false">(M12&gt;0)+(T12&gt;0)+(AA12&gt;0)+(AH12&gt;0)+(AO12&gt;0)+(AV12&gt;0)</f>
        <v>5</v>
      </c>
      <c r="F12" s="50" t="n">
        <f aca="false">M12+T12+AA12+AH12+AO12+AV12</f>
        <v>1200</v>
      </c>
      <c r="G12" s="51" t="n">
        <f aca="false">IF(AND(F12&gt;0,H12&gt;0),H12/F12,"")</f>
        <v>1079.98583333333</v>
      </c>
      <c r="H12" s="52" t="n">
        <f aca="false">O12+V12+AC12+AJ12+AQ12+AX12</f>
        <v>1295983</v>
      </c>
      <c r="I12" s="53" t="n">
        <f aca="false">P12+W12+AD12+AK12+AR12+AY12</f>
        <v>1645740</v>
      </c>
      <c r="J12" s="52" t="n">
        <f aca="false">I12-H12</f>
        <v>349757</v>
      </c>
      <c r="K12" s="54" t="n">
        <f aca="false">IF(H12&gt;0,J12/H12,"")</f>
        <v>0.269877768458383</v>
      </c>
      <c r="L12" s="55" t="n">
        <f aca="false">IF(I$6=0,"",I12/I$6)</f>
        <v>0.0436163152922312</v>
      </c>
      <c r="M12" s="56" t="n">
        <f aca="false">SUMIFS(Gautam!$D$7:$D$300,Gautam!$B$7:$B$300,$B12)</f>
        <v>120</v>
      </c>
      <c r="N12" s="57" t="n">
        <f aca="false">IF(AND(M12&gt;0,O12&gt;0),O12/M12,"")</f>
        <v>1666</v>
      </c>
      <c r="O12" s="8" t="n">
        <f aca="false">SUMIFS(Gautam!$E$7:$E$300,Gautam!$B$7:$B$300,$B12)</f>
        <v>199920</v>
      </c>
      <c r="P12" s="8" t="n">
        <f aca="false">SUMIFS(Gautam!$H$7:$H$300,Gautam!$B$7:$B$300,$B12)</f>
        <v>164574</v>
      </c>
      <c r="Q12" s="8" t="n">
        <f aca="false">P12-O12</f>
        <v>-35346</v>
      </c>
      <c r="R12" s="9" t="n">
        <f aca="false">IF(O12&gt;0,Q12/O12,"")</f>
        <v>-0.176800720288115</v>
      </c>
      <c r="S12" s="9" t="n">
        <f aca="false">IF(P$6=0,"",P12/P$6)</f>
        <v>0.0314964680584831</v>
      </c>
      <c r="T12" s="56" t="n">
        <f aca="false">SUMIFS('Manish Shilpa'!$D$7:$D$300,'Manish Shilpa'!$B$7:$B$300,$B12)</f>
        <v>360</v>
      </c>
      <c r="U12" s="57" t="n">
        <f aca="false">IF(AND(T12&gt;0,V12&gt;0),V12/T12,"")</f>
        <v>1007.56666666667</v>
      </c>
      <c r="V12" s="8" t="n">
        <f aca="false">SUMIFS('Manish Shilpa'!$E$7:$E$300,'Manish Shilpa'!$B$7:$B$300,$B12)</f>
        <v>362724</v>
      </c>
      <c r="W12" s="8" t="n">
        <f aca="false">SUMIFS('Manish Shilpa'!$H$7:$H$300,'Manish Shilpa'!$B$7:$B$300,$B12)</f>
        <v>493722</v>
      </c>
      <c r="X12" s="8" t="n">
        <f aca="false">W12-V12</f>
        <v>130998</v>
      </c>
      <c r="Y12" s="9" t="n">
        <f aca="false">IF(V12&gt;0,X12/V12,"")</f>
        <v>0.36115062692295</v>
      </c>
      <c r="Z12" s="9" t="n">
        <f aca="false">IF(W$6=0,"",W12/W$6)</f>
        <v>0.0417492294105383</v>
      </c>
      <c r="AA12" s="56" t="n">
        <f aca="false">SUMIFS('Saloni Mehra'!$D$7:$D$300,'Saloni Mehra'!$B$7:$B$300,$B12)</f>
        <v>360</v>
      </c>
      <c r="AB12" s="57" t="n">
        <f aca="false">IF(AND(AA12&gt;0,AC12&gt;0),AC12/AA12,"")</f>
        <v>1003</v>
      </c>
      <c r="AC12" s="8" t="n">
        <f aca="false">SUMIFS('Saloni Mehra'!$E$7:$E$300,'Saloni Mehra'!$B$7:$B$300,$B12)</f>
        <v>361080</v>
      </c>
      <c r="AD12" s="8" t="n">
        <f aca="false">SUMIFS('Saloni Mehra'!$H$7:$H$300,'Saloni Mehra'!$B$7:$B$300,$B12)</f>
        <v>493722</v>
      </c>
      <c r="AE12" s="8" t="n">
        <f aca="false">AD12-AC12</f>
        <v>132642</v>
      </c>
      <c r="AF12" s="9" t="n">
        <f aca="false">IF(AC12&gt;0,AE12/AC12,"")</f>
        <v>0.367347956131605</v>
      </c>
      <c r="AG12" s="9" t="n">
        <f aca="false">IF(AD$6=0,"",AD12/AD$6)</f>
        <v>0.0442105096037993</v>
      </c>
      <c r="AH12" s="56" t="n">
        <f aca="false">SUMIFS('Vidushi Malhotra'!$D$7:$D$300,'Vidushi Malhotra'!$B$7:$B$300,$B12)</f>
        <v>0</v>
      </c>
      <c r="AI12" s="57" t="str">
        <f aca="false">IF(AND(AH12&gt;0,AJ12&gt;0),AJ12/AH12,"")</f>
        <v/>
      </c>
      <c r="AJ12" s="8" t="n">
        <f aca="false">SUMIFS('Vidushi Malhotra'!$E$7:$E$300,'Vidushi Malhotra'!$B$7:$B$300,$B12)</f>
        <v>0</v>
      </c>
      <c r="AK12" s="8" t="n">
        <f aca="false">SUMIFS('Vidushi Malhotra'!$H$7:$H$300,'Vidushi Malhotra'!$B$7:$B$300,$B12)</f>
        <v>0</v>
      </c>
      <c r="AL12" s="8" t="n">
        <f aca="false">AK12-AJ12</f>
        <v>0</v>
      </c>
      <c r="AM12" s="9" t="str">
        <f aca="false">IF(AJ12&gt;0,AL12/AJ12,"")</f>
        <v/>
      </c>
      <c r="AN12" s="9" t="n">
        <f aca="false">IF(AK$6=0,"",AK12/AK$6)</f>
        <v>0</v>
      </c>
      <c r="AO12" s="56" t="n">
        <f aca="false">SUMIFS('Dr Umesh Choudhry'!$D$7:$D$300,'Dr Umesh Choudhry'!$B$7:$B$300,$B12)</f>
        <v>240</v>
      </c>
      <c r="AP12" s="57" t="n">
        <f aca="false">IF(AND(AO12&gt;0,AQ12&gt;0),AQ12/AO12,"")</f>
        <v>846.579166666667</v>
      </c>
      <c r="AQ12" s="8" t="n">
        <f aca="false">SUMIFS('Dr Umesh Choudhry'!$E$7:$E$300,'Dr Umesh Choudhry'!$B$7:$B$300,$B12)</f>
        <v>203179</v>
      </c>
      <c r="AR12" s="8" t="n">
        <f aca="false">SUMIFS('Dr Umesh Choudhry'!$H$7:$H$300,'Dr Umesh Choudhry'!$B$7:$B$300,$B12)</f>
        <v>329148</v>
      </c>
      <c r="AS12" s="8" t="n">
        <f aca="false">AR12-AQ12</f>
        <v>125969</v>
      </c>
      <c r="AT12" s="9" t="n">
        <f aca="false">IF(AQ12&gt;0,AS12/AQ12,"")</f>
        <v>0.61999025489839</v>
      </c>
      <c r="AU12" s="9" t="n">
        <f aca="false">IF(AR$6=0,"",AR12/AR$6)</f>
        <v>0.0607135960302057</v>
      </c>
      <c r="AV12" s="56" t="n">
        <f aca="false">SUMIFS(DA!$D$7:$D$300,DA!$B$7:$B$300,$B12)</f>
        <v>120</v>
      </c>
      <c r="AW12" s="57" t="n">
        <f aca="false">IF(AND(AV12&gt;0,AX12&gt;0),AX12/AV12,"")</f>
        <v>1409</v>
      </c>
      <c r="AX12" s="8" t="n">
        <f aca="false">SUMIFS(DA!$E$7:$E$300,DA!$B$7:$B$300,$B12)</f>
        <v>169080</v>
      </c>
      <c r="AY12" s="8" t="n">
        <f aca="false">SUMIFS(DA!$H$7:$H$300,DA!$B$7:$B$300,$B12)</f>
        <v>164574</v>
      </c>
      <c r="AZ12" s="8" t="n">
        <f aca="false">AY12-AX12</f>
        <v>-4506</v>
      </c>
      <c r="BA12" s="9" t="n">
        <f aca="false">IF(AX12&gt;0,AZ12/AX12,"")</f>
        <v>-0.0266501064584812</v>
      </c>
      <c r="BB12" s="9" t="n">
        <f aca="false">IF(AY$6=0,"",AY12/AY$6)</f>
        <v>0.0425694627014927</v>
      </c>
    </row>
    <row r="13" customFormat="false" ht="15" hidden="false" customHeight="false" outlineLevel="0" collapsed="false">
      <c r="A13" s="5" t="n">
        <v>7</v>
      </c>
      <c r="B13" s="47" t="s">
        <v>85</v>
      </c>
      <c r="C13" s="48" t="n">
        <f aca="false">IFERROR(INDEX(Prices!$C$6:$C$300,MATCH($B13,Prices!$A$6:$A$300,0)),"")</f>
        <v>2506.9</v>
      </c>
      <c r="D13" s="49" t="str">
        <f aca="false">IFERROR(INDEX(Prices!$D$6:$D$300,MATCH($B13,Prices!$A$6:$A$300,0)),"")</f>
        <v>Close 22.10.2026 (Screener.in)</v>
      </c>
      <c r="E13" s="6" t="n">
        <f aca="false">(M13&gt;0)+(T13&gt;0)+(AA13&gt;0)+(AH13&gt;0)+(AO13&gt;0)+(AV13&gt;0)</f>
        <v>5</v>
      </c>
      <c r="F13" s="50" t="n">
        <f aca="false">M13+T13+AA13+AH13+AO13+AV13</f>
        <v>468</v>
      </c>
      <c r="G13" s="51" t="n">
        <f aca="false">IF(AND(F13&gt;0,H13&gt;0),H13/F13,"")</f>
        <v>2396.88675213675</v>
      </c>
      <c r="H13" s="52" t="n">
        <f aca="false">O13+V13+AC13+AJ13+AQ13+AX13</f>
        <v>1121743</v>
      </c>
      <c r="I13" s="53" t="n">
        <f aca="false">P13+W13+AD13+AK13+AR13+AY13</f>
        <v>1173229.2</v>
      </c>
      <c r="J13" s="52" t="n">
        <f aca="false">I13-H13</f>
        <v>51486.2</v>
      </c>
      <c r="K13" s="54" t="n">
        <f aca="false">IF(H13&gt;0,J13/H13,"")</f>
        <v>0.0458983920559343</v>
      </c>
      <c r="L13" s="55" t="n">
        <f aca="false">IF(I$6=0,"",I13/I$6)</f>
        <v>0.0310935717046752</v>
      </c>
      <c r="M13" s="56" t="n">
        <f aca="false">SUMIFS(Gautam!$D$7:$D$300,Gautam!$B$7:$B$300,$B13)</f>
        <v>92</v>
      </c>
      <c r="N13" s="57" t="n">
        <f aca="false">IF(AND(M13&gt;0,O13&gt;0),O13/M13,"")</f>
        <v>2289</v>
      </c>
      <c r="O13" s="8" t="n">
        <f aca="false">SUMIFS(Gautam!$E$7:$E$300,Gautam!$B$7:$B$300,$B13)</f>
        <v>210588</v>
      </c>
      <c r="P13" s="8" t="n">
        <f aca="false">SUMIFS(Gautam!$H$7:$H$300,Gautam!$B$7:$B$300,$B13)</f>
        <v>230634.8</v>
      </c>
      <c r="Q13" s="8" t="n">
        <f aca="false">P13-O13</f>
        <v>20046.8</v>
      </c>
      <c r="R13" s="9" t="n">
        <f aca="false">IF(O13&gt;0,Q13/O13,"")</f>
        <v>0.0951944080384448</v>
      </c>
      <c r="S13" s="9" t="n">
        <f aca="false">IF(P$6=0,"",P13/P$6)</f>
        <v>0.0441393027536224</v>
      </c>
      <c r="T13" s="56" t="n">
        <f aca="false">SUMIFS('Manish Shilpa'!$D$7:$D$300,'Manish Shilpa'!$B$7:$B$300,$B13)</f>
        <v>29</v>
      </c>
      <c r="U13" s="57" t="n">
        <f aca="false">IF(AND(T13&gt;0,V13&gt;0),V13/T13,"")</f>
        <v>3379.10344827586</v>
      </c>
      <c r="V13" s="8" t="n">
        <f aca="false">SUMIFS('Manish Shilpa'!$E$7:$E$300,'Manish Shilpa'!$B$7:$B$300,$B13)</f>
        <v>97994</v>
      </c>
      <c r="W13" s="8" t="n">
        <f aca="false">SUMIFS('Manish Shilpa'!$H$7:$H$300,'Manish Shilpa'!$B$7:$B$300,$B13)</f>
        <v>72700.1</v>
      </c>
      <c r="X13" s="8" t="n">
        <f aca="false">W13-V13</f>
        <v>-25293.9</v>
      </c>
      <c r="Y13" s="9" t="n">
        <f aca="false">IF(V13&gt;0,X13/V13,"")</f>
        <v>-0.258116823478988</v>
      </c>
      <c r="Z13" s="9" t="n">
        <f aca="false">IF(W$6=0,"",W13/W$6)</f>
        <v>0.00614753475249043</v>
      </c>
      <c r="AA13" s="56" t="n">
        <f aca="false">SUMIFS('Saloni Mehra'!$D$7:$D$300,'Saloni Mehra'!$B$7:$B$300,$B13)</f>
        <v>305</v>
      </c>
      <c r="AB13" s="57" t="n">
        <f aca="false">IF(AND(AA13&gt;0,AC13&gt;0),AC13/AA13,"")</f>
        <v>2162</v>
      </c>
      <c r="AC13" s="8" t="n">
        <f aca="false">SUMIFS('Saloni Mehra'!$E$7:$E$300,'Saloni Mehra'!$B$7:$B$300,$B13)</f>
        <v>659410</v>
      </c>
      <c r="AD13" s="8" t="n">
        <f aca="false">SUMIFS('Saloni Mehra'!$H$7:$H$300,'Saloni Mehra'!$B$7:$B$300,$B13)</f>
        <v>764604.5</v>
      </c>
      <c r="AE13" s="8" t="n">
        <f aca="false">AD13-AC13</f>
        <v>105194.5</v>
      </c>
      <c r="AF13" s="9" t="n">
        <f aca="false">IF(AC13&gt;0,AE13/AC13,"")</f>
        <v>0.159528214616096</v>
      </c>
      <c r="AG13" s="9" t="n">
        <f aca="false">IF(AD$6=0,"",AD13/AD$6)</f>
        <v>0.0684667780458601</v>
      </c>
      <c r="AH13" s="56" t="n">
        <f aca="false">SUMIFS('Vidushi Malhotra'!$D$7:$D$300,'Vidushi Malhotra'!$B$7:$B$300,$B13)</f>
        <v>0</v>
      </c>
      <c r="AI13" s="57" t="str">
        <f aca="false">IF(AND(AH13&gt;0,AJ13&gt;0),AJ13/AH13,"")</f>
        <v/>
      </c>
      <c r="AJ13" s="8" t="n">
        <f aca="false">SUMIFS('Vidushi Malhotra'!$E$7:$E$300,'Vidushi Malhotra'!$B$7:$B$300,$B13)</f>
        <v>0</v>
      </c>
      <c r="AK13" s="8" t="n">
        <f aca="false">SUMIFS('Vidushi Malhotra'!$H$7:$H$300,'Vidushi Malhotra'!$B$7:$B$300,$B13)</f>
        <v>0</v>
      </c>
      <c r="AL13" s="8" t="n">
        <f aca="false">AK13-AJ13</f>
        <v>0</v>
      </c>
      <c r="AM13" s="9" t="str">
        <f aca="false">IF(AJ13&gt;0,AL13/AJ13,"")</f>
        <v/>
      </c>
      <c r="AN13" s="9" t="n">
        <f aca="false">IF(AK$6=0,"",AK13/AK$6)</f>
        <v>0</v>
      </c>
      <c r="AO13" s="56" t="n">
        <f aca="false">SUMIFS('Dr Umesh Choudhry'!$D$7:$D$300,'Dr Umesh Choudhry'!$B$7:$B$300,$B13)</f>
        <v>29</v>
      </c>
      <c r="AP13" s="57" t="n">
        <f aca="false">IF(AND(AO13&gt;0,AQ13&gt;0),AQ13/AO13,"")</f>
        <v>4227.68965517241</v>
      </c>
      <c r="AQ13" s="8" t="n">
        <f aca="false">SUMIFS('Dr Umesh Choudhry'!$E$7:$E$300,'Dr Umesh Choudhry'!$B$7:$B$300,$B13)</f>
        <v>122603</v>
      </c>
      <c r="AR13" s="8" t="n">
        <f aca="false">SUMIFS('Dr Umesh Choudhry'!$H$7:$H$300,'Dr Umesh Choudhry'!$B$7:$B$300,$B13)</f>
        <v>72700.1</v>
      </c>
      <c r="AS13" s="8" t="n">
        <f aca="false">AR13-AQ13</f>
        <v>-49902.9</v>
      </c>
      <c r="AT13" s="9" t="n">
        <f aca="false">IF(AQ13&gt;0,AS13/AQ13,"")</f>
        <v>-0.407028376140877</v>
      </c>
      <c r="AU13" s="9" t="n">
        <f aca="false">IF(AR$6=0,"",AR13/AR$6)</f>
        <v>0.0134100298429751</v>
      </c>
      <c r="AV13" s="56" t="n">
        <f aca="false">SUMIFS(DA!$D$7:$D$300,DA!$B$7:$B$300,$B13)</f>
        <v>13</v>
      </c>
      <c r="AW13" s="57" t="n">
        <f aca="false">IF(AND(AV13&gt;0,AX13&gt;0),AX13/AV13,"")</f>
        <v>2396</v>
      </c>
      <c r="AX13" s="8" t="n">
        <f aca="false">SUMIFS(DA!$E$7:$E$300,DA!$B$7:$B$300,$B13)</f>
        <v>31148</v>
      </c>
      <c r="AY13" s="8" t="n">
        <f aca="false">SUMIFS(DA!$H$7:$H$300,DA!$B$7:$B$300,$B13)</f>
        <v>32589.7</v>
      </c>
      <c r="AZ13" s="8" t="n">
        <f aca="false">AY13-AX13</f>
        <v>1441.7</v>
      </c>
      <c r="BA13" s="9" t="n">
        <f aca="false">IF(AX13&gt;0,AZ13/AX13,"")</f>
        <v>0.0462854757929883</v>
      </c>
      <c r="BB13" s="9" t="n">
        <f aca="false">IF(AY$6=0,"",AY13/AY$6)</f>
        <v>0.00842980068906896</v>
      </c>
    </row>
    <row r="14" customFormat="false" ht="15" hidden="false" customHeight="false" outlineLevel="0" collapsed="false">
      <c r="A14" s="5" t="n">
        <v>8</v>
      </c>
      <c r="B14" s="47" t="s">
        <v>86</v>
      </c>
      <c r="C14" s="48" t="n">
        <f aca="false">IFERROR(INDEX(Prices!$C$6:$C$300,MATCH($B14,Prices!$A$6:$A$300,0)),"")</f>
        <v>4274</v>
      </c>
      <c r="D14" s="49" t="str">
        <f aca="false">IFERROR(INDEX(Prices!$D$6:$D$300,MATCH($B14,Prices!$A$6:$A$300,0)),"")</f>
        <v>Close 22.10.2026 (Screener.in)</v>
      </c>
      <c r="E14" s="6" t="n">
        <f aca="false">(M14&gt;0)+(T14&gt;0)+(AA14&gt;0)+(AH14&gt;0)+(AO14&gt;0)+(AV14&gt;0)</f>
        <v>6</v>
      </c>
      <c r="F14" s="50" t="n">
        <f aca="false">M14+T14+AA14+AH14+AO14+AV14</f>
        <v>253</v>
      </c>
      <c r="G14" s="51" t="n">
        <f aca="false">IF(AND(F14&gt;0,H14&gt;0),H14/F14,"")</f>
        <v>4727.12648221344</v>
      </c>
      <c r="H14" s="52" t="n">
        <f aca="false">O14+V14+AC14+AJ14+AQ14+AX14</f>
        <v>1195963</v>
      </c>
      <c r="I14" s="53" t="n">
        <f aca="false">P14+W14+AD14+AK14+AR14+AY14</f>
        <v>1081322</v>
      </c>
      <c r="J14" s="52" t="n">
        <f aca="false">I14-H14</f>
        <v>-114641</v>
      </c>
      <c r="K14" s="54" t="n">
        <f aca="false">IF(H14&gt;0,J14/H14,"")</f>
        <v>-0.0958566443945172</v>
      </c>
      <c r="L14" s="55" t="n">
        <f aca="false">IF(I$6=0,"",I14/I$6)</f>
        <v>0.0286577960579594</v>
      </c>
      <c r="M14" s="56" t="n">
        <f aca="false">SUMIFS(Gautam!$D$7:$D$300,Gautam!$B$7:$B$300,$B14)</f>
        <v>60</v>
      </c>
      <c r="N14" s="57" t="n">
        <f aca="false">IF(AND(M14&gt;0,O14&gt;0),O14/M14,"")</f>
        <v>4564</v>
      </c>
      <c r="O14" s="8" t="n">
        <f aca="false">SUMIFS(Gautam!$E$7:$E$300,Gautam!$B$7:$B$300,$B14)</f>
        <v>273840</v>
      </c>
      <c r="P14" s="8" t="n">
        <f aca="false">SUMIFS(Gautam!$H$7:$H$300,Gautam!$B$7:$B$300,$B14)</f>
        <v>256440</v>
      </c>
      <c r="Q14" s="8" t="n">
        <f aca="false">P14-O14</f>
        <v>-17400</v>
      </c>
      <c r="R14" s="9" t="n">
        <f aca="false">IF(O14&gt;0,Q14/O14,"")</f>
        <v>-0.0635407537248028</v>
      </c>
      <c r="S14" s="9" t="n">
        <f aca="false">IF(P$6=0,"",P14/P$6)</f>
        <v>0.0490779483327708</v>
      </c>
      <c r="T14" s="56" t="n">
        <f aca="false">SUMIFS('Manish Shilpa'!$D$7:$D$300,'Manish Shilpa'!$B$7:$B$300,$B14)</f>
        <v>66</v>
      </c>
      <c r="U14" s="57" t="n">
        <f aca="false">IF(AND(T14&gt;0,V14&gt;0),V14/T14,"")</f>
        <v>5274.80303030303</v>
      </c>
      <c r="V14" s="8" t="n">
        <f aca="false">SUMIFS('Manish Shilpa'!$E$7:$E$300,'Manish Shilpa'!$B$7:$B$300,$B14)</f>
        <v>348137</v>
      </c>
      <c r="W14" s="8" t="n">
        <f aca="false">SUMIFS('Manish Shilpa'!$H$7:$H$300,'Manish Shilpa'!$B$7:$B$300,$B14)</f>
        <v>282084</v>
      </c>
      <c r="X14" s="8" t="n">
        <f aca="false">W14-V14</f>
        <v>-66053</v>
      </c>
      <c r="Y14" s="9" t="n">
        <f aca="false">IF(V14&gt;0,X14/V14,"")</f>
        <v>-0.189732777613411</v>
      </c>
      <c r="Z14" s="9" t="n">
        <f aca="false">IF(W$6=0,"",W14/W$6)</f>
        <v>0.0238530785118798</v>
      </c>
      <c r="AA14" s="56" t="n">
        <f aca="false">SUMIFS('Saloni Mehra'!$D$7:$D$300,'Saloni Mehra'!$B$7:$B$300,$B14)</f>
        <v>83</v>
      </c>
      <c r="AB14" s="57" t="n">
        <f aca="false">IF(AND(AA14&gt;0,AC14&gt;0),AC14/AA14,"")</f>
        <v>3897.90361445783</v>
      </c>
      <c r="AC14" s="8" t="n">
        <f aca="false">SUMIFS('Saloni Mehra'!$E$7:$E$300,'Saloni Mehra'!$B$7:$B$300,$B14)</f>
        <v>323526</v>
      </c>
      <c r="AD14" s="8" t="n">
        <f aca="false">SUMIFS('Saloni Mehra'!$H$7:$H$300,'Saloni Mehra'!$B$7:$B$300,$B14)</f>
        <v>354742</v>
      </c>
      <c r="AE14" s="8" t="n">
        <f aca="false">AD14-AC14</f>
        <v>31216</v>
      </c>
      <c r="AF14" s="9" t="n">
        <f aca="false">IF(AC14&gt;0,AE14/AC14,"")</f>
        <v>0.0964868356793581</v>
      </c>
      <c r="AG14" s="9" t="n">
        <f aca="false">IF(AD$6=0,"",AD14/AD$6)</f>
        <v>0.0317654967732266</v>
      </c>
      <c r="AH14" s="56" t="n">
        <f aca="false">SUMIFS('Vidushi Malhotra'!$D$7:$D$300,'Vidushi Malhotra'!$B$7:$B$300,$B14)</f>
        <v>2</v>
      </c>
      <c r="AI14" s="57" t="n">
        <f aca="false">IF(AND(AH14&gt;0,AJ14&gt;0),AJ14/AH14,"")</f>
        <v>5099</v>
      </c>
      <c r="AJ14" s="8" t="n">
        <f aca="false">SUMIFS('Vidushi Malhotra'!$E$7:$E$300,'Vidushi Malhotra'!$B$7:$B$300,$B14)</f>
        <v>10198</v>
      </c>
      <c r="AK14" s="8" t="n">
        <f aca="false">SUMIFS('Vidushi Malhotra'!$H$7:$H$300,'Vidushi Malhotra'!$B$7:$B$300,$B14)</f>
        <v>8548</v>
      </c>
      <c r="AL14" s="8" t="n">
        <f aca="false">AK14-AJ14</f>
        <v>-1650</v>
      </c>
      <c r="AM14" s="9" t="n">
        <f aca="false">IF(AJ14&gt;0,AL14/AJ14,"")</f>
        <v>-0.161796430672681</v>
      </c>
      <c r="AN14" s="9" t="n">
        <f aca="false">IF(AK$6=0,"",AK14/AK$6)</f>
        <v>0.0377729742128285</v>
      </c>
      <c r="AO14" s="56" t="n">
        <f aca="false">SUMIFS('Dr Umesh Choudhry'!$D$7:$D$300,'Dr Umesh Choudhry'!$B$7:$B$300,$B14)</f>
        <v>37</v>
      </c>
      <c r="AP14" s="57" t="n">
        <f aca="false">IF(AND(AO14&gt;0,AQ14&gt;0),AQ14/AO14,"")</f>
        <v>5854.10810810811</v>
      </c>
      <c r="AQ14" s="8" t="n">
        <f aca="false">SUMIFS('Dr Umesh Choudhry'!$E$7:$E$300,'Dr Umesh Choudhry'!$B$7:$B$300,$B14)</f>
        <v>216602</v>
      </c>
      <c r="AR14" s="8" t="n">
        <f aca="false">SUMIFS('Dr Umesh Choudhry'!$H$7:$H$300,'Dr Umesh Choudhry'!$B$7:$B$300,$B14)</f>
        <v>158138</v>
      </c>
      <c r="AS14" s="8" t="n">
        <f aca="false">AR14-AQ14</f>
        <v>-58464</v>
      </c>
      <c r="AT14" s="9" t="n">
        <f aca="false">IF(AQ14&gt;0,AS14/AQ14,"")</f>
        <v>-0.269914405222482</v>
      </c>
      <c r="AU14" s="9" t="n">
        <f aca="false">IF(AR$6=0,"",AR14/AR$6)</f>
        <v>0.0291696338699451</v>
      </c>
      <c r="AV14" s="56" t="n">
        <f aca="false">SUMIFS(DA!$D$7:$D$300,DA!$B$7:$B$300,$B14)</f>
        <v>5</v>
      </c>
      <c r="AW14" s="57" t="n">
        <f aca="false">IF(AND(AV14&gt;0,AX14&gt;0),AX14/AV14,"")</f>
        <v>4732</v>
      </c>
      <c r="AX14" s="8" t="n">
        <f aca="false">SUMIFS(DA!$E$7:$E$300,DA!$B$7:$B$300,$B14)</f>
        <v>23660</v>
      </c>
      <c r="AY14" s="8" t="n">
        <f aca="false">SUMIFS(DA!$H$7:$H$300,DA!$B$7:$B$300,$B14)</f>
        <v>21370</v>
      </c>
      <c r="AZ14" s="8" t="n">
        <f aca="false">AY14-AX14</f>
        <v>-2290</v>
      </c>
      <c r="BA14" s="9" t="n">
        <f aca="false">IF(AX14&gt;0,AZ14/AX14,"")</f>
        <v>-0.0967878275570583</v>
      </c>
      <c r="BB14" s="9" t="n">
        <f aca="false">IF(AY$6=0,"",AY14/AY$6)</f>
        <v>0.0055276618295168</v>
      </c>
    </row>
    <row r="15" customFormat="false" ht="15" hidden="false" customHeight="false" outlineLevel="0" collapsed="false">
      <c r="A15" s="5" t="n">
        <v>9</v>
      </c>
      <c r="B15" s="47" t="s">
        <v>87</v>
      </c>
      <c r="C15" s="48" t="n">
        <f aca="false">IFERROR(INDEX(Prices!$C$6:$C$300,MATCH($B15,Prices!$A$6:$A$300,0)),"")</f>
        <v>81.02</v>
      </c>
      <c r="D15" s="49" t="str">
        <f aca="false">IFERROR(INDEX(Prices!$D$6:$D$300,MATCH($B15,Prices!$A$6:$A$300,0)),"")</f>
        <v>Close 22.10.2026 (Screener.in)</v>
      </c>
      <c r="E15" s="6" t="n">
        <f aca="false">(M15&gt;0)+(T15&gt;0)+(AA15&gt;0)+(AH15&gt;0)+(AO15&gt;0)+(AV15&gt;0)</f>
        <v>6</v>
      </c>
      <c r="F15" s="50" t="n">
        <f aca="false">M15+T15+AA15+AH15+AO15+AV15</f>
        <v>13273</v>
      </c>
      <c r="G15" s="51" t="n">
        <f aca="false">IF(AND(F15&gt;0,H15&gt;0),H15/F15,"")</f>
        <v>100.941384766066</v>
      </c>
      <c r="H15" s="52" t="n">
        <f aca="false">O15+V15+AC15+AJ15+AQ15+AX15</f>
        <v>1339795</v>
      </c>
      <c r="I15" s="53" t="n">
        <f aca="false">P15+W15+AD15+AK15+AR15+AY15</f>
        <v>1075378.46</v>
      </c>
      <c r="J15" s="52" t="n">
        <f aca="false">I15-H15</f>
        <v>-264416.54</v>
      </c>
      <c r="K15" s="54" t="n">
        <f aca="false">IF(H15&gt;0,J15/H15,"")</f>
        <v>-0.197355968636993</v>
      </c>
      <c r="L15" s="55" t="n">
        <f aca="false">IF(I$6=0,"",I15/I$6)</f>
        <v>0.0285002770606743</v>
      </c>
      <c r="M15" s="56" t="n">
        <f aca="false">SUMIFS(Gautam!$D$7:$D$300,Gautam!$B$7:$B$300,$B15)</f>
        <v>1600</v>
      </c>
      <c r="N15" s="57" t="n">
        <f aca="false">IF(AND(M15&gt;0,O15&gt;0),O15/M15,"")</f>
        <v>83.08125</v>
      </c>
      <c r="O15" s="8" t="n">
        <f aca="false">SUMIFS(Gautam!$E$7:$E$300,Gautam!$B$7:$B$300,$B15)</f>
        <v>132930</v>
      </c>
      <c r="P15" s="8" t="n">
        <f aca="false">SUMIFS(Gautam!$H$7:$H$300,Gautam!$B$7:$B$300,$B15)</f>
        <v>129632</v>
      </c>
      <c r="Q15" s="8" t="n">
        <f aca="false">P15-O15</f>
        <v>-3298</v>
      </c>
      <c r="R15" s="9" t="n">
        <f aca="false">IF(O15&gt;0,Q15/O15,"")</f>
        <v>-0.0248100504024675</v>
      </c>
      <c r="S15" s="9" t="n">
        <f aca="false">IF(P$6=0,"",P15/P$6)</f>
        <v>0.0248092052654568</v>
      </c>
      <c r="T15" s="56" t="n">
        <f aca="false">SUMIFS('Manish Shilpa'!$D$7:$D$300,'Manish Shilpa'!$B$7:$B$300,$B15)</f>
        <v>3762</v>
      </c>
      <c r="U15" s="57" t="n">
        <f aca="false">IF(AND(T15&gt;0,V15&gt;0),V15/T15,"")</f>
        <v>115.016746411483</v>
      </c>
      <c r="V15" s="8" t="n">
        <f aca="false">SUMIFS('Manish Shilpa'!$E$7:$E$300,'Manish Shilpa'!$B$7:$B$300,$B15)</f>
        <v>432693</v>
      </c>
      <c r="W15" s="8" t="n">
        <f aca="false">SUMIFS('Manish Shilpa'!$H$7:$H$300,'Manish Shilpa'!$B$7:$B$300,$B15)</f>
        <v>304797.24</v>
      </c>
      <c r="X15" s="8" t="n">
        <f aca="false">W15-V15</f>
        <v>-127895.76</v>
      </c>
      <c r="Y15" s="9" t="n">
        <f aca="false">IF(V15&gt;0,X15/V15,"")</f>
        <v>-0.295580839070658</v>
      </c>
      <c r="Z15" s="9" t="n">
        <f aca="false">IF(W$6=0,"",W15/W$6)</f>
        <v>0.0257737145528433</v>
      </c>
      <c r="AA15" s="56" t="n">
        <f aca="false">SUMIFS('Saloni Mehra'!$D$7:$D$300,'Saloni Mehra'!$B$7:$B$300,$B15)</f>
        <v>3860</v>
      </c>
      <c r="AB15" s="57" t="n">
        <f aca="false">IF(AND(AA15&gt;0,AC15&gt;0),AC15/AA15,"")</f>
        <v>85.9253886010363</v>
      </c>
      <c r="AC15" s="8" t="n">
        <f aca="false">SUMIFS('Saloni Mehra'!$E$7:$E$300,'Saloni Mehra'!$B$7:$B$300,$B15)</f>
        <v>331672</v>
      </c>
      <c r="AD15" s="8" t="n">
        <f aca="false">SUMIFS('Saloni Mehra'!$H$7:$H$300,'Saloni Mehra'!$B$7:$B$300,$B15)</f>
        <v>312737.2</v>
      </c>
      <c r="AE15" s="8" t="n">
        <f aca="false">AD15-AC15</f>
        <v>-18934.8</v>
      </c>
      <c r="AF15" s="9" t="n">
        <f aca="false">IF(AC15&gt;0,AE15/AC15,"")</f>
        <v>-0.0570889312332666</v>
      </c>
      <c r="AG15" s="9" t="n">
        <f aca="false">IF(AD$6=0,"",AD15/AD$6)</f>
        <v>0.0280041622290789</v>
      </c>
      <c r="AH15" s="56" t="n">
        <f aca="false">SUMIFS('Vidushi Malhotra'!$D$7:$D$300,'Vidushi Malhotra'!$B$7:$B$300,$B15)</f>
        <v>121</v>
      </c>
      <c r="AI15" s="57" t="n">
        <f aca="false">IF(AND(AH15&gt;0,AJ15&gt;0),AJ15/AH15,"")</f>
        <v>115.438016528926</v>
      </c>
      <c r="AJ15" s="8" t="n">
        <f aca="false">SUMIFS('Vidushi Malhotra'!$E$7:$E$300,'Vidushi Malhotra'!$B$7:$B$300,$B15)</f>
        <v>13968</v>
      </c>
      <c r="AK15" s="8" t="n">
        <f aca="false">SUMIFS('Vidushi Malhotra'!$H$7:$H$300,'Vidushi Malhotra'!$B$7:$B$300,$B15)</f>
        <v>9803.42</v>
      </c>
      <c r="AL15" s="8" t="n">
        <f aca="false">AK15-AJ15</f>
        <v>-4164.58</v>
      </c>
      <c r="AM15" s="9" t="n">
        <f aca="false">IF(AJ15&gt;0,AL15/AJ15,"")</f>
        <v>-0.298151489117984</v>
      </c>
      <c r="AN15" s="9" t="n">
        <f aca="false">IF(AK$6=0,"",AK15/AK$6)</f>
        <v>0.043320581522874</v>
      </c>
      <c r="AO15" s="56" t="n">
        <f aca="false">SUMIFS('Dr Umesh Choudhry'!$D$7:$D$300,'Dr Umesh Choudhry'!$B$7:$B$300,$B15)</f>
        <v>2198</v>
      </c>
      <c r="AP15" s="57" t="n">
        <f aca="false">IF(AND(AO15&gt;0,AQ15&gt;0),AQ15/AO15,"")</f>
        <v>116.378525932666</v>
      </c>
      <c r="AQ15" s="8" t="n">
        <f aca="false">SUMIFS('Dr Umesh Choudhry'!$E$7:$E$300,'Dr Umesh Choudhry'!$B$7:$B$300,$B15)</f>
        <v>255800</v>
      </c>
      <c r="AR15" s="8" t="n">
        <f aca="false">SUMIFS('Dr Umesh Choudhry'!$H$7:$H$300,'Dr Umesh Choudhry'!$B$7:$B$300,$B15)</f>
        <v>178081.96</v>
      </c>
      <c r="AS15" s="8" t="n">
        <f aca="false">AR15-AQ15</f>
        <v>-77718.04</v>
      </c>
      <c r="AT15" s="9" t="n">
        <f aca="false">IF(AQ15&gt;0,AS15/AQ15,"")</f>
        <v>-0.303823455824863</v>
      </c>
      <c r="AU15" s="9" t="n">
        <f aca="false">IF(AR$6=0,"",AR15/AR$6)</f>
        <v>0.0328484334697682</v>
      </c>
      <c r="AV15" s="56" t="n">
        <f aca="false">SUMIFS(DA!$D$7:$D$300,DA!$B$7:$B$300,$B15)</f>
        <v>1732</v>
      </c>
      <c r="AW15" s="57" t="n">
        <f aca="false">IF(AND(AV15&gt;0,AX15&gt;0),AX15/AV15,"")</f>
        <v>99.729792147806</v>
      </c>
      <c r="AX15" s="8" t="n">
        <f aca="false">SUMIFS(DA!$E$7:$E$300,DA!$B$7:$B$300,$B15)</f>
        <v>172732</v>
      </c>
      <c r="AY15" s="8" t="n">
        <f aca="false">SUMIFS(DA!$H$7:$H$300,DA!$B$7:$B$300,$B15)</f>
        <v>140326.64</v>
      </c>
      <c r="AZ15" s="8" t="n">
        <f aca="false">AY15-AX15</f>
        <v>-32405.36</v>
      </c>
      <c r="BA15" s="9" t="n">
        <f aca="false">IF(AX15&gt;0,AZ15/AX15,"")</f>
        <v>-0.187604844498993</v>
      </c>
      <c r="BB15" s="9" t="n">
        <f aca="false">IF(AY$6=0,"",AY15/AY$6)</f>
        <v>0.0362975297890662</v>
      </c>
    </row>
    <row r="16" customFormat="false" ht="15" hidden="false" customHeight="false" outlineLevel="0" collapsed="false">
      <c r="A16" s="5" t="n">
        <v>10</v>
      </c>
      <c r="B16" s="47" t="s">
        <v>88</v>
      </c>
      <c r="C16" s="48" t="n">
        <f aca="false">IFERROR(INDEX(Prices!$C$6:$C$300,MATCH($B16,Prices!$A$6:$A$300,0)),"")</f>
        <v>234.25</v>
      </c>
      <c r="D16" s="49" t="str">
        <f aca="false">IFERROR(INDEX(Prices!$D$6:$D$300,MATCH($B16,Prices!$A$6:$A$300,0)),"")</f>
        <v>Close 22.10.2026 (Screener.in)</v>
      </c>
      <c r="E16" s="6" t="n">
        <f aca="false">(M16&gt;0)+(T16&gt;0)+(AA16&gt;0)+(AH16&gt;0)+(AO16&gt;0)+(AV16&gt;0)</f>
        <v>5</v>
      </c>
      <c r="F16" s="50" t="n">
        <f aca="false">M16+T16+AA16+AH16+AO16+AV16</f>
        <v>4000</v>
      </c>
      <c r="G16" s="51" t="n">
        <f aca="false">IF(AND(F16&gt;0,H16&gt;0),H16/F16,"")</f>
        <v>233.36675</v>
      </c>
      <c r="H16" s="52" t="n">
        <f aca="false">O16+V16+AC16+AJ16+AQ16+AX16</f>
        <v>933467</v>
      </c>
      <c r="I16" s="53" t="n">
        <f aca="false">P16+W16+AD16+AK16+AR16+AY16</f>
        <v>937000</v>
      </c>
      <c r="J16" s="52" t="n">
        <f aca="false">I16-H16</f>
        <v>3533</v>
      </c>
      <c r="K16" s="54" t="n">
        <f aca="false">IF(H16&gt;0,J16/H16,"")</f>
        <v>0.00378481510326557</v>
      </c>
      <c r="L16" s="55" t="n">
        <f aca="false">IF(I$6=0,"",I16/I$6)</f>
        <v>0.024832894277845</v>
      </c>
      <c r="M16" s="56" t="n">
        <f aca="false">SUMIFS(Gautam!$D$7:$D$300,Gautam!$B$7:$B$300,$B16)</f>
        <v>800</v>
      </c>
      <c r="N16" s="57" t="n">
        <f aca="false">IF(AND(M16&gt;0,O16&gt;0),O16/M16,"")</f>
        <v>264</v>
      </c>
      <c r="O16" s="8" t="n">
        <f aca="false">SUMIFS(Gautam!$E$7:$E$300,Gautam!$B$7:$B$300,$B16)</f>
        <v>211200</v>
      </c>
      <c r="P16" s="8" t="n">
        <f aca="false">SUMIFS(Gautam!$H$7:$H$300,Gautam!$B$7:$B$300,$B16)</f>
        <v>187400</v>
      </c>
      <c r="Q16" s="8" t="n">
        <f aca="false">P16-O16</f>
        <v>-23800</v>
      </c>
      <c r="R16" s="9" t="n">
        <f aca="false">IF(O16&gt;0,Q16/O16,"")</f>
        <v>-0.112689393939394</v>
      </c>
      <c r="S16" s="9" t="n">
        <f aca="false">IF(P$6=0,"",P16/P$6)</f>
        <v>0.0358649489844067</v>
      </c>
      <c r="T16" s="56" t="n">
        <f aca="false">SUMIFS('Manish Shilpa'!$D$7:$D$300,'Manish Shilpa'!$B$7:$B$300,$B16)</f>
        <v>800</v>
      </c>
      <c r="U16" s="57" t="n">
        <f aca="false">IF(AND(T16&gt;0,V16&gt;0),V16/T16,"")</f>
        <v>235.09375</v>
      </c>
      <c r="V16" s="8" t="n">
        <f aca="false">SUMIFS('Manish Shilpa'!$E$7:$E$300,'Manish Shilpa'!$B$7:$B$300,$B16)</f>
        <v>188075</v>
      </c>
      <c r="W16" s="8" t="n">
        <f aca="false">SUMIFS('Manish Shilpa'!$H$7:$H$300,'Manish Shilpa'!$B$7:$B$300,$B16)</f>
        <v>187400</v>
      </c>
      <c r="X16" s="8" t="n">
        <f aca="false">W16-V16</f>
        <v>-675</v>
      </c>
      <c r="Y16" s="9" t="n">
        <f aca="false">IF(V16&gt;0,X16/V16,"")</f>
        <v>-0.00358899375249236</v>
      </c>
      <c r="Z16" s="9" t="n">
        <f aca="false">IF(W$6=0,"",W16/W$6)</f>
        <v>0.0158465808522506</v>
      </c>
      <c r="AA16" s="56" t="n">
        <f aca="false">SUMIFS('Saloni Mehra'!$D$7:$D$300,'Saloni Mehra'!$B$7:$B$300,$B16)</f>
        <v>800</v>
      </c>
      <c r="AB16" s="57" t="n">
        <f aca="false">IF(AND(AA16&gt;0,AC16&gt;0),AC16/AA16,"")</f>
        <v>212.75</v>
      </c>
      <c r="AC16" s="8" t="n">
        <f aca="false">SUMIFS('Saloni Mehra'!$E$7:$E$300,'Saloni Mehra'!$B$7:$B$300,$B16)</f>
        <v>170200</v>
      </c>
      <c r="AD16" s="8" t="n">
        <f aca="false">SUMIFS('Saloni Mehra'!$H$7:$H$300,'Saloni Mehra'!$B$7:$B$300,$B16)</f>
        <v>187400</v>
      </c>
      <c r="AE16" s="8" t="n">
        <f aca="false">AD16-AC16</f>
        <v>17200</v>
      </c>
      <c r="AF16" s="9" t="n">
        <f aca="false">IF(AC16&gt;0,AE16/AC16,"")</f>
        <v>0.101057579318449</v>
      </c>
      <c r="AG16" s="9" t="n">
        <f aca="false">IF(AD$6=0,"",AD16/AD$6)</f>
        <v>0.0167807987080827</v>
      </c>
      <c r="AH16" s="56" t="n">
        <f aca="false">SUMIFS('Vidushi Malhotra'!$D$7:$D$300,'Vidushi Malhotra'!$B$7:$B$300,$B16)</f>
        <v>0</v>
      </c>
      <c r="AI16" s="57" t="str">
        <f aca="false">IF(AND(AH16&gt;0,AJ16&gt;0),AJ16/AH16,"")</f>
        <v/>
      </c>
      <c r="AJ16" s="8" t="n">
        <f aca="false">SUMIFS('Vidushi Malhotra'!$E$7:$E$300,'Vidushi Malhotra'!$B$7:$B$300,$B16)</f>
        <v>0</v>
      </c>
      <c r="AK16" s="8" t="n">
        <f aca="false">SUMIFS('Vidushi Malhotra'!$H$7:$H$300,'Vidushi Malhotra'!$B$7:$B$300,$B16)</f>
        <v>0</v>
      </c>
      <c r="AL16" s="8" t="n">
        <f aca="false">AK16-AJ16</f>
        <v>0</v>
      </c>
      <c r="AM16" s="9" t="str">
        <f aca="false">IF(AJ16&gt;0,AL16/AJ16,"")</f>
        <v/>
      </c>
      <c r="AN16" s="9" t="n">
        <f aca="false">IF(AK$6=0,"",AK16/AK$6)</f>
        <v>0</v>
      </c>
      <c r="AO16" s="56" t="n">
        <f aca="false">SUMIFS('Dr Umesh Choudhry'!$D$7:$D$300,'Dr Umesh Choudhry'!$B$7:$B$300,$B16)</f>
        <v>800</v>
      </c>
      <c r="AP16" s="57" t="n">
        <f aca="false">IF(AND(AO16&gt;0,AQ16&gt;0),AQ16/AO16,"")</f>
        <v>229.99</v>
      </c>
      <c r="AQ16" s="8" t="n">
        <f aca="false">SUMIFS('Dr Umesh Choudhry'!$E$7:$E$300,'Dr Umesh Choudhry'!$B$7:$B$300,$B16)</f>
        <v>183992</v>
      </c>
      <c r="AR16" s="8" t="n">
        <f aca="false">SUMIFS('Dr Umesh Choudhry'!$H$7:$H$300,'Dr Umesh Choudhry'!$B$7:$B$300,$B16)</f>
        <v>187400</v>
      </c>
      <c r="AS16" s="8" t="n">
        <f aca="false">AR16-AQ16</f>
        <v>3408</v>
      </c>
      <c r="AT16" s="9" t="n">
        <f aca="false">IF(AQ16&gt;0,AS16/AQ16,"")</f>
        <v>0.0185225444584547</v>
      </c>
      <c r="AU16" s="9" t="n">
        <f aca="false">IF(AR$6=0,"",AR16/AR$6)</f>
        <v>0.0345672095715622</v>
      </c>
      <c r="AV16" s="56" t="n">
        <f aca="false">SUMIFS(DA!$D$7:$D$300,DA!$B$7:$B$300,$B16)</f>
        <v>800</v>
      </c>
      <c r="AW16" s="57" t="n">
        <f aca="false">IF(AND(AV16&gt;0,AX16&gt;0),AX16/AV16,"")</f>
        <v>225</v>
      </c>
      <c r="AX16" s="8" t="n">
        <f aca="false">SUMIFS(DA!$E$7:$E$300,DA!$B$7:$B$300,$B16)</f>
        <v>180000</v>
      </c>
      <c r="AY16" s="8" t="n">
        <f aca="false">SUMIFS(DA!$H$7:$H$300,DA!$B$7:$B$300,$B16)</f>
        <v>187400</v>
      </c>
      <c r="AZ16" s="8" t="n">
        <f aca="false">AY16-AX16</f>
        <v>7400</v>
      </c>
      <c r="BA16" s="9" t="n">
        <f aca="false">IF(AX16&gt;0,AZ16/AX16,"")</f>
        <v>0.0411111111111111</v>
      </c>
      <c r="BB16" s="9" t="n">
        <f aca="false">IF(AY$6=0,"",AY16/AY$6)</f>
        <v>0.0484737401427912</v>
      </c>
    </row>
    <row r="17" customFormat="false" ht="15" hidden="false" customHeight="false" outlineLevel="0" collapsed="false">
      <c r="A17" s="5" t="n">
        <v>11</v>
      </c>
      <c r="B17" s="47" t="s">
        <v>89</v>
      </c>
      <c r="C17" s="48" t="n">
        <f aca="false">IFERROR(INDEX(Prices!$C$6:$C$300,MATCH($B17,Prices!$A$6:$A$300,0)),"")</f>
        <v>3954.8</v>
      </c>
      <c r="D17" s="49" t="str">
        <f aca="false">IFERROR(INDEX(Prices!$D$6:$D$300,MATCH($B17,Prices!$A$6:$A$300,0)),"")</f>
        <v>Close 22.10.2026 (Screener.in)</v>
      </c>
      <c r="E17" s="6" t="n">
        <f aca="false">(M17&gt;0)+(T17&gt;0)+(AA17&gt;0)+(AH17&gt;0)+(AO17&gt;0)+(AV17&gt;0)</f>
        <v>6</v>
      </c>
      <c r="F17" s="50" t="n">
        <f aca="false">M17+T17+AA17+AH17+AO17+AV17</f>
        <v>231</v>
      </c>
      <c r="G17" s="51" t="n">
        <f aca="false">IF(AND(F17&gt;0,H17&gt;0),H17/F17,"")</f>
        <v>3876.0303030303</v>
      </c>
      <c r="H17" s="52" t="n">
        <f aca="false">O17+V17+AC17+AJ17+AQ17+AX17</f>
        <v>895363</v>
      </c>
      <c r="I17" s="53" t="n">
        <f aca="false">P17+W17+AD17+AK17+AR17+AY17</f>
        <v>913558.8</v>
      </c>
      <c r="J17" s="52" t="n">
        <f aca="false">I17-H17</f>
        <v>18195.8</v>
      </c>
      <c r="K17" s="54" t="n">
        <f aca="false">IF(H17&gt;0,J17/H17,"")</f>
        <v>0.0203222603569726</v>
      </c>
      <c r="L17" s="55" t="n">
        <f aca="false">IF(I$6=0,"",I17/I$6)</f>
        <v>0.0242116425795037</v>
      </c>
      <c r="M17" s="56" t="n">
        <f aca="false">SUMIFS(Gautam!$D$7:$D$300,Gautam!$B$7:$B$300,$B17)</f>
        <v>30</v>
      </c>
      <c r="N17" s="57" t="n">
        <f aca="false">IF(AND(M17&gt;0,O17&gt;0),O17/M17,"")</f>
        <v>3484.36666666667</v>
      </c>
      <c r="O17" s="8" t="n">
        <f aca="false">SUMIFS(Gautam!$E$7:$E$300,Gautam!$B$7:$B$300,$B17)</f>
        <v>104531</v>
      </c>
      <c r="P17" s="8" t="n">
        <f aca="false">SUMIFS(Gautam!$H$7:$H$300,Gautam!$B$7:$B$300,$B17)</f>
        <v>118644</v>
      </c>
      <c r="Q17" s="8" t="n">
        <f aca="false">P17-O17</f>
        <v>14113</v>
      </c>
      <c r="R17" s="9" t="n">
        <f aca="false">IF(O17&gt;0,Q17/O17,"")</f>
        <v>0.135012580000191</v>
      </c>
      <c r="S17" s="9" t="n">
        <f aca="false">IF(P$6=0,"",P17/P$6)</f>
        <v>0.022706302066734</v>
      </c>
      <c r="T17" s="56" t="n">
        <f aca="false">SUMIFS('Manish Shilpa'!$D$7:$D$300,'Manish Shilpa'!$B$7:$B$300,$B17)</f>
        <v>72</v>
      </c>
      <c r="U17" s="57" t="n">
        <f aca="false">IF(AND(T17&gt;0,V17&gt;0),V17/T17,"")</f>
        <v>4214.81944444444</v>
      </c>
      <c r="V17" s="8" t="n">
        <f aca="false">SUMIFS('Manish Shilpa'!$E$7:$E$300,'Manish Shilpa'!$B$7:$B$300,$B17)</f>
        <v>303467</v>
      </c>
      <c r="W17" s="8" t="n">
        <f aca="false">SUMIFS('Manish Shilpa'!$H$7:$H$300,'Manish Shilpa'!$B$7:$B$300,$B17)</f>
        <v>284745.6</v>
      </c>
      <c r="X17" s="8" t="n">
        <f aca="false">W17-V17</f>
        <v>-18721.4</v>
      </c>
      <c r="Y17" s="9" t="n">
        <f aca="false">IF(V17&gt;0,X17/V17,"")</f>
        <v>-0.0616917160679743</v>
      </c>
      <c r="Z17" s="9" t="n">
        <f aca="false">IF(W$6=0,"",W17/W$6)</f>
        <v>0.024078143931284</v>
      </c>
      <c r="AA17" s="56" t="n">
        <f aca="false">SUMIFS('Saloni Mehra'!$D$7:$D$300,'Saloni Mehra'!$B$7:$B$300,$B17)</f>
        <v>72</v>
      </c>
      <c r="AB17" s="57" t="n">
        <f aca="false">IF(AND(AA17&gt;0,AC17&gt;0),AC17/AA17,"")</f>
        <v>3415.20833333333</v>
      </c>
      <c r="AC17" s="8" t="n">
        <f aca="false">SUMIFS('Saloni Mehra'!$E$7:$E$300,'Saloni Mehra'!$B$7:$B$300,$B17)</f>
        <v>245895</v>
      </c>
      <c r="AD17" s="8" t="n">
        <f aca="false">SUMIFS('Saloni Mehra'!$H$7:$H$300,'Saloni Mehra'!$B$7:$B$300,$B17)</f>
        <v>284745.6</v>
      </c>
      <c r="AE17" s="8" t="n">
        <f aca="false">AD17-AC17</f>
        <v>38850.6</v>
      </c>
      <c r="AF17" s="9" t="n">
        <f aca="false">IF(AC17&gt;0,AE17/AC17,"")</f>
        <v>0.15799670591106</v>
      </c>
      <c r="AG17" s="9" t="n">
        <f aca="false">IF(AD$6=0,"",AD17/AD$6)</f>
        <v>0.0254976445923811</v>
      </c>
      <c r="AH17" s="56" t="n">
        <f aca="false">SUMIFS('Vidushi Malhotra'!$D$7:$D$300,'Vidushi Malhotra'!$B$7:$B$300,$B17)</f>
        <v>1</v>
      </c>
      <c r="AI17" s="57" t="n">
        <f aca="false">IF(AND(AH17&gt;0,AJ17&gt;0),AJ17/AH17,"")</f>
        <v>4607</v>
      </c>
      <c r="AJ17" s="8" t="n">
        <f aca="false">SUMIFS('Vidushi Malhotra'!$E$7:$E$300,'Vidushi Malhotra'!$B$7:$B$300,$B17)</f>
        <v>4607</v>
      </c>
      <c r="AK17" s="8" t="n">
        <f aca="false">SUMIFS('Vidushi Malhotra'!$H$7:$H$300,'Vidushi Malhotra'!$B$7:$B$300,$B17)</f>
        <v>3954.8</v>
      </c>
      <c r="AL17" s="8" t="n">
        <f aca="false">AK17-AJ17</f>
        <v>-652.2</v>
      </c>
      <c r="AM17" s="9" t="n">
        <f aca="false">IF(AJ17&gt;0,AL17/AJ17,"")</f>
        <v>-0.141567180377686</v>
      </c>
      <c r="AN17" s="9" t="n">
        <f aca="false">IF(AK$6=0,"",AK17/AK$6)</f>
        <v>0.0174759661227064</v>
      </c>
      <c r="AO17" s="56" t="n">
        <f aca="false">SUMIFS('Dr Umesh Choudhry'!$D$7:$D$300,'Dr Umesh Choudhry'!$B$7:$B$300,$B17)</f>
        <v>32</v>
      </c>
      <c r="AP17" s="57" t="n">
        <f aca="false">IF(AND(AO17&gt;0,AQ17&gt;0),AQ17/AO17,"")</f>
        <v>4719.96875</v>
      </c>
      <c r="AQ17" s="8" t="n">
        <f aca="false">SUMIFS('Dr Umesh Choudhry'!$E$7:$E$300,'Dr Umesh Choudhry'!$B$7:$B$300,$B17)</f>
        <v>151039</v>
      </c>
      <c r="AR17" s="8" t="n">
        <f aca="false">SUMIFS('Dr Umesh Choudhry'!$H$7:$H$300,'Dr Umesh Choudhry'!$B$7:$B$300,$B17)</f>
        <v>126553.6</v>
      </c>
      <c r="AS17" s="8" t="n">
        <f aca="false">AR17-AQ17</f>
        <v>-24485.4</v>
      </c>
      <c r="AT17" s="9" t="n">
        <f aca="false">IF(AQ17&gt;0,AS17/AQ17,"")</f>
        <v>-0.16211309661743</v>
      </c>
      <c r="AU17" s="9" t="n">
        <f aca="false">IF(AR$6=0,"",AR17/AR$6)</f>
        <v>0.0233436756309267</v>
      </c>
      <c r="AV17" s="56" t="n">
        <f aca="false">SUMIFS(DA!$D$7:$D$300,DA!$B$7:$B$300,$B17)</f>
        <v>24</v>
      </c>
      <c r="AW17" s="57" t="n">
        <f aca="false">IF(AND(AV17&gt;0,AX17&gt;0),AX17/AV17,"")</f>
        <v>3576</v>
      </c>
      <c r="AX17" s="8" t="n">
        <f aca="false">SUMIFS(DA!$E$7:$E$300,DA!$B$7:$B$300,$B17)</f>
        <v>85824</v>
      </c>
      <c r="AY17" s="8" t="n">
        <f aca="false">SUMIFS(DA!$H$7:$H$300,DA!$B$7:$B$300,$B17)</f>
        <v>94915.2</v>
      </c>
      <c r="AZ17" s="8" t="n">
        <f aca="false">AY17-AX17</f>
        <v>9091.20000000001</v>
      </c>
      <c r="BA17" s="9" t="n">
        <f aca="false">IF(AX17&gt;0,AZ17/AX17,"")</f>
        <v>0.10592841163311</v>
      </c>
      <c r="BB17" s="9" t="n">
        <f aca="false">IF(AY$6=0,"",AY17/AY$6)</f>
        <v>0.024551199255075</v>
      </c>
    </row>
    <row r="18" customFormat="false" ht="15" hidden="false" customHeight="false" outlineLevel="0" collapsed="false">
      <c r="A18" s="5" t="n">
        <v>12</v>
      </c>
      <c r="B18" s="47" t="s">
        <v>90</v>
      </c>
      <c r="C18" s="48" t="n">
        <f aca="false">IFERROR(INDEX(Prices!$C$6:$C$300,MATCH($B18,Prices!$A$6:$A$300,0)),"")</f>
        <v>404.9</v>
      </c>
      <c r="D18" s="49" t="str">
        <f aca="false">IFERROR(INDEX(Prices!$D$6:$D$300,MATCH($B18,Prices!$A$6:$A$300,0)),"")</f>
        <v>Close 22.10.2026 (Screener.in)</v>
      </c>
      <c r="E18" s="6" t="n">
        <f aca="false">(M18&gt;0)+(T18&gt;0)+(AA18&gt;0)+(AH18&gt;0)+(AO18&gt;0)+(AV18&gt;0)</f>
        <v>1</v>
      </c>
      <c r="F18" s="50" t="n">
        <f aca="false">M18+T18+AA18+AH18+AO18+AV18</f>
        <v>2000</v>
      </c>
      <c r="G18" s="51" t="n">
        <f aca="false">IF(AND(F18&gt;0,H18&gt;0),H18/F18,"")</f>
        <v>422.65</v>
      </c>
      <c r="H18" s="52" t="n">
        <f aca="false">O18+V18+AC18+AJ18+AQ18+AX18</f>
        <v>845300</v>
      </c>
      <c r="I18" s="53" t="n">
        <f aca="false">P18+W18+AD18+AK18+AR18+AY18</f>
        <v>809800</v>
      </c>
      <c r="J18" s="52" t="n">
        <f aca="false">I18-H18</f>
        <v>-35500</v>
      </c>
      <c r="K18" s="54" t="n">
        <f aca="false">IF(H18&gt;0,J18/H18,"")</f>
        <v>-0.0419969241689341</v>
      </c>
      <c r="L18" s="55" t="n">
        <f aca="false">IF(I$6=0,"",I18/I$6)</f>
        <v>0.0214617692488782</v>
      </c>
      <c r="M18" s="56" t="n">
        <f aca="false">SUMIFS(Gautam!$D$7:$D$300,Gautam!$B$7:$B$300,$B18)</f>
        <v>0</v>
      </c>
      <c r="N18" s="57" t="str">
        <f aca="false">IF(AND(M18&gt;0,O18&gt;0),O18/M18,"")</f>
        <v/>
      </c>
      <c r="O18" s="8" t="n">
        <f aca="false">SUMIFS(Gautam!$E$7:$E$300,Gautam!$B$7:$B$300,$B18)</f>
        <v>0</v>
      </c>
      <c r="P18" s="8" t="n">
        <f aca="false">SUMIFS(Gautam!$H$7:$H$300,Gautam!$B$7:$B$300,$B18)</f>
        <v>0</v>
      </c>
      <c r="Q18" s="8" t="n">
        <f aca="false">P18-O18</f>
        <v>0</v>
      </c>
      <c r="R18" s="9" t="str">
        <f aca="false">IF(O18&gt;0,Q18/O18,"")</f>
        <v/>
      </c>
      <c r="S18" s="9" t="n">
        <f aca="false">IF(P$6=0,"",P18/P$6)</f>
        <v>0</v>
      </c>
      <c r="T18" s="56" t="n">
        <f aca="false">SUMIFS('Manish Shilpa'!$D$7:$D$300,'Manish Shilpa'!$B$7:$B$300,$B18)</f>
        <v>0</v>
      </c>
      <c r="U18" s="57" t="str">
        <f aca="false">IF(AND(T18&gt;0,V18&gt;0),V18/T18,"")</f>
        <v/>
      </c>
      <c r="V18" s="8" t="n">
        <f aca="false">SUMIFS('Manish Shilpa'!$E$7:$E$300,'Manish Shilpa'!$B$7:$B$300,$B18)</f>
        <v>0</v>
      </c>
      <c r="W18" s="8" t="n">
        <f aca="false">SUMIFS('Manish Shilpa'!$H$7:$H$300,'Manish Shilpa'!$B$7:$B$300,$B18)</f>
        <v>0</v>
      </c>
      <c r="X18" s="8" t="n">
        <f aca="false">W18-V18</f>
        <v>0</v>
      </c>
      <c r="Y18" s="9" t="str">
        <f aca="false">IF(V18&gt;0,X18/V18,"")</f>
        <v/>
      </c>
      <c r="Z18" s="9" t="n">
        <f aca="false">IF(W$6=0,"",W18/W$6)</f>
        <v>0</v>
      </c>
      <c r="AA18" s="56" t="n">
        <f aca="false">SUMIFS('Saloni Mehra'!$D$7:$D$300,'Saloni Mehra'!$B$7:$B$300,$B18)</f>
        <v>2000</v>
      </c>
      <c r="AB18" s="57" t="n">
        <f aca="false">IF(AND(AA18&gt;0,AC18&gt;0),AC18/AA18,"")</f>
        <v>422.65</v>
      </c>
      <c r="AC18" s="8" t="n">
        <f aca="false">SUMIFS('Saloni Mehra'!$E$7:$E$300,'Saloni Mehra'!$B$7:$B$300,$B18)</f>
        <v>845300</v>
      </c>
      <c r="AD18" s="8" t="n">
        <f aca="false">SUMIFS('Saloni Mehra'!$H$7:$H$300,'Saloni Mehra'!$B$7:$B$300,$B18)</f>
        <v>809800</v>
      </c>
      <c r="AE18" s="8" t="n">
        <f aca="false">AD18-AC18</f>
        <v>-35500</v>
      </c>
      <c r="AF18" s="9" t="n">
        <f aca="false">IF(AC18&gt;0,AE18/AC18,"")</f>
        <v>-0.0419969241689341</v>
      </c>
      <c r="AG18" s="9" t="n">
        <f aca="false">IF(AD$6=0,"",AD18/AD$6)</f>
        <v>0.0725138249402633</v>
      </c>
      <c r="AH18" s="56" t="n">
        <f aca="false">SUMIFS('Vidushi Malhotra'!$D$7:$D$300,'Vidushi Malhotra'!$B$7:$B$300,$B18)</f>
        <v>0</v>
      </c>
      <c r="AI18" s="57" t="str">
        <f aca="false">IF(AND(AH18&gt;0,AJ18&gt;0),AJ18/AH18,"")</f>
        <v/>
      </c>
      <c r="AJ18" s="8" t="n">
        <f aca="false">SUMIFS('Vidushi Malhotra'!$E$7:$E$300,'Vidushi Malhotra'!$B$7:$B$300,$B18)</f>
        <v>0</v>
      </c>
      <c r="AK18" s="8" t="n">
        <f aca="false">SUMIFS('Vidushi Malhotra'!$H$7:$H$300,'Vidushi Malhotra'!$B$7:$B$300,$B18)</f>
        <v>0</v>
      </c>
      <c r="AL18" s="8" t="n">
        <f aca="false">AK18-AJ18</f>
        <v>0</v>
      </c>
      <c r="AM18" s="9" t="str">
        <f aca="false">IF(AJ18&gt;0,AL18/AJ18,"")</f>
        <v/>
      </c>
      <c r="AN18" s="9" t="n">
        <f aca="false">IF(AK$6=0,"",AK18/AK$6)</f>
        <v>0</v>
      </c>
      <c r="AO18" s="56" t="n">
        <f aca="false">SUMIFS('Dr Umesh Choudhry'!$D$7:$D$300,'Dr Umesh Choudhry'!$B$7:$B$300,$B18)</f>
        <v>0</v>
      </c>
      <c r="AP18" s="57" t="str">
        <f aca="false">IF(AND(AO18&gt;0,AQ18&gt;0),AQ18/AO18,"")</f>
        <v/>
      </c>
      <c r="AQ18" s="8" t="n">
        <f aca="false">SUMIFS('Dr Umesh Choudhry'!$E$7:$E$300,'Dr Umesh Choudhry'!$B$7:$B$300,$B18)</f>
        <v>0</v>
      </c>
      <c r="AR18" s="8" t="n">
        <f aca="false">SUMIFS('Dr Umesh Choudhry'!$H$7:$H$300,'Dr Umesh Choudhry'!$B$7:$B$300,$B18)</f>
        <v>0</v>
      </c>
      <c r="AS18" s="8" t="n">
        <f aca="false">AR18-AQ18</f>
        <v>0</v>
      </c>
      <c r="AT18" s="9" t="str">
        <f aca="false">IF(AQ18&gt;0,AS18/AQ18,"")</f>
        <v/>
      </c>
      <c r="AU18" s="9" t="n">
        <f aca="false">IF(AR$6=0,"",AR18/AR$6)</f>
        <v>0</v>
      </c>
      <c r="AV18" s="56" t="n">
        <f aca="false">SUMIFS(DA!$D$7:$D$300,DA!$B$7:$B$300,$B18)</f>
        <v>0</v>
      </c>
      <c r="AW18" s="57" t="str">
        <f aca="false">IF(AND(AV18&gt;0,AX18&gt;0),AX18/AV18,"")</f>
        <v/>
      </c>
      <c r="AX18" s="8" t="n">
        <f aca="false">SUMIFS(DA!$E$7:$E$300,DA!$B$7:$B$300,$B18)</f>
        <v>0</v>
      </c>
      <c r="AY18" s="8" t="n">
        <f aca="false">SUMIFS(DA!$H$7:$H$300,DA!$B$7:$B$300,$B18)</f>
        <v>0</v>
      </c>
      <c r="AZ18" s="8" t="n">
        <f aca="false">AY18-AX18</f>
        <v>0</v>
      </c>
      <c r="BA18" s="9" t="str">
        <f aca="false">IF(AX18&gt;0,AZ18/AX18,"")</f>
        <v/>
      </c>
      <c r="BB18" s="9" t="n">
        <f aca="false">IF(AY$6=0,"",AY18/AY$6)</f>
        <v>0</v>
      </c>
    </row>
    <row r="19" customFormat="false" ht="15" hidden="false" customHeight="false" outlineLevel="0" collapsed="false">
      <c r="A19" s="5" t="n">
        <v>13</v>
      </c>
      <c r="B19" s="47" t="s">
        <v>91</v>
      </c>
      <c r="C19" s="48" t="n">
        <f aca="false">IFERROR(INDEX(Prices!$C$6:$C$300,MATCH($B19,Prices!$A$6:$A$300,0)),"")</f>
        <v>51.55</v>
      </c>
      <c r="D19" s="49" t="str">
        <f aca="false">IFERROR(INDEX(Prices!$D$6:$D$300,MATCH($B19,Prices!$A$6:$A$300,0)),"")</f>
        <v>Close 22.10.2026 (Screener.in)</v>
      </c>
      <c r="E19" s="6" t="n">
        <f aca="false">(M19&gt;0)+(T19&gt;0)+(AA19&gt;0)+(AH19&gt;0)+(AO19&gt;0)+(AV19&gt;0)</f>
        <v>6</v>
      </c>
      <c r="F19" s="50" t="n">
        <f aca="false">M19+T19+AA19+AH19+AO19+AV19</f>
        <v>13610</v>
      </c>
      <c r="G19" s="51" t="n">
        <f aca="false">IF(AND(F19&gt;0,H19&gt;0),H19/F19,"")</f>
        <v>39.6277736958119</v>
      </c>
      <c r="H19" s="52" t="n">
        <f aca="false">O19+V19+AC19+AJ19+AQ19+AX19</f>
        <v>539334</v>
      </c>
      <c r="I19" s="53" t="n">
        <f aca="false">P19+W19+AD19+AK19+AR19+AY19</f>
        <v>701595.5</v>
      </c>
      <c r="J19" s="52" t="n">
        <f aca="false">I19-H19</f>
        <v>162261.5</v>
      </c>
      <c r="K19" s="54" t="n">
        <f aca="false">IF(H19&gt;0,J19/H19,"")</f>
        <v>0.300855314146707</v>
      </c>
      <c r="L19" s="55" t="n">
        <f aca="false">IF(I$6=0,"",I19/I$6)</f>
        <v>0.0185940735083371</v>
      </c>
      <c r="M19" s="56" t="n">
        <f aca="false">SUMIFS(Gautam!$D$7:$D$300,Gautam!$B$7:$B$300,$B19)</f>
        <v>830</v>
      </c>
      <c r="N19" s="57" t="n">
        <f aca="false">IF(AND(M19&gt;0,O19&gt;0),O19/M19,"")</f>
        <v>56.2674698795181</v>
      </c>
      <c r="O19" s="8" t="n">
        <f aca="false">SUMIFS(Gautam!$E$7:$E$300,Gautam!$B$7:$B$300,$B19)</f>
        <v>46702</v>
      </c>
      <c r="P19" s="8" t="n">
        <f aca="false">SUMIFS(Gautam!$H$7:$H$300,Gautam!$B$7:$B$300,$B19)</f>
        <v>42786.5</v>
      </c>
      <c r="Q19" s="8" t="n">
        <f aca="false">P19-O19</f>
        <v>-3915.5</v>
      </c>
      <c r="R19" s="9" t="n">
        <f aca="false">IF(O19&gt;0,Q19/O19,"")</f>
        <v>-0.0838400925013918</v>
      </c>
      <c r="S19" s="9" t="n">
        <f aca="false">IF(P$6=0,"",P19/P$6)</f>
        <v>0.00818855730907852</v>
      </c>
      <c r="T19" s="56" t="n">
        <f aca="false">SUMIFS('Manish Shilpa'!$D$7:$D$300,'Manish Shilpa'!$B$7:$B$300,$B19)</f>
        <v>3500</v>
      </c>
      <c r="U19" s="57" t="n">
        <f aca="false">IF(AND(T19&gt;0,V19&gt;0),V19/T19,"")</f>
        <v>33.564</v>
      </c>
      <c r="V19" s="8" t="n">
        <f aca="false">SUMIFS('Manish Shilpa'!$E$7:$E$300,'Manish Shilpa'!$B$7:$B$300,$B19)</f>
        <v>117474</v>
      </c>
      <c r="W19" s="8" t="n">
        <f aca="false">SUMIFS('Manish Shilpa'!$H$7:$H$300,'Manish Shilpa'!$B$7:$B$300,$B19)</f>
        <v>180425</v>
      </c>
      <c r="X19" s="8" t="n">
        <f aca="false">W19-V19</f>
        <v>62951</v>
      </c>
      <c r="Y19" s="9" t="n">
        <f aca="false">IF(V19&gt;0,X19/V19,"")</f>
        <v>0.535871767369801</v>
      </c>
      <c r="Z19" s="9" t="n">
        <f aca="false">IF(W$6=0,"",W19/W$6)</f>
        <v>0.0152567734806154</v>
      </c>
      <c r="AA19" s="56" t="n">
        <f aca="false">SUMIFS('Saloni Mehra'!$D$7:$D$300,'Saloni Mehra'!$B$7:$B$300,$B19)</f>
        <v>4830</v>
      </c>
      <c r="AB19" s="57" t="n">
        <f aca="false">IF(AND(AA19&gt;0,AC19&gt;0),AC19/AA19,"")</f>
        <v>43.4501035196687</v>
      </c>
      <c r="AC19" s="8" t="n">
        <f aca="false">SUMIFS('Saloni Mehra'!$E$7:$E$300,'Saloni Mehra'!$B$7:$B$300,$B19)</f>
        <v>209864</v>
      </c>
      <c r="AD19" s="8" t="n">
        <f aca="false">SUMIFS('Saloni Mehra'!$H$7:$H$300,'Saloni Mehra'!$B$7:$B$300,$B19)</f>
        <v>248986.5</v>
      </c>
      <c r="AE19" s="8" t="n">
        <f aca="false">AD19-AC19</f>
        <v>39122.5</v>
      </c>
      <c r="AF19" s="9" t="n">
        <f aca="false">IF(AC19&gt;0,AE19/AC19,"")</f>
        <v>0.18641834712004</v>
      </c>
      <c r="AG19" s="9" t="n">
        <f aca="false">IF(AD$6=0,"",AD19/AD$6)</f>
        <v>0.022295583444664</v>
      </c>
      <c r="AH19" s="56" t="n">
        <f aca="false">SUMIFS('Vidushi Malhotra'!$D$7:$D$300,'Vidushi Malhotra'!$B$7:$B$300,$B19)</f>
        <v>50</v>
      </c>
      <c r="AI19" s="57" t="n">
        <f aca="false">IF(AND(AH19&gt;0,AJ19&gt;0),AJ19/AH19,"")</f>
        <v>37.54</v>
      </c>
      <c r="AJ19" s="8" t="n">
        <f aca="false">SUMIFS('Vidushi Malhotra'!$E$7:$E$300,'Vidushi Malhotra'!$B$7:$B$300,$B19)</f>
        <v>1877</v>
      </c>
      <c r="AK19" s="8" t="n">
        <f aca="false">SUMIFS('Vidushi Malhotra'!$H$7:$H$300,'Vidushi Malhotra'!$B$7:$B$300,$B19)</f>
        <v>2577.5</v>
      </c>
      <c r="AL19" s="8" t="n">
        <f aca="false">AK19-AJ19</f>
        <v>700.5</v>
      </c>
      <c r="AM19" s="9" t="n">
        <f aca="false">IF(AJ19&gt;0,AL19/AJ19,"")</f>
        <v>0.373201917954182</v>
      </c>
      <c r="AN19" s="9" t="n">
        <f aca="false">IF(AK$6=0,"",AK19/AK$6)</f>
        <v>0.0113897801864255</v>
      </c>
      <c r="AO19" s="56" t="n">
        <f aca="false">SUMIFS('Dr Umesh Choudhry'!$D$7:$D$300,'Dr Umesh Choudhry'!$B$7:$B$300,$B19)</f>
        <v>2370</v>
      </c>
      <c r="AP19" s="57" t="n">
        <f aca="false">IF(AND(AO19&gt;0,AQ19&gt;0),AQ19/AO19,"")</f>
        <v>39.8299578059072</v>
      </c>
      <c r="AQ19" s="8" t="n">
        <f aca="false">SUMIFS('Dr Umesh Choudhry'!$E$7:$E$300,'Dr Umesh Choudhry'!$B$7:$B$300,$B19)</f>
        <v>94397</v>
      </c>
      <c r="AR19" s="8" t="n">
        <f aca="false">SUMIFS('Dr Umesh Choudhry'!$H$7:$H$300,'Dr Umesh Choudhry'!$B$7:$B$300,$B19)</f>
        <v>122173.5</v>
      </c>
      <c r="AS19" s="8" t="n">
        <f aca="false">AR19-AQ19</f>
        <v>27776.5</v>
      </c>
      <c r="AT19" s="9" t="n">
        <f aca="false">IF(AQ19&gt;0,AS19/AQ19,"")</f>
        <v>0.294251935972542</v>
      </c>
      <c r="AU19" s="9" t="n">
        <f aca="false">IF(AR$6=0,"",AR19/AR$6)</f>
        <v>0.0225357362785019</v>
      </c>
      <c r="AV19" s="56" t="n">
        <f aca="false">SUMIFS(DA!$D$7:$D$300,DA!$B$7:$B$300,$B19)</f>
        <v>2030</v>
      </c>
      <c r="AW19" s="57" t="n">
        <f aca="false">IF(AND(AV19&gt;0,AX19&gt;0),AX19/AV19,"")</f>
        <v>34</v>
      </c>
      <c r="AX19" s="8" t="n">
        <f aca="false">SUMIFS(DA!$E$7:$E$300,DA!$B$7:$B$300,$B19)</f>
        <v>69020</v>
      </c>
      <c r="AY19" s="8" t="n">
        <f aca="false">SUMIFS(DA!$H$7:$H$300,DA!$B$7:$B$300,$B19)</f>
        <v>104646.5</v>
      </c>
      <c r="AZ19" s="8" t="n">
        <f aca="false">AY19-AX19</f>
        <v>35626.5</v>
      </c>
      <c r="BA19" s="9" t="n">
        <f aca="false">IF(AX19&gt;0,AZ19/AX19,"")</f>
        <v>0.516176470588235</v>
      </c>
      <c r="BB19" s="9" t="n">
        <f aca="false">IF(AY$6=0,"",AY19/AY$6)</f>
        <v>0.027068341770825</v>
      </c>
    </row>
    <row r="20" customFormat="false" ht="15" hidden="false" customHeight="false" outlineLevel="0" collapsed="false">
      <c r="A20" s="5" t="n">
        <v>14</v>
      </c>
      <c r="B20" s="47" t="s">
        <v>92</v>
      </c>
      <c r="C20" s="48" t="n">
        <f aca="false">IFERROR(INDEX(Prices!$C$6:$C$300,MATCH($B20,Prices!$A$6:$A$300,0)),"")</f>
        <v>3846.8</v>
      </c>
      <c r="D20" s="49" t="str">
        <f aca="false">IFERROR(INDEX(Prices!$D$6:$D$300,MATCH($B20,Prices!$A$6:$A$300,0)),"")</f>
        <v>Close 22.10.2026 (Screener.in)</v>
      </c>
      <c r="E20" s="6" t="n">
        <f aca="false">(M20&gt;0)+(T20&gt;0)+(AA20&gt;0)+(AH20&gt;0)+(AO20&gt;0)+(AV20&gt;0)</f>
        <v>5</v>
      </c>
      <c r="F20" s="50" t="n">
        <f aca="false">M20+T20+AA20+AH20+AO20+AV20</f>
        <v>176</v>
      </c>
      <c r="G20" s="51" t="n">
        <f aca="false">IF(AND(F20&gt;0,H20&gt;0),H20/F20,"")</f>
        <v>4321.92045454546</v>
      </c>
      <c r="H20" s="52" t="n">
        <f aca="false">O20+V20+AC20+AJ20+AQ20+AX20</f>
        <v>760658</v>
      </c>
      <c r="I20" s="53" t="n">
        <f aca="false">P20+W20+AD20+AK20+AR20+AY20</f>
        <v>677036.8</v>
      </c>
      <c r="J20" s="52" t="n">
        <f aca="false">I20-H20</f>
        <v>-83621.2</v>
      </c>
      <c r="K20" s="54" t="n">
        <f aca="false">IF(H20&gt;0,J20/H20,"")</f>
        <v>-0.109932716148387</v>
      </c>
      <c r="L20" s="55" t="n">
        <f aca="false">IF(I$6=0,"",I20/I$6)</f>
        <v>0.0179432052044936</v>
      </c>
      <c r="M20" s="56" t="n">
        <f aca="false">SUMIFS(Gautam!$D$7:$D$300,Gautam!$B$7:$B$300,$B20)</f>
        <v>41</v>
      </c>
      <c r="N20" s="57" t="n">
        <f aca="false">IF(AND(M20&gt;0,O20&gt;0),O20/M20,"")</f>
        <v>3426.19512195122</v>
      </c>
      <c r="O20" s="8" t="n">
        <f aca="false">SUMIFS(Gautam!$E$7:$E$300,Gautam!$B$7:$B$300,$B20)</f>
        <v>140474</v>
      </c>
      <c r="P20" s="8" t="n">
        <f aca="false">SUMIFS(Gautam!$H$7:$H$300,Gautam!$B$7:$B$300,$B20)</f>
        <v>157718.8</v>
      </c>
      <c r="Q20" s="8" t="n">
        <f aca="false">P20-O20</f>
        <v>17244.8</v>
      </c>
      <c r="R20" s="9" t="n">
        <f aca="false">IF(O20&gt;0,Q20/O20,"")</f>
        <v>0.122761507467574</v>
      </c>
      <c r="S20" s="9" t="n">
        <f aca="false">IF(P$6=0,"",P20/P$6)</f>
        <v>0.0301845075553993</v>
      </c>
      <c r="T20" s="56" t="n">
        <f aca="false">SUMIFS('Manish Shilpa'!$D$7:$D$300,'Manish Shilpa'!$B$7:$B$300,$B20)</f>
        <v>32</v>
      </c>
      <c r="U20" s="57" t="n">
        <f aca="false">IF(AND(T20&gt;0,V20&gt;0),V20/T20,"")</f>
        <v>6633.4375</v>
      </c>
      <c r="V20" s="8" t="n">
        <f aca="false">SUMIFS('Manish Shilpa'!$E$7:$E$300,'Manish Shilpa'!$B$7:$B$300,$B20)</f>
        <v>212270</v>
      </c>
      <c r="W20" s="8" t="n">
        <f aca="false">SUMIFS('Manish Shilpa'!$H$7:$H$300,'Manish Shilpa'!$B$7:$B$300,$B20)</f>
        <v>123097.6</v>
      </c>
      <c r="X20" s="8" t="n">
        <f aca="false">W20-V20</f>
        <v>-89172.4</v>
      </c>
      <c r="Y20" s="9" t="n">
        <f aca="false">IF(V20&gt;0,X20/V20,"")</f>
        <v>-0.420089508644651</v>
      </c>
      <c r="Z20" s="9" t="n">
        <f aca="false">IF(W$6=0,"",W20/W$6)</f>
        <v>0.0104091572631697</v>
      </c>
      <c r="AA20" s="56" t="n">
        <f aca="false">SUMIFS('Saloni Mehra'!$D$7:$D$300,'Saloni Mehra'!$B$7:$B$300,$B20)</f>
        <v>61</v>
      </c>
      <c r="AB20" s="57" t="n">
        <f aca="false">IF(AND(AA20&gt;0,AC20&gt;0),AC20/AA20,"")</f>
        <v>4047.80327868852</v>
      </c>
      <c r="AC20" s="8" t="n">
        <f aca="false">SUMIFS('Saloni Mehra'!$E$7:$E$300,'Saloni Mehra'!$B$7:$B$300,$B20)</f>
        <v>246916</v>
      </c>
      <c r="AD20" s="8" t="n">
        <f aca="false">SUMIFS('Saloni Mehra'!$H$7:$H$300,'Saloni Mehra'!$B$7:$B$300,$B20)</f>
        <v>234654.8</v>
      </c>
      <c r="AE20" s="8" t="n">
        <f aca="false">AD20-AC20</f>
        <v>-12261.2</v>
      </c>
      <c r="AF20" s="9" t="n">
        <f aca="false">IF(AC20&gt;0,AE20/AC20,"")</f>
        <v>-0.049657373357741</v>
      </c>
      <c r="AG20" s="9" t="n">
        <f aca="false">IF(AD$6=0,"",AD20/AD$6)</f>
        <v>0.0210122463430384</v>
      </c>
      <c r="AH20" s="56" t="n">
        <f aca="false">SUMIFS('Vidushi Malhotra'!$D$7:$D$300,'Vidushi Malhotra'!$B$7:$B$300,$B20)</f>
        <v>0</v>
      </c>
      <c r="AI20" s="57" t="str">
        <f aca="false">IF(AND(AH20&gt;0,AJ20&gt;0),AJ20/AH20,"")</f>
        <v/>
      </c>
      <c r="AJ20" s="8" t="n">
        <f aca="false">SUMIFS('Vidushi Malhotra'!$E$7:$E$300,'Vidushi Malhotra'!$B$7:$B$300,$B20)</f>
        <v>0</v>
      </c>
      <c r="AK20" s="8" t="n">
        <f aca="false">SUMIFS('Vidushi Malhotra'!$H$7:$H$300,'Vidushi Malhotra'!$B$7:$B$300,$B20)</f>
        <v>0</v>
      </c>
      <c r="AL20" s="8" t="n">
        <f aca="false">AK20-AJ20</f>
        <v>0</v>
      </c>
      <c r="AM20" s="9" t="str">
        <f aca="false">IF(AJ20&gt;0,AL20/AJ20,"")</f>
        <v/>
      </c>
      <c r="AN20" s="9" t="n">
        <f aca="false">IF(AK$6=0,"",AK20/AK$6)</f>
        <v>0</v>
      </c>
      <c r="AO20" s="56" t="n">
        <f aca="false">SUMIFS('Dr Umesh Choudhry'!$D$7:$D$300,'Dr Umesh Choudhry'!$B$7:$B$300,$B20)</f>
        <v>22</v>
      </c>
      <c r="AP20" s="57" t="n">
        <f aca="false">IF(AND(AO20&gt;0,AQ20&gt;0),AQ20/AO20,"")</f>
        <v>3921.72727272727</v>
      </c>
      <c r="AQ20" s="8" t="n">
        <f aca="false">SUMIFS('Dr Umesh Choudhry'!$E$7:$E$300,'Dr Umesh Choudhry'!$B$7:$B$300,$B20)</f>
        <v>86278</v>
      </c>
      <c r="AR20" s="8" t="n">
        <f aca="false">SUMIFS('Dr Umesh Choudhry'!$H$7:$H$300,'Dr Umesh Choudhry'!$B$7:$B$300,$B20)</f>
        <v>84629.6</v>
      </c>
      <c r="AS20" s="8" t="n">
        <f aca="false">AR20-AQ20</f>
        <v>-1648.39999999999</v>
      </c>
      <c r="AT20" s="9" t="n">
        <f aca="false">IF(AQ20&gt;0,AS20/AQ20,"")</f>
        <v>-0.0191056816337884</v>
      </c>
      <c r="AU20" s="9" t="n">
        <f aca="false">IF(AR$6=0,"",AR20/AR$6)</f>
        <v>0.0156105075728788</v>
      </c>
      <c r="AV20" s="56" t="n">
        <f aca="false">SUMIFS(DA!$D$7:$D$300,DA!$B$7:$B$300,$B20)</f>
        <v>20</v>
      </c>
      <c r="AW20" s="57" t="n">
        <f aca="false">IF(AND(AV20&gt;0,AX20&gt;0),AX20/AV20,"")</f>
        <v>3736</v>
      </c>
      <c r="AX20" s="8" t="n">
        <f aca="false">SUMIFS(DA!$E$7:$E$300,DA!$B$7:$B$300,$B20)</f>
        <v>74720</v>
      </c>
      <c r="AY20" s="8" t="n">
        <f aca="false">SUMIFS(DA!$H$7:$H$300,DA!$B$7:$B$300,$B20)</f>
        <v>76936</v>
      </c>
      <c r="AZ20" s="8" t="n">
        <f aca="false">AY20-AX20</f>
        <v>2216</v>
      </c>
      <c r="BA20" s="9" t="n">
        <f aca="false">IF(AX20&gt;0,AZ20/AX20,"")</f>
        <v>0.0296573875802998</v>
      </c>
      <c r="BB20" s="9" t="n">
        <f aca="false">IF(AY$6=0,"",AY20/AY$6)</f>
        <v>0.0199006172445346</v>
      </c>
    </row>
    <row r="21" customFormat="false" ht="15" hidden="false" customHeight="false" outlineLevel="0" collapsed="false">
      <c r="A21" s="5" t="n">
        <v>15</v>
      </c>
      <c r="B21" s="47" t="s">
        <v>93</v>
      </c>
      <c r="C21" s="48" t="n">
        <f aca="false">IFERROR(INDEX(Prices!$C$6:$C$300,MATCH($B21,Prices!$A$6:$A$300,0)),"")</f>
        <v>5740.5</v>
      </c>
      <c r="D21" s="49" t="str">
        <f aca="false">IFERROR(INDEX(Prices!$D$6:$D$300,MATCH($B21,Prices!$A$6:$A$300,0)),"")</f>
        <v>Close 22.10.2026 (Screener.in)</v>
      </c>
      <c r="E21" s="6" t="n">
        <f aca="false">(M21&gt;0)+(T21&gt;0)+(AA21&gt;0)+(AH21&gt;0)+(AO21&gt;0)+(AV21&gt;0)</f>
        <v>5</v>
      </c>
      <c r="F21" s="50" t="n">
        <f aca="false">M21+T21+AA21+AH21+AO21+AV21</f>
        <v>74</v>
      </c>
      <c r="G21" s="51" t="n">
        <f aca="false">IF(AND(F21&gt;0,H21&gt;0),H21/F21,"")</f>
        <v>5124.60810810811</v>
      </c>
      <c r="H21" s="52" t="n">
        <f aca="false">O21+V21+AC21+AJ21+AQ21+AX21</f>
        <v>379221</v>
      </c>
      <c r="I21" s="53" t="n">
        <f aca="false">P21+W21+AD21+AK21+AR21+AY21</f>
        <v>424797</v>
      </c>
      <c r="J21" s="52" t="n">
        <f aca="false">I21-H21</f>
        <v>45576</v>
      </c>
      <c r="K21" s="54" t="n">
        <f aca="false">IF(H21&gt;0,J21/H21,"")</f>
        <v>0.120183217701551</v>
      </c>
      <c r="L21" s="55" t="n">
        <f aca="false">IF(I$6=0,"",I21/I$6)</f>
        <v>0.0112582059664309</v>
      </c>
      <c r="M21" s="56" t="n">
        <f aca="false">SUMIFS(Gautam!$D$7:$D$300,Gautam!$B$7:$B$300,$B21)</f>
        <v>19</v>
      </c>
      <c r="N21" s="57" t="n">
        <f aca="false">IF(AND(M21&gt;0,O21&gt;0),O21/M21,"")</f>
        <v>5549.26315789474</v>
      </c>
      <c r="O21" s="8" t="n">
        <f aca="false">SUMIFS(Gautam!$E$7:$E$300,Gautam!$B$7:$B$300,$B21)</f>
        <v>105436</v>
      </c>
      <c r="P21" s="8" t="n">
        <f aca="false">SUMIFS(Gautam!$H$7:$H$300,Gautam!$B$7:$B$300,$B21)</f>
        <v>109069.5</v>
      </c>
      <c r="Q21" s="8" t="n">
        <f aca="false">P21-O21</f>
        <v>3633.5</v>
      </c>
      <c r="R21" s="9" t="n">
        <f aca="false">IF(O21&gt;0,Q21/O21,"")</f>
        <v>0.0344616639477977</v>
      </c>
      <c r="S21" s="9" t="n">
        <f aca="false">IF(P$6=0,"",P21/P$6)</f>
        <v>0.0208739170397798</v>
      </c>
      <c r="T21" s="56" t="n">
        <f aca="false">SUMIFS('Manish Shilpa'!$D$7:$D$300,'Manish Shilpa'!$B$7:$B$300,$B21)</f>
        <v>11</v>
      </c>
      <c r="U21" s="57" t="n">
        <f aca="false">IF(AND(T21&gt;0,V21&gt;0),V21/T21,"")</f>
        <v>4529.36363636364</v>
      </c>
      <c r="V21" s="8" t="n">
        <f aca="false">SUMIFS('Manish Shilpa'!$E$7:$E$300,'Manish Shilpa'!$B$7:$B$300,$B21)</f>
        <v>49823</v>
      </c>
      <c r="W21" s="8" t="n">
        <f aca="false">SUMIFS('Manish Shilpa'!$H$7:$H$300,'Manish Shilpa'!$B$7:$B$300,$B21)</f>
        <v>63145.5</v>
      </c>
      <c r="X21" s="8" t="n">
        <f aca="false">W21-V21</f>
        <v>13322.5</v>
      </c>
      <c r="Y21" s="9" t="n">
        <f aca="false">IF(V21&gt;0,X21/V21,"")</f>
        <v>0.267396583907031</v>
      </c>
      <c r="Z21" s="9" t="n">
        <f aca="false">IF(W$6=0,"",W21/W$6)</f>
        <v>0.00533959589757627</v>
      </c>
      <c r="AA21" s="56" t="n">
        <f aca="false">SUMIFS('Saloni Mehra'!$D$7:$D$300,'Saloni Mehra'!$B$7:$B$300,$B21)</f>
        <v>9</v>
      </c>
      <c r="AB21" s="57" t="n">
        <f aca="false">IF(AND(AA21&gt;0,AC21&gt;0),AC21/AA21,"")</f>
        <v>5039.55555555556</v>
      </c>
      <c r="AC21" s="8" t="n">
        <f aca="false">SUMIFS('Saloni Mehra'!$E$7:$E$300,'Saloni Mehra'!$B$7:$B$300,$B21)</f>
        <v>45356</v>
      </c>
      <c r="AD21" s="8" t="n">
        <f aca="false">SUMIFS('Saloni Mehra'!$H$7:$H$300,'Saloni Mehra'!$B$7:$B$300,$B21)</f>
        <v>51664.5</v>
      </c>
      <c r="AE21" s="8" t="n">
        <f aca="false">AD21-AC21</f>
        <v>6308.5</v>
      </c>
      <c r="AF21" s="9" t="n">
        <f aca="false">IF(AC21&gt;0,AE21/AC21,"")</f>
        <v>0.139088543963312</v>
      </c>
      <c r="AG21" s="9" t="n">
        <f aca="false">IF(AD$6=0,"",AD21/AD$6)</f>
        <v>0.00462631576762933</v>
      </c>
      <c r="AH21" s="56" t="n">
        <f aca="false">SUMIFS('Vidushi Malhotra'!$D$7:$D$300,'Vidushi Malhotra'!$B$7:$B$300,$B21)</f>
        <v>0</v>
      </c>
      <c r="AI21" s="57" t="str">
        <f aca="false">IF(AND(AH21&gt;0,AJ21&gt;0),AJ21/AH21,"")</f>
        <v/>
      </c>
      <c r="AJ21" s="8" t="n">
        <f aca="false">SUMIFS('Vidushi Malhotra'!$E$7:$E$300,'Vidushi Malhotra'!$B$7:$B$300,$B21)</f>
        <v>0</v>
      </c>
      <c r="AK21" s="8" t="n">
        <f aca="false">SUMIFS('Vidushi Malhotra'!$H$7:$H$300,'Vidushi Malhotra'!$B$7:$B$300,$B21)</f>
        <v>0</v>
      </c>
      <c r="AL21" s="8" t="n">
        <f aca="false">AK21-AJ21</f>
        <v>0</v>
      </c>
      <c r="AM21" s="9" t="str">
        <f aca="false">IF(AJ21&gt;0,AL21/AJ21,"")</f>
        <v/>
      </c>
      <c r="AN21" s="9" t="n">
        <f aca="false">IF(AK$6=0,"",AK21/AK$6)</f>
        <v>0</v>
      </c>
      <c r="AO21" s="56" t="n">
        <f aca="false">SUMIFS('Dr Umesh Choudhry'!$D$7:$D$300,'Dr Umesh Choudhry'!$B$7:$B$300,$B21)</f>
        <v>17</v>
      </c>
      <c r="AP21" s="57" t="n">
        <f aca="false">IF(AND(AO21&gt;0,AQ21&gt;0),AQ21/AO21,"")</f>
        <v>5101.94117647059</v>
      </c>
      <c r="AQ21" s="8" t="n">
        <f aca="false">SUMIFS('Dr Umesh Choudhry'!$E$7:$E$300,'Dr Umesh Choudhry'!$B$7:$B$300,$B21)</f>
        <v>86733</v>
      </c>
      <c r="AR21" s="8" t="n">
        <f aca="false">SUMIFS('Dr Umesh Choudhry'!$H$7:$H$300,'Dr Umesh Choudhry'!$B$7:$B$300,$B21)</f>
        <v>97588.5</v>
      </c>
      <c r="AS21" s="8" t="n">
        <f aca="false">AR21-AQ21</f>
        <v>10855.5</v>
      </c>
      <c r="AT21" s="9" t="n">
        <f aca="false">IF(AQ21&gt;0,AS21/AQ21,"")</f>
        <v>0.125159973712428</v>
      </c>
      <c r="AU21" s="9" t="n">
        <f aca="false">IF(AR$6=0,"",AR21/AR$6)</f>
        <v>0.0180008651615496</v>
      </c>
      <c r="AV21" s="56" t="n">
        <f aca="false">SUMIFS(DA!$D$7:$D$300,DA!$B$7:$B$300,$B21)</f>
        <v>18</v>
      </c>
      <c r="AW21" s="57" t="n">
        <f aca="false">IF(AND(AV21&gt;0,AX21&gt;0),AX21/AV21,"")</f>
        <v>5104.05555555556</v>
      </c>
      <c r="AX21" s="8" t="n">
        <f aca="false">SUMIFS(DA!$E$7:$E$300,DA!$B$7:$B$300,$B21)</f>
        <v>91873</v>
      </c>
      <c r="AY21" s="8" t="n">
        <f aca="false">SUMIFS(DA!$H$7:$H$300,DA!$B$7:$B$300,$B21)</f>
        <v>103329</v>
      </c>
      <c r="AZ21" s="8" t="n">
        <f aca="false">AY21-AX21</f>
        <v>11456</v>
      </c>
      <c r="BA21" s="9" t="n">
        <f aca="false">IF(AX21&gt;0,AZ21/AX21,"")</f>
        <v>0.124693870886985</v>
      </c>
      <c r="BB21" s="9" t="n">
        <f aca="false">IF(AY$6=0,"",AY21/AY$6)</f>
        <v>0.0267275512017848</v>
      </c>
    </row>
    <row r="22" customFormat="false" ht="15" hidden="false" customHeight="false" outlineLevel="0" collapsed="false">
      <c r="A22" s="5" t="n">
        <v>16</v>
      </c>
      <c r="B22" s="47" t="s">
        <v>94</v>
      </c>
      <c r="C22" s="48" t="n">
        <f aca="false">IFERROR(INDEX(Prices!$C$6:$C$300,MATCH($B22,Prices!$A$6:$A$300,0)),"")</f>
        <v>1362.8</v>
      </c>
      <c r="D22" s="49" t="str">
        <f aca="false">IFERROR(INDEX(Prices!$D$6:$D$300,MATCH($B22,Prices!$A$6:$A$300,0)),"")</f>
        <v>Close 22.10.2026 (Screener.in)</v>
      </c>
      <c r="E22" s="6" t="n">
        <f aca="false">(M22&gt;0)+(T22&gt;0)+(AA22&gt;0)+(AH22&gt;0)+(AO22&gt;0)+(AV22&gt;0)</f>
        <v>6</v>
      </c>
      <c r="F22" s="50" t="n">
        <f aca="false">M22+T22+AA22+AH22+AO22+AV22</f>
        <v>281</v>
      </c>
      <c r="G22" s="51" t="n">
        <f aca="false">IF(AND(F22&gt;0,H22&gt;0),H22/F22,"")</f>
        <v>1577.5231316726</v>
      </c>
      <c r="H22" s="52" t="n">
        <f aca="false">O22+V22+AC22+AJ22+AQ22+AX22</f>
        <v>443284</v>
      </c>
      <c r="I22" s="53" t="n">
        <f aca="false">P22+W22+AD22+AK22+AR22+AY22</f>
        <v>382946.8</v>
      </c>
      <c r="J22" s="52" t="n">
        <f aca="false">I22-H22</f>
        <v>-60337.2</v>
      </c>
      <c r="K22" s="54" t="n">
        <f aca="false">IF(H22&gt;0,J22/H22,"")</f>
        <v>-0.136114093899171</v>
      </c>
      <c r="L22" s="55" t="n">
        <f aca="false">IF(I$6=0,"",I22/I$6)</f>
        <v>0.0101490687283234</v>
      </c>
      <c r="M22" s="56" t="n">
        <f aca="false">SUMIFS(Gautam!$D$7:$D$300,Gautam!$B$7:$B$300,$B22)</f>
        <v>66</v>
      </c>
      <c r="N22" s="57" t="n">
        <f aca="false">IF(AND(M22&gt;0,O22&gt;0),O22/M22,"")</f>
        <v>1607.80303030303</v>
      </c>
      <c r="O22" s="8" t="n">
        <f aca="false">SUMIFS(Gautam!$E$7:$E$300,Gautam!$B$7:$B$300,$B22)</f>
        <v>106115</v>
      </c>
      <c r="P22" s="8" t="n">
        <f aca="false">SUMIFS(Gautam!$H$7:$H$300,Gautam!$B$7:$B$300,$B22)</f>
        <v>89944.8</v>
      </c>
      <c r="Q22" s="8" t="n">
        <f aca="false">P22-O22</f>
        <v>-16170.2</v>
      </c>
      <c r="R22" s="9" t="n">
        <f aca="false">IF(O22&gt;0,Q22/O22,"")</f>
        <v>-0.152383734627527</v>
      </c>
      <c r="S22" s="9" t="n">
        <f aca="false">IF(P$6=0,"",P22/P$6)</f>
        <v>0.0172137975635681</v>
      </c>
      <c r="T22" s="56" t="n">
        <f aca="false">SUMIFS('Manish Shilpa'!$D$7:$D$300,'Manish Shilpa'!$B$7:$B$300,$B22)</f>
        <v>47</v>
      </c>
      <c r="U22" s="57" t="n">
        <f aca="false">IF(AND(T22&gt;0,V22&gt;0),V22/T22,"")</f>
        <v>1637.63829787234</v>
      </c>
      <c r="V22" s="8" t="n">
        <f aca="false">SUMIFS('Manish Shilpa'!$E$7:$E$300,'Manish Shilpa'!$B$7:$B$300,$B22)</f>
        <v>76969</v>
      </c>
      <c r="W22" s="8" t="n">
        <f aca="false">SUMIFS('Manish Shilpa'!$H$7:$H$300,'Manish Shilpa'!$B$7:$B$300,$B22)</f>
        <v>64051.6</v>
      </c>
      <c r="X22" s="8" t="n">
        <f aca="false">W22-V22</f>
        <v>-12917.4</v>
      </c>
      <c r="Y22" s="9" t="n">
        <f aca="false">IF(V22&gt;0,X22/V22,"")</f>
        <v>-0.1678260078733</v>
      </c>
      <c r="Z22" s="9" t="n">
        <f aca="false">IF(W$6=0,"",W22/W$6)</f>
        <v>0.00541621589176103</v>
      </c>
      <c r="AA22" s="56" t="n">
        <f aca="false">SUMIFS('Saloni Mehra'!$D$7:$D$300,'Saloni Mehra'!$B$7:$B$300,$B22)</f>
        <v>73</v>
      </c>
      <c r="AB22" s="57" t="n">
        <f aca="false">IF(AND(AA22&gt;0,AC22&gt;0),AC22/AA22,"")</f>
        <v>1477.86301369863</v>
      </c>
      <c r="AC22" s="8" t="n">
        <f aca="false">SUMIFS('Saloni Mehra'!$E$7:$E$300,'Saloni Mehra'!$B$7:$B$300,$B22)</f>
        <v>107884</v>
      </c>
      <c r="AD22" s="8" t="n">
        <f aca="false">SUMIFS('Saloni Mehra'!$H$7:$H$300,'Saloni Mehra'!$B$7:$B$300,$B22)</f>
        <v>99484.4</v>
      </c>
      <c r="AE22" s="8" t="n">
        <f aca="false">AD22-AC22</f>
        <v>-8399.60000000001</v>
      </c>
      <c r="AF22" s="9" t="n">
        <f aca="false">IF(AC22&gt;0,AE22/AC22,"")</f>
        <v>-0.0778576990100479</v>
      </c>
      <c r="AG22" s="9" t="n">
        <f aca="false">IF(AD$6=0,"",AD22/AD$6)</f>
        <v>0.00890836548022614</v>
      </c>
      <c r="AH22" s="56" t="n">
        <f aca="false">SUMIFS('Vidushi Malhotra'!$D$7:$D$300,'Vidushi Malhotra'!$B$7:$B$300,$B22)</f>
        <v>3</v>
      </c>
      <c r="AI22" s="57" t="n">
        <f aca="false">IF(AND(AH22&gt;0,AJ22&gt;0),AJ22/AH22,"")</f>
        <v>1651.33333333333</v>
      </c>
      <c r="AJ22" s="8" t="n">
        <f aca="false">SUMIFS('Vidushi Malhotra'!$E$7:$E$300,'Vidushi Malhotra'!$B$7:$B$300,$B22)</f>
        <v>4954</v>
      </c>
      <c r="AK22" s="8" t="n">
        <f aca="false">SUMIFS('Vidushi Malhotra'!$H$7:$H$300,'Vidushi Malhotra'!$B$7:$B$300,$B22)</f>
        <v>4088.4</v>
      </c>
      <c r="AL22" s="8" t="n">
        <f aca="false">AK22-AJ22</f>
        <v>-865.6</v>
      </c>
      <c r="AM22" s="9" t="n">
        <f aca="false">IF(AJ22&gt;0,AL22/AJ22,"")</f>
        <v>-0.174727492935002</v>
      </c>
      <c r="AN22" s="9" t="n">
        <f aca="false">IF(AK$6=0,"",AK22/AK$6)</f>
        <v>0.0180663345544839</v>
      </c>
      <c r="AO22" s="56" t="n">
        <f aca="false">SUMIFS('Dr Umesh Choudhry'!$D$7:$D$300,'Dr Umesh Choudhry'!$B$7:$B$300,$B22)</f>
        <v>47</v>
      </c>
      <c r="AP22" s="57" t="n">
        <f aca="false">IF(AND(AO22&gt;0,AQ22&gt;0),AQ22/AO22,"")</f>
        <v>1541.44680851064</v>
      </c>
      <c r="AQ22" s="8" t="n">
        <f aca="false">SUMIFS('Dr Umesh Choudhry'!$E$7:$E$300,'Dr Umesh Choudhry'!$B$7:$B$300,$B22)</f>
        <v>72448</v>
      </c>
      <c r="AR22" s="8" t="n">
        <f aca="false">SUMIFS('Dr Umesh Choudhry'!$H$7:$H$300,'Dr Umesh Choudhry'!$B$7:$B$300,$B22)</f>
        <v>64051.6</v>
      </c>
      <c r="AS22" s="8" t="n">
        <f aca="false">AR22-AQ22</f>
        <v>-8396.4</v>
      </c>
      <c r="AT22" s="9" t="n">
        <f aca="false">IF(AQ22&gt;0,AS22/AQ22,"")</f>
        <v>-0.115895538869258</v>
      </c>
      <c r="AU22" s="9" t="n">
        <f aca="false">IF(AR$6=0,"",AR22/AR$6)</f>
        <v>0.0118147549658158</v>
      </c>
      <c r="AV22" s="56" t="n">
        <f aca="false">SUMIFS(DA!$D$7:$D$300,DA!$B$7:$B$300,$B22)</f>
        <v>45</v>
      </c>
      <c r="AW22" s="57" t="n">
        <f aca="false">IF(AND(AV22&gt;0,AX22&gt;0),AX22/AV22,"")</f>
        <v>1664.75555555556</v>
      </c>
      <c r="AX22" s="8" t="n">
        <f aca="false">SUMIFS(DA!$E$7:$E$300,DA!$B$7:$B$300,$B22)</f>
        <v>74914</v>
      </c>
      <c r="AY22" s="8" t="n">
        <f aca="false">SUMIFS(DA!$H$7:$H$300,DA!$B$7:$B$300,$B22)</f>
        <v>61326</v>
      </c>
      <c r="AZ22" s="8" t="n">
        <f aca="false">AY22-AX22</f>
        <v>-13588</v>
      </c>
      <c r="BA22" s="9" t="n">
        <f aca="false">IF(AX22&gt;0,AZ22/AX22,"")</f>
        <v>-0.181381317243773</v>
      </c>
      <c r="BB22" s="9" t="n">
        <f aca="false">IF(AY$6=0,"",AY22/AY$6)</f>
        <v>0.0158628633297589</v>
      </c>
    </row>
    <row r="23" customFormat="false" ht="15" hidden="false" customHeight="false" outlineLevel="0" collapsed="false">
      <c r="A23" s="5" t="n">
        <v>17</v>
      </c>
      <c r="B23" s="47" t="s">
        <v>95</v>
      </c>
      <c r="C23" s="48" t="n">
        <f aca="false">IFERROR(INDEX(Prices!$C$6:$C$300,MATCH($B23,Prices!$A$6:$A$300,0)),"")</f>
        <v>1000</v>
      </c>
      <c r="D23" s="49" t="str">
        <f aca="false">IFERROR(INDEX(Prices!$D$6:$D$300,MATCH($B23,Prices!$A$6:$A$300,0)),"")</f>
        <v>Gautam stmt – 23.10</v>
      </c>
      <c r="E23" s="6" t="n">
        <f aca="false">(M23&gt;0)+(T23&gt;0)+(AA23&gt;0)+(AH23&gt;0)+(AO23&gt;0)+(AV23&gt;0)</f>
        <v>2</v>
      </c>
      <c r="F23" s="50" t="n">
        <f aca="false">M23+T23+AA23+AH23+AO23+AV23</f>
        <v>329</v>
      </c>
      <c r="G23" s="51" t="n">
        <f aca="false">IF(AND(F23&gt;0,H23&gt;0),H23/F23,"")</f>
        <v>1004.73860182371</v>
      </c>
      <c r="H23" s="52" t="n">
        <f aca="false">O23+V23+AC23+AJ23+AQ23+AX23</f>
        <v>330559</v>
      </c>
      <c r="I23" s="53" t="n">
        <f aca="false">P23+W23+AD23+AK23+AR23+AY23</f>
        <v>329000</v>
      </c>
      <c r="J23" s="52" t="n">
        <f aca="false">I23-H23</f>
        <v>-1559</v>
      </c>
      <c r="K23" s="54" t="n">
        <f aca="false">IF(H23&gt;0,J23/H23,"")</f>
        <v>-0.00471625337685557</v>
      </c>
      <c r="L23" s="55" t="n">
        <f aca="false">IF(I$6=0,"",I23/I$6)</f>
        <v>0.00871934068026789</v>
      </c>
      <c r="M23" s="56" t="n">
        <f aca="false">SUMIFS(Gautam!$D$7:$D$300,Gautam!$B$7:$B$300,$B23)</f>
        <v>325</v>
      </c>
      <c r="N23" s="57" t="n">
        <f aca="false">IF(AND(M23&gt;0,O23&gt;0),O23/M23,"")</f>
        <v>1000</v>
      </c>
      <c r="O23" s="8" t="n">
        <f aca="false">SUMIFS(Gautam!$E$7:$E$300,Gautam!$B$7:$B$300,$B23)</f>
        <v>325000</v>
      </c>
      <c r="P23" s="8" t="n">
        <f aca="false">SUMIFS(Gautam!$H$7:$H$300,Gautam!$B$7:$B$300,$B23)</f>
        <v>325000</v>
      </c>
      <c r="Q23" s="8" t="n">
        <f aca="false">P23-O23</f>
        <v>0</v>
      </c>
      <c r="R23" s="9" t="n">
        <f aca="false">IF(O23&gt;0,Q23/O23,"")</f>
        <v>0</v>
      </c>
      <c r="S23" s="9" t="n">
        <f aca="false">IF(P$6=0,"",P23/P$6)</f>
        <v>0.0621990844179945</v>
      </c>
      <c r="T23" s="56" t="n">
        <f aca="false">SUMIFS('Manish Shilpa'!$D$7:$D$300,'Manish Shilpa'!$B$7:$B$300,$B23)</f>
        <v>4</v>
      </c>
      <c r="U23" s="57" t="n">
        <f aca="false">IF(AND(T23&gt;0,V23&gt;0),V23/T23,"")</f>
        <v>1389.75</v>
      </c>
      <c r="V23" s="8" t="n">
        <f aca="false">SUMIFS('Manish Shilpa'!$E$7:$E$300,'Manish Shilpa'!$B$7:$B$300,$B23)</f>
        <v>5559</v>
      </c>
      <c r="W23" s="8" t="n">
        <f aca="false">SUMIFS('Manish Shilpa'!$H$7:$H$300,'Manish Shilpa'!$B$7:$B$300,$B23)</f>
        <v>4000</v>
      </c>
      <c r="X23" s="8" t="n">
        <f aca="false">W23-V23</f>
        <v>-1559</v>
      </c>
      <c r="Y23" s="9" t="n">
        <f aca="false">IF(V23&gt;0,X23/V23,"")</f>
        <v>-0.28044612340349</v>
      </c>
      <c r="Z23" s="9" t="n">
        <f aca="false">IF(W$6=0,"",W23/W$6)</f>
        <v>0.000338240786600867</v>
      </c>
      <c r="AA23" s="56" t="n">
        <f aca="false">SUMIFS('Saloni Mehra'!$D$7:$D$300,'Saloni Mehra'!$B$7:$B$300,$B23)</f>
        <v>0</v>
      </c>
      <c r="AB23" s="57" t="str">
        <f aca="false">IF(AND(AA23&gt;0,AC23&gt;0),AC23/AA23,"")</f>
        <v/>
      </c>
      <c r="AC23" s="8" t="n">
        <f aca="false">SUMIFS('Saloni Mehra'!$E$7:$E$300,'Saloni Mehra'!$B$7:$B$300,$B23)</f>
        <v>0</v>
      </c>
      <c r="AD23" s="8" t="n">
        <f aca="false">SUMIFS('Saloni Mehra'!$H$7:$H$300,'Saloni Mehra'!$B$7:$B$300,$B23)</f>
        <v>0</v>
      </c>
      <c r="AE23" s="8" t="n">
        <f aca="false">AD23-AC23</f>
        <v>0</v>
      </c>
      <c r="AF23" s="9" t="str">
        <f aca="false">IF(AC23&gt;0,AE23/AC23,"")</f>
        <v/>
      </c>
      <c r="AG23" s="9" t="n">
        <f aca="false">IF(AD$6=0,"",AD23/AD$6)</f>
        <v>0</v>
      </c>
      <c r="AH23" s="56" t="n">
        <f aca="false">SUMIFS('Vidushi Malhotra'!$D$7:$D$300,'Vidushi Malhotra'!$B$7:$B$300,$B23)</f>
        <v>0</v>
      </c>
      <c r="AI23" s="57" t="str">
        <f aca="false">IF(AND(AH23&gt;0,AJ23&gt;0),AJ23/AH23,"")</f>
        <v/>
      </c>
      <c r="AJ23" s="8" t="n">
        <f aca="false">SUMIFS('Vidushi Malhotra'!$E$7:$E$300,'Vidushi Malhotra'!$B$7:$B$300,$B23)</f>
        <v>0</v>
      </c>
      <c r="AK23" s="8" t="n">
        <f aca="false">SUMIFS('Vidushi Malhotra'!$H$7:$H$300,'Vidushi Malhotra'!$B$7:$B$300,$B23)</f>
        <v>0</v>
      </c>
      <c r="AL23" s="8" t="n">
        <f aca="false">AK23-AJ23</f>
        <v>0</v>
      </c>
      <c r="AM23" s="9" t="str">
        <f aca="false">IF(AJ23&gt;0,AL23/AJ23,"")</f>
        <v/>
      </c>
      <c r="AN23" s="9" t="n">
        <f aca="false">IF(AK$6=0,"",AK23/AK$6)</f>
        <v>0</v>
      </c>
      <c r="AO23" s="56" t="n">
        <f aca="false">SUMIFS('Dr Umesh Choudhry'!$D$7:$D$300,'Dr Umesh Choudhry'!$B$7:$B$300,$B23)</f>
        <v>0</v>
      </c>
      <c r="AP23" s="57" t="str">
        <f aca="false">IF(AND(AO23&gt;0,AQ23&gt;0),AQ23/AO23,"")</f>
        <v/>
      </c>
      <c r="AQ23" s="8" t="n">
        <f aca="false">SUMIFS('Dr Umesh Choudhry'!$E$7:$E$300,'Dr Umesh Choudhry'!$B$7:$B$300,$B23)</f>
        <v>0</v>
      </c>
      <c r="AR23" s="8" t="n">
        <f aca="false">SUMIFS('Dr Umesh Choudhry'!$H$7:$H$300,'Dr Umesh Choudhry'!$B$7:$B$300,$B23)</f>
        <v>0</v>
      </c>
      <c r="AS23" s="8" t="n">
        <f aca="false">AR23-AQ23</f>
        <v>0</v>
      </c>
      <c r="AT23" s="9" t="str">
        <f aca="false">IF(AQ23&gt;0,AS23/AQ23,"")</f>
        <v/>
      </c>
      <c r="AU23" s="9" t="n">
        <f aca="false">IF(AR$6=0,"",AR23/AR$6)</f>
        <v>0</v>
      </c>
      <c r="AV23" s="56" t="n">
        <f aca="false">SUMIFS(DA!$D$7:$D$300,DA!$B$7:$B$300,$B23)</f>
        <v>0</v>
      </c>
      <c r="AW23" s="57" t="str">
        <f aca="false">IF(AND(AV23&gt;0,AX23&gt;0),AX23/AV23,"")</f>
        <v/>
      </c>
      <c r="AX23" s="8" t="n">
        <f aca="false">SUMIFS(DA!$E$7:$E$300,DA!$B$7:$B$300,$B23)</f>
        <v>0</v>
      </c>
      <c r="AY23" s="8" t="n">
        <f aca="false">SUMIFS(DA!$H$7:$H$300,DA!$B$7:$B$300,$B23)</f>
        <v>0</v>
      </c>
      <c r="AZ23" s="8" t="n">
        <f aca="false">AY23-AX23</f>
        <v>0</v>
      </c>
      <c r="BA23" s="9" t="str">
        <f aca="false">IF(AX23&gt;0,AZ23/AX23,"")</f>
        <v/>
      </c>
      <c r="BB23" s="9" t="n">
        <f aca="false">IF(AY$6=0,"",AY23/AY$6)</f>
        <v>0</v>
      </c>
    </row>
    <row r="24" customFormat="false" ht="15" hidden="false" customHeight="false" outlineLevel="0" collapsed="false">
      <c r="A24" s="5" t="n">
        <v>18</v>
      </c>
      <c r="B24" s="47" t="s">
        <v>96</v>
      </c>
      <c r="C24" s="48" t="n">
        <f aca="false">IFERROR(INDEX(Prices!$C$6:$C$300,MATCH($B24,Prices!$A$6:$A$300,0)),"")</f>
        <v>157.329098383758</v>
      </c>
      <c r="D24" s="49" t="str">
        <f aca="false">IFERROR(INDEX(Prices!$D$6:$D$300,MATCH($B24,Prices!$A$6:$A$300,0)),"")</f>
        <v>Manish Shilpa stmt – live 23.10</v>
      </c>
      <c r="E24" s="6" t="n">
        <f aca="false">(M24&gt;0)+(T24&gt;0)+(AA24&gt;0)+(AH24&gt;0)+(AO24&gt;0)+(AV24&gt;0)</f>
        <v>1</v>
      </c>
      <c r="F24" s="50" t="n">
        <f aca="false">M24+T24+AA24+AH24+AO24+AV24</f>
        <v>2004.589</v>
      </c>
      <c r="G24" s="51" t="n">
        <f aca="false">IF(AND(F24&gt;0,H24&gt;0),H24/F24,"")</f>
        <v>99.7660867140347</v>
      </c>
      <c r="H24" s="52" t="n">
        <f aca="false">O24+V24+AC24+AJ24+AQ24+AX24</f>
        <v>199990</v>
      </c>
      <c r="I24" s="53" t="n">
        <f aca="false">P24+W24+AD24+AK24+AR24+AY24</f>
        <v>315380.18</v>
      </c>
      <c r="J24" s="52" t="n">
        <f aca="false">I24-H24</f>
        <v>115390.18</v>
      </c>
      <c r="K24" s="54" t="n">
        <f aca="false">IF(H24&gt;0,J24/H24,"")</f>
        <v>0.576979748987449</v>
      </c>
      <c r="L24" s="55" t="n">
        <f aca="false">IF(I$6=0,"",I24/I$6)</f>
        <v>0.0083583806480979</v>
      </c>
      <c r="M24" s="56" t="n">
        <f aca="false">SUMIFS(Gautam!$D$7:$D$300,Gautam!$B$7:$B$300,$B24)</f>
        <v>0</v>
      </c>
      <c r="N24" s="57" t="str">
        <f aca="false">IF(AND(M24&gt;0,O24&gt;0),O24/M24,"")</f>
        <v/>
      </c>
      <c r="O24" s="8" t="n">
        <f aca="false">SUMIFS(Gautam!$E$7:$E$300,Gautam!$B$7:$B$300,$B24)</f>
        <v>0</v>
      </c>
      <c r="P24" s="8" t="n">
        <f aca="false">SUMIFS(Gautam!$H$7:$H$300,Gautam!$B$7:$B$300,$B24)</f>
        <v>0</v>
      </c>
      <c r="Q24" s="8" t="n">
        <f aca="false">P24-O24</f>
        <v>0</v>
      </c>
      <c r="R24" s="9" t="str">
        <f aca="false">IF(O24&gt;0,Q24/O24,"")</f>
        <v/>
      </c>
      <c r="S24" s="9" t="n">
        <f aca="false">IF(P$6=0,"",P24/P$6)</f>
        <v>0</v>
      </c>
      <c r="T24" s="56" t="n">
        <f aca="false">SUMIFS('Manish Shilpa'!$D$7:$D$300,'Manish Shilpa'!$B$7:$B$300,$B24)</f>
        <v>2004.589</v>
      </c>
      <c r="U24" s="57" t="n">
        <f aca="false">IF(AND(T24&gt;0,V24&gt;0),V24/T24,"")</f>
        <v>99.7660867140347</v>
      </c>
      <c r="V24" s="8" t="n">
        <f aca="false">SUMIFS('Manish Shilpa'!$E$7:$E$300,'Manish Shilpa'!$B$7:$B$300,$B24)</f>
        <v>199990</v>
      </c>
      <c r="W24" s="8" t="n">
        <f aca="false">SUMIFS('Manish Shilpa'!$H$7:$H$300,'Manish Shilpa'!$B$7:$B$300,$B24)</f>
        <v>315380.18</v>
      </c>
      <c r="X24" s="8" t="n">
        <f aca="false">W24-V24</f>
        <v>115390.18</v>
      </c>
      <c r="Y24" s="9" t="n">
        <f aca="false">IF(V24&gt;0,X24/V24,"")</f>
        <v>0.576979748987449</v>
      </c>
      <c r="Z24" s="9" t="n">
        <f aca="false">IF(W$6=0,"",W24/W$6)</f>
        <v>0.0266686100403808</v>
      </c>
      <c r="AA24" s="56" t="n">
        <f aca="false">SUMIFS('Saloni Mehra'!$D$7:$D$300,'Saloni Mehra'!$B$7:$B$300,$B24)</f>
        <v>0</v>
      </c>
      <c r="AB24" s="57" t="str">
        <f aca="false">IF(AND(AA24&gt;0,AC24&gt;0),AC24/AA24,"")</f>
        <v/>
      </c>
      <c r="AC24" s="8" t="n">
        <f aca="false">SUMIFS('Saloni Mehra'!$E$7:$E$300,'Saloni Mehra'!$B$7:$B$300,$B24)</f>
        <v>0</v>
      </c>
      <c r="AD24" s="8" t="n">
        <f aca="false">SUMIFS('Saloni Mehra'!$H$7:$H$300,'Saloni Mehra'!$B$7:$B$300,$B24)</f>
        <v>0</v>
      </c>
      <c r="AE24" s="8" t="n">
        <f aca="false">AD24-AC24</f>
        <v>0</v>
      </c>
      <c r="AF24" s="9" t="str">
        <f aca="false">IF(AC24&gt;0,AE24/AC24,"")</f>
        <v/>
      </c>
      <c r="AG24" s="9" t="n">
        <f aca="false">IF(AD$6=0,"",AD24/AD$6)</f>
        <v>0</v>
      </c>
      <c r="AH24" s="56" t="n">
        <f aca="false">SUMIFS('Vidushi Malhotra'!$D$7:$D$300,'Vidushi Malhotra'!$B$7:$B$300,$B24)</f>
        <v>0</v>
      </c>
      <c r="AI24" s="57" t="str">
        <f aca="false">IF(AND(AH24&gt;0,AJ24&gt;0),AJ24/AH24,"")</f>
        <v/>
      </c>
      <c r="AJ24" s="8" t="n">
        <f aca="false">SUMIFS('Vidushi Malhotra'!$E$7:$E$300,'Vidushi Malhotra'!$B$7:$B$300,$B24)</f>
        <v>0</v>
      </c>
      <c r="AK24" s="8" t="n">
        <f aca="false">SUMIFS('Vidushi Malhotra'!$H$7:$H$300,'Vidushi Malhotra'!$B$7:$B$300,$B24)</f>
        <v>0</v>
      </c>
      <c r="AL24" s="8" t="n">
        <f aca="false">AK24-AJ24</f>
        <v>0</v>
      </c>
      <c r="AM24" s="9" t="str">
        <f aca="false">IF(AJ24&gt;0,AL24/AJ24,"")</f>
        <v/>
      </c>
      <c r="AN24" s="9" t="n">
        <f aca="false">IF(AK$6=0,"",AK24/AK$6)</f>
        <v>0</v>
      </c>
      <c r="AO24" s="56" t="n">
        <f aca="false">SUMIFS('Dr Umesh Choudhry'!$D$7:$D$300,'Dr Umesh Choudhry'!$B$7:$B$300,$B24)</f>
        <v>0</v>
      </c>
      <c r="AP24" s="57" t="str">
        <f aca="false">IF(AND(AO24&gt;0,AQ24&gt;0),AQ24/AO24,"")</f>
        <v/>
      </c>
      <c r="AQ24" s="8" t="n">
        <f aca="false">SUMIFS('Dr Umesh Choudhry'!$E$7:$E$300,'Dr Umesh Choudhry'!$B$7:$B$300,$B24)</f>
        <v>0</v>
      </c>
      <c r="AR24" s="8" t="n">
        <f aca="false">SUMIFS('Dr Umesh Choudhry'!$H$7:$H$300,'Dr Umesh Choudhry'!$B$7:$B$300,$B24)</f>
        <v>0</v>
      </c>
      <c r="AS24" s="8" t="n">
        <f aca="false">AR24-AQ24</f>
        <v>0</v>
      </c>
      <c r="AT24" s="9" t="str">
        <f aca="false">IF(AQ24&gt;0,AS24/AQ24,"")</f>
        <v/>
      </c>
      <c r="AU24" s="9" t="n">
        <f aca="false">IF(AR$6=0,"",AR24/AR$6)</f>
        <v>0</v>
      </c>
      <c r="AV24" s="56" t="n">
        <f aca="false">SUMIFS(DA!$D$7:$D$300,DA!$B$7:$B$300,$B24)</f>
        <v>0</v>
      </c>
      <c r="AW24" s="57" t="str">
        <f aca="false">IF(AND(AV24&gt;0,AX24&gt;0),AX24/AV24,"")</f>
        <v/>
      </c>
      <c r="AX24" s="8" t="n">
        <f aca="false">SUMIFS(DA!$E$7:$E$300,DA!$B$7:$B$300,$B24)</f>
        <v>0</v>
      </c>
      <c r="AY24" s="8" t="n">
        <f aca="false">SUMIFS(DA!$H$7:$H$300,DA!$B$7:$B$300,$B24)</f>
        <v>0</v>
      </c>
      <c r="AZ24" s="8" t="n">
        <f aca="false">AY24-AX24</f>
        <v>0</v>
      </c>
      <c r="BA24" s="9" t="str">
        <f aca="false">IF(AX24&gt;0,AZ24/AX24,"")</f>
        <v/>
      </c>
      <c r="BB24" s="9" t="n">
        <f aca="false">IF(AY$6=0,"",AY24/AY$6)</f>
        <v>0</v>
      </c>
    </row>
    <row r="25" customFormat="false" ht="15" hidden="false" customHeight="false" outlineLevel="0" collapsed="false">
      <c r="A25" s="5" t="n">
        <v>19</v>
      </c>
      <c r="B25" s="47" t="s">
        <v>97</v>
      </c>
      <c r="C25" s="48" t="n">
        <f aca="false">IFERROR(INDEX(Prices!$C$6:$C$300,MATCH($B25,Prices!$A$6:$A$300,0)),"")</f>
        <v>7084.5</v>
      </c>
      <c r="D25" s="49" t="str">
        <f aca="false">IFERROR(INDEX(Prices!$D$6:$D$300,MATCH($B25,Prices!$A$6:$A$300,0)),"")</f>
        <v>Close 22.10.2026 (Screener.in)</v>
      </c>
      <c r="E25" s="6" t="n">
        <f aca="false">(M25&gt;0)+(T25&gt;0)+(AA25&gt;0)+(AH25&gt;0)+(AO25&gt;0)+(AV25&gt;0)</f>
        <v>5</v>
      </c>
      <c r="F25" s="50" t="n">
        <f aca="false">M25+T25+AA25+AH25+AO25+AV25</f>
        <v>43</v>
      </c>
      <c r="G25" s="51" t="n">
        <f aca="false">IF(AND(F25&gt;0,H25&gt;0),H25/F25,"")</f>
        <v>7435.76744186047</v>
      </c>
      <c r="H25" s="52" t="n">
        <f aca="false">O25+V25+AC25+AJ25+AQ25+AX25</f>
        <v>319738</v>
      </c>
      <c r="I25" s="53" t="n">
        <f aca="false">P25+W25+AD25+AK25+AR25+AY25</f>
        <v>304633.5</v>
      </c>
      <c r="J25" s="52" t="n">
        <f aca="false">I25-H25</f>
        <v>-15104.5</v>
      </c>
      <c r="K25" s="54" t="n">
        <f aca="false">IF(H25&gt;0,J25/H25,"")</f>
        <v>-0.0472402404468659</v>
      </c>
      <c r="L25" s="55" t="n">
        <f aca="false">IF(I$6=0,"",I25/I$6)</f>
        <v>0.00807356616754525</v>
      </c>
      <c r="M25" s="56" t="n">
        <f aca="false">SUMIFS(Gautam!$D$7:$D$300,Gautam!$B$7:$B$300,$B25)</f>
        <v>20</v>
      </c>
      <c r="N25" s="57" t="n">
        <f aca="false">IF(AND(M25&gt;0,O25&gt;0),O25/M25,"")</f>
        <v>7370.7</v>
      </c>
      <c r="O25" s="8" t="n">
        <f aca="false">SUMIFS(Gautam!$E$7:$E$300,Gautam!$B$7:$B$300,$B25)</f>
        <v>147414</v>
      </c>
      <c r="P25" s="8" t="n">
        <f aca="false">SUMIFS(Gautam!$H$7:$H$300,Gautam!$B$7:$B$300,$B25)</f>
        <v>141690</v>
      </c>
      <c r="Q25" s="8" t="n">
        <f aca="false">P25-O25</f>
        <v>-5724</v>
      </c>
      <c r="R25" s="9" t="n">
        <f aca="false">IF(O25&gt;0,Q25/O25,"")</f>
        <v>-0.0388294191867801</v>
      </c>
      <c r="S25" s="9" t="n">
        <f aca="false">IF(P$6=0,"",P25/P$6)</f>
        <v>0.0271168869882635</v>
      </c>
      <c r="T25" s="56" t="n">
        <f aca="false">SUMIFS('Manish Shilpa'!$D$7:$D$300,'Manish Shilpa'!$B$7:$B$300,$B25)</f>
        <v>6</v>
      </c>
      <c r="U25" s="57" t="n">
        <f aca="false">IF(AND(T25&gt;0,V25&gt;0),V25/T25,"")</f>
        <v>7291.16666666667</v>
      </c>
      <c r="V25" s="8" t="n">
        <f aca="false">SUMIFS('Manish Shilpa'!$E$7:$E$300,'Manish Shilpa'!$B$7:$B$300,$B25)</f>
        <v>43747</v>
      </c>
      <c r="W25" s="8" t="n">
        <f aca="false">SUMIFS('Manish Shilpa'!$H$7:$H$300,'Manish Shilpa'!$B$7:$B$300,$B25)</f>
        <v>42507</v>
      </c>
      <c r="X25" s="8" t="n">
        <f aca="false">W25-V25</f>
        <v>-1240</v>
      </c>
      <c r="Y25" s="9" t="n">
        <f aca="false">IF(V25&gt;0,X25/V25,"")</f>
        <v>-0.0283448007863396</v>
      </c>
      <c r="Z25" s="9" t="n">
        <f aca="false">IF(W$6=0,"",W25/W$6)</f>
        <v>0.00359440027901077</v>
      </c>
      <c r="AA25" s="56" t="n">
        <f aca="false">SUMIFS('Saloni Mehra'!$D$7:$D$300,'Saloni Mehra'!$B$7:$B$300,$B25)</f>
        <v>6</v>
      </c>
      <c r="AB25" s="57" t="n">
        <f aca="false">IF(AND(AA25&gt;0,AC25&gt;0),AC25/AA25,"")</f>
        <v>7252.16666666667</v>
      </c>
      <c r="AC25" s="8" t="n">
        <f aca="false">SUMIFS('Saloni Mehra'!$E$7:$E$300,'Saloni Mehra'!$B$7:$B$300,$B25)</f>
        <v>43513</v>
      </c>
      <c r="AD25" s="8" t="n">
        <f aca="false">SUMIFS('Saloni Mehra'!$H$7:$H$300,'Saloni Mehra'!$B$7:$B$300,$B25)</f>
        <v>42507</v>
      </c>
      <c r="AE25" s="8" t="n">
        <f aca="false">AD25-AC25</f>
        <v>-1006</v>
      </c>
      <c r="AF25" s="9" t="n">
        <f aca="false">IF(AC25&gt;0,AE25/AC25,"")</f>
        <v>-0.0231195274975295</v>
      </c>
      <c r="AG25" s="9" t="n">
        <f aca="false">IF(AD$6=0,"",AD25/AD$6)</f>
        <v>0.0038063042192341</v>
      </c>
      <c r="AH25" s="56" t="n">
        <f aca="false">SUMIFS('Vidushi Malhotra'!$D$7:$D$300,'Vidushi Malhotra'!$B$7:$B$300,$B25)</f>
        <v>0</v>
      </c>
      <c r="AI25" s="57" t="str">
        <f aca="false">IF(AND(AH25&gt;0,AJ25&gt;0),AJ25/AH25,"")</f>
        <v/>
      </c>
      <c r="AJ25" s="8" t="n">
        <f aca="false">SUMIFS('Vidushi Malhotra'!$E$7:$E$300,'Vidushi Malhotra'!$B$7:$B$300,$B25)</f>
        <v>0</v>
      </c>
      <c r="AK25" s="8" t="n">
        <f aca="false">SUMIFS('Vidushi Malhotra'!$H$7:$H$300,'Vidushi Malhotra'!$B$7:$B$300,$B25)</f>
        <v>0</v>
      </c>
      <c r="AL25" s="8" t="n">
        <f aca="false">AK25-AJ25</f>
        <v>0</v>
      </c>
      <c r="AM25" s="9" t="str">
        <f aca="false">IF(AJ25&gt;0,AL25/AJ25,"")</f>
        <v/>
      </c>
      <c r="AN25" s="9" t="n">
        <f aca="false">IF(AK$6=0,"",AK25/AK$6)</f>
        <v>0</v>
      </c>
      <c r="AO25" s="56" t="n">
        <f aca="false">SUMIFS('Dr Umesh Choudhry'!$D$7:$D$300,'Dr Umesh Choudhry'!$B$7:$B$300,$B25)</f>
        <v>3</v>
      </c>
      <c r="AP25" s="57" t="n">
        <f aca="false">IF(AND(AO25&gt;0,AQ25&gt;0),AQ25/AO25,"")</f>
        <v>6905.66666666667</v>
      </c>
      <c r="AQ25" s="8" t="n">
        <f aca="false">SUMIFS('Dr Umesh Choudhry'!$E$7:$E$300,'Dr Umesh Choudhry'!$B$7:$B$300,$B25)</f>
        <v>20717</v>
      </c>
      <c r="AR25" s="8" t="n">
        <f aca="false">SUMIFS('Dr Umesh Choudhry'!$H$7:$H$300,'Dr Umesh Choudhry'!$B$7:$B$300,$B25)</f>
        <v>21253.5</v>
      </c>
      <c r="AS25" s="8" t="n">
        <f aca="false">AR25-AQ25</f>
        <v>536.5</v>
      </c>
      <c r="AT25" s="9" t="n">
        <f aca="false">IF(AQ25&gt;0,AS25/AQ25,"")</f>
        <v>0.0258966066515422</v>
      </c>
      <c r="AU25" s="9" t="n">
        <f aca="false">IF(AR$6=0,"",AR25/AR$6)</f>
        <v>0.00392035319439273</v>
      </c>
      <c r="AV25" s="56" t="n">
        <f aca="false">SUMIFS(DA!$D$7:$D$300,DA!$B$7:$B$300,$B25)</f>
        <v>8</v>
      </c>
      <c r="AW25" s="57" t="n">
        <f aca="false">IF(AND(AV25&gt;0,AX25&gt;0),AX25/AV25,"")</f>
        <v>8043.375</v>
      </c>
      <c r="AX25" s="8" t="n">
        <f aca="false">SUMIFS(DA!$E$7:$E$300,DA!$B$7:$B$300,$B25)</f>
        <v>64347</v>
      </c>
      <c r="AY25" s="8" t="n">
        <f aca="false">SUMIFS(DA!$H$7:$H$300,DA!$B$7:$B$300,$B25)</f>
        <v>56676</v>
      </c>
      <c r="AZ25" s="8" t="n">
        <f aca="false">AY25-AX25</f>
        <v>-7671</v>
      </c>
      <c r="BA25" s="9" t="n">
        <f aca="false">IF(AX25&gt;0,AZ25/AX25,"")</f>
        <v>-0.119213016923866</v>
      </c>
      <c r="BB25" s="9" t="n">
        <f aca="false">IF(AY$6=0,"",AY25/AY$6)</f>
        <v>0.0146600730860877</v>
      </c>
    </row>
    <row r="26" customFormat="false" ht="15" hidden="false" customHeight="false" outlineLevel="0" collapsed="false">
      <c r="A26" s="5" t="n">
        <v>20</v>
      </c>
      <c r="B26" s="47" t="s">
        <v>98</v>
      </c>
      <c r="C26" s="48" t="n">
        <f aca="false">IFERROR(INDEX(Prices!$C$6:$C$300,MATCH($B26,Prices!$A$6:$A$300,0)),"")</f>
        <v>431</v>
      </c>
      <c r="D26" s="49" t="str">
        <f aca="false">IFERROR(INDEX(Prices!$D$6:$D$300,MATCH($B26,Prices!$A$6:$A$300,0)),"")</f>
        <v>Close 22.10.2026 (Screener.in)</v>
      </c>
      <c r="E26" s="6" t="n">
        <f aca="false">(M26&gt;0)+(T26&gt;0)+(AA26&gt;0)+(AH26&gt;0)+(AO26&gt;0)+(AV26&gt;0)</f>
        <v>1</v>
      </c>
      <c r="F26" s="50" t="n">
        <f aca="false">M26+T26+AA26+AH26+AO26+AV26</f>
        <v>700</v>
      </c>
      <c r="G26" s="51" t="n">
        <f aca="false">IF(AND(F26&gt;0,H26&gt;0),H26/F26,"")</f>
        <v>486.15</v>
      </c>
      <c r="H26" s="52" t="n">
        <f aca="false">O26+V26+AC26+AJ26+AQ26+AX26</f>
        <v>340305</v>
      </c>
      <c r="I26" s="53" t="n">
        <f aca="false">P26+W26+AD26+AK26+AR26+AY26</f>
        <v>301700</v>
      </c>
      <c r="J26" s="52" t="n">
        <f aca="false">I26-H26</f>
        <v>-38605</v>
      </c>
      <c r="K26" s="54" t="n">
        <f aca="false">IF(H26&gt;0,J26/H26,"")</f>
        <v>-0.113442353183174</v>
      </c>
      <c r="L26" s="55" t="n">
        <f aca="false">IF(I$6=0,"",I26/I$6)</f>
        <v>0.00799582092169247</v>
      </c>
      <c r="M26" s="56" t="n">
        <f aca="false">SUMIFS(Gautam!$D$7:$D$300,Gautam!$B$7:$B$300,$B26)</f>
        <v>0</v>
      </c>
      <c r="N26" s="57" t="str">
        <f aca="false">IF(AND(M26&gt;0,O26&gt;0),O26/M26,"")</f>
        <v/>
      </c>
      <c r="O26" s="8" t="n">
        <f aca="false">SUMIFS(Gautam!$E$7:$E$300,Gautam!$B$7:$B$300,$B26)</f>
        <v>0</v>
      </c>
      <c r="P26" s="8" t="n">
        <f aca="false">SUMIFS(Gautam!$H$7:$H$300,Gautam!$B$7:$B$300,$B26)</f>
        <v>0</v>
      </c>
      <c r="Q26" s="8" t="n">
        <f aca="false">P26-O26</f>
        <v>0</v>
      </c>
      <c r="R26" s="9" t="str">
        <f aca="false">IF(O26&gt;0,Q26/O26,"")</f>
        <v/>
      </c>
      <c r="S26" s="9" t="n">
        <f aca="false">IF(P$6=0,"",P26/P$6)</f>
        <v>0</v>
      </c>
      <c r="T26" s="56" t="n">
        <f aca="false">SUMIFS('Manish Shilpa'!$D$7:$D$300,'Manish Shilpa'!$B$7:$B$300,$B26)</f>
        <v>0</v>
      </c>
      <c r="U26" s="57" t="str">
        <f aca="false">IF(AND(T26&gt;0,V26&gt;0),V26/T26,"")</f>
        <v/>
      </c>
      <c r="V26" s="8" t="n">
        <f aca="false">SUMIFS('Manish Shilpa'!$E$7:$E$300,'Manish Shilpa'!$B$7:$B$300,$B26)</f>
        <v>0</v>
      </c>
      <c r="W26" s="8" t="n">
        <f aca="false">SUMIFS('Manish Shilpa'!$H$7:$H$300,'Manish Shilpa'!$B$7:$B$300,$B26)</f>
        <v>0</v>
      </c>
      <c r="X26" s="8" t="n">
        <f aca="false">W26-V26</f>
        <v>0</v>
      </c>
      <c r="Y26" s="9" t="str">
        <f aca="false">IF(V26&gt;0,X26/V26,"")</f>
        <v/>
      </c>
      <c r="Z26" s="9" t="n">
        <f aca="false">IF(W$6=0,"",W26/W$6)</f>
        <v>0</v>
      </c>
      <c r="AA26" s="56" t="n">
        <f aca="false">SUMIFS('Saloni Mehra'!$D$7:$D$300,'Saloni Mehra'!$B$7:$B$300,$B26)</f>
        <v>700</v>
      </c>
      <c r="AB26" s="57" t="n">
        <f aca="false">IF(AND(AA26&gt;0,AC26&gt;0),AC26/AA26,"")</f>
        <v>486.15</v>
      </c>
      <c r="AC26" s="8" t="n">
        <f aca="false">SUMIFS('Saloni Mehra'!$E$7:$E$300,'Saloni Mehra'!$B$7:$B$300,$B26)</f>
        <v>340305</v>
      </c>
      <c r="AD26" s="8" t="n">
        <f aca="false">SUMIFS('Saloni Mehra'!$H$7:$H$300,'Saloni Mehra'!$B$7:$B$300,$B26)</f>
        <v>301700</v>
      </c>
      <c r="AE26" s="8" t="n">
        <f aca="false">AD26-AC26</f>
        <v>-38605</v>
      </c>
      <c r="AF26" s="9" t="n">
        <f aca="false">IF(AC26&gt;0,AE26/AC26,"")</f>
        <v>-0.113442353183174</v>
      </c>
      <c r="AG26" s="9" t="n">
        <f aca="false">IF(AD$6=0,"",AD26/AD$6)</f>
        <v>0.0270158322851043</v>
      </c>
      <c r="AH26" s="56" t="n">
        <f aca="false">SUMIFS('Vidushi Malhotra'!$D$7:$D$300,'Vidushi Malhotra'!$B$7:$B$300,$B26)</f>
        <v>0</v>
      </c>
      <c r="AI26" s="57" t="str">
        <f aca="false">IF(AND(AH26&gt;0,AJ26&gt;0),AJ26/AH26,"")</f>
        <v/>
      </c>
      <c r="AJ26" s="8" t="n">
        <f aca="false">SUMIFS('Vidushi Malhotra'!$E$7:$E$300,'Vidushi Malhotra'!$B$7:$B$300,$B26)</f>
        <v>0</v>
      </c>
      <c r="AK26" s="8" t="n">
        <f aca="false">SUMIFS('Vidushi Malhotra'!$H$7:$H$300,'Vidushi Malhotra'!$B$7:$B$300,$B26)</f>
        <v>0</v>
      </c>
      <c r="AL26" s="8" t="n">
        <f aca="false">AK26-AJ26</f>
        <v>0</v>
      </c>
      <c r="AM26" s="9" t="str">
        <f aca="false">IF(AJ26&gt;0,AL26/AJ26,"")</f>
        <v/>
      </c>
      <c r="AN26" s="9" t="n">
        <f aca="false">IF(AK$6=0,"",AK26/AK$6)</f>
        <v>0</v>
      </c>
      <c r="AO26" s="56" t="n">
        <f aca="false">SUMIFS('Dr Umesh Choudhry'!$D$7:$D$300,'Dr Umesh Choudhry'!$B$7:$B$300,$B26)</f>
        <v>0</v>
      </c>
      <c r="AP26" s="57" t="str">
        <f aca="false">IF(AND(AO26&gt;0,AQ26&gt;0),AQ26/AO26,"")</f>
        <v/>
      </c>
      <c r="AQ26" s="8" t="n">
        <f aca="false">SUMIFS('Dr Umesh Choudhry'!$E$7:$E$300,'Dr Umesh Choudhry'!$B$7:$B$300,$B26)</f>
        <v>0</v>
      </c>
      <c r="AR26" s="8" t="n">
        <f aca="false">SUMIFS('Dr Umesh Choudhry'!$H$7:$H$300,'Dr Umesh Choudhry'!$B$7:$B$300,$B26)</f>
        <v>0</v>
      </c>
      <c r="AS26" s="8" t="n">
        <f aca="false">AR26-AQ26</f>
        <v>0</v>
      </c>
      <c r="AT26" s="9" t="str">
        <f aca="false">IF(AQ26&gt;0,AS26/AQ26,"")</f>
        <v/>
      </c>
      <c r="AU26" s="9" t="n">
        <f aca="false">IF(AR$6=0,"",AR26/AR$6)</f>
        <v>0</v>
      </c>
      <c r="AV26" s="56" t="n">
        <f aca="false">SUMIFS(DA!$D$7:$D$300,DA!$B$7:$B$300,$B26)</f>
        <v>0</v>
      </c>
      <c r="AW26" s="57" t="str">
        <f aca="false">IF(AND(AV26&gt;0,AX26&gt;0),AX26/AV26,"")</f>
        <v/>
      </c>
      <c r="AX26" s="8" t="n">
        <f aca="false">SUMIFS(DA!$E$7:$E$300,DA!$B$7:$B$300,$B26)</f>
        <v>0</v>
      </c>
      <c r="AY26" s="8" t="n">
        <f aca="false">SUMIFS(DA!$H$7:$H$300,DA!$B$7:$B$300,$B26)</f>
        <v>0</v>
      </c>
      <c r="AZ26" s="8" t="n">
        <f aca="false">AY26-AX26</f>
        <v>0</v>
      </c>
      <c r="BA26" s="9" t="str">
        <f aca="false">IF(AX26&gt;0,AZ26/AX26,"")</f>
        <v/>
      </c>
      <c r="BB26" s="9" t="n">
        <f aca="false">IF(AY$6=0,"",AY26/AY$6)</f>
        <v>0</v>
      </c>
    </row>
    <row r="27" customFormat="false" ht="15" hidden="false" customHeight="false" outlineLevel="0" collapsed="false">
      <c r="A27" s="5" t="n">
        <v>21</v>
      </c>
      <c r="B27" s="47" t="s">
        <v>99</v>
      </c>
      <c r="C27" s="48" t="n">
        <f aca="false">IFERROR(INDEX(Prices!$C$6:$C$300,MATCH($B27,Prices!$A$6:$A$300,0)),"")</f>
        <v>1184.5</v>
      </c>
      <c r="D27" s="49" t="str">
        <f aca="false">IFERROR(INDEX(Prices!$D$6:$D$300,MATCH($B27,Prices!$A$6:$A$300,0)),"")</f>
        <v>Close 22.10.2026 (Screener.in)</v>
      </c>
      <c r="E27" s="6" t="n">
        <f aca="false">(M27&gt;0)+(T27&gt;0)+(AA27&gt;0)+(AH27&gt;0)+(AO27&gt;0)+(AV27&gt;0)</f>
        <v>2</v>
      </c>
      <c r="F27" s="50" t="n">
        <f aca="false">M27+T27+AA27+AH27+AO27+AV27</f>
        <v>178</v>
      </c>
      <c r="G27" s="51" t="n">
        <f aca="false">IF(AND(F27&gt;0,H27&gt;0),H27/F27,"")</f>
        <v>1335.01685393258</v>
      </c>
      <c r="H27" s="52" t="n">
        <f aca="false">O27+V27+AC27+AJ27+AQ27+AX27</f>
        <v>237633</v>
      </c>
      <c r="I27" s="53" t="n">
        <f aca="false">P27+W27+AD27+AK27+AR27+AY27</f>
        <v>210841</v>
      </c>
      <c r="J27" s="52" t="n">
        <f aca="false">I27-H27</f>
        <v>-26792</v>
      </c>
      <c r="K27" s="54" t="n">
        <f aca="false">IF(H27&gt;0,J27/H27,"")</f>
        <v>-0.112745283693763</v>
      </c>
      <c r="L27" s="55" t="n">
        <f aca="false">IF(I$6=0,"",I27/I$6)</f>
        <v>0.00558782525339928</v>
      </c>
      <c r="M27" s="56" t="n">
        <f aca="false">SUMIFS(Gautam!$D$7:$D$300,Gautam!$B$7:$B$300,$B27)</f>
        <v>0</v>
      </c>
      <c r="N27" s="57" t="str">
        <f aca="false">IF(AND(M27&gt;0,O27&gt;0),O27/M27,"")</f>
        <v/>
      </c>
      <c r="O27" s="8" t="n">
        <f aca="false">SUMIFS(Gautam!$E$7:$E$300,Gautam!$B$7:$B$300,$B27)</f>
        <v>0</v>
      </c>
      <c r="P27" s="8" t="n">
        <f aca="false">SUMIFS(Gautam!$H$7:$H$300,Gautam!$B$7:$B$300,$B27)</f>
        <v>0</v>
      </c>
      <c r="Q27" s="8" t="n">
        <f aca="false">P27-O27</f>
        <v>0</v>
      </c>
      <c r="R27" s="9" t="str">
        <f aca="false">IF(O27&gt;0,Q27/O27,"")</f>
        <v/>
      </c>
      <c r="S27" s="9" t="n">
        <f aca="false">IF(P$6=0,"",P27/P$6)</f>
        <v>0</v>
      </c>
      <c r="T27" s="56" t="n">
        <f aca="false">SUMIFS('Manish Shilpa'!$D$7:$D$300,'Manish Shilpa'!$B$7:$B$300,$B27)</f>
        <v>32</v>
      </c>
      <c r="U27" s="57" t="n">
        <f aca="false">IF(AND(T27&gt;0,V27&gt;0),V27/T27,"")</f>
        <v>1207.34375</v>
      </c>
      <c r="V27" s="8" t="n">
        <f aca="false">SUMIFS('Manish Shilpa'!$E$7:$E$300,'Manish Shilpa'!$B$7:$B$300,$B27)</f>
        <v>38635</v>
      </c>
      <c r="W27" s="8" t="n">
        <f aca="false">SUMIFS('Manish Shilpa'!$H$7:$H$300,'Manish Shilpa'!$B$7:$B$300,$B27)</f>
        <v>37904</v>
      </c>
      <c r="X27" s="8" t="n">
        <f aca="false">W27-V27</f>
        <v>-731</v>
      </c>
      <c r="Y27" s="9" t="n">
        <f aca="false">IF(V27&gt;0,X27/V27,"")</f>
        <v>-0.0189206677882749</v>
      </c>
      <c r="Z27" s="9" t="n">
        <f aca="false">IF(W$6=0,"",W27/W$6)</f>
        <v>0.00320516969382982</v>
      </c>
      <c r="AA27" s="56" t="n">
        <f aca="false">SUMIFS('Saloni Mehra'!$D$7:$D$300,'Saloni Mehra'!$B$7:$B$300,$B27)</f>
        <v>0</v>
      </c>
      <c r="AB27" s="57" t="str">
        <f aca="false">IF(AND(AA27&gt;0,AC27&gt;0),AC27/AA27,"")</f>
        <v/>
      </c>
      <c r="AC27" s="8" t="n">
        <f aca="false">SUMIFS('Saloni Mehra'!$E$7:$E$300,'Saloni Mehra'!$B$7:$B$300,$B27)</f>
        <v>0</v>
      </c>
      <c r="AD27" s="8" t="n">
        <f aca="false">SUMIFS('Saloni Mehra'!$H$7:$H$300,'Saloni Mehra'!$B$7:$B$300,$B27)</f>
        <v>0</v>
      </c>
      <c r="AE27" s="8" t="n">
        <f aca="false">AD27-AC27</f>
        <v>0</v>
      </c>
      <c r="AF27" s="9" t="str">
        <f aca="false">IF(AC27&gt;0,AE27/AC27,"")</f>
        <v/>
      </c>
      <c r="AG27" s="9" t="n">
        <f aca="false">IF(AD$6=0,"",AD27/AD$6)</f>
        <v>0</v>
      </c>
      <c r="AH27" s="56" t="n">
        <f aca="false">SUMIFS('Vidushi Malhotra'!$D$7:$D$300,'Vidushi Malhotra'!$B$7:$B$300,$B27)</f>
        <v>0</v>
      </c>
      <c r="AI27" s="57" t="str">
        <f aca="false">IF(AND(AH27&gt;0,AJ27&gt;0),AJ27/AH27,"")</f>
        <v/>
      </c>
      <c r="AJ27" s="8" t="n">
        <f aca="false">SUMIFS('Vidushi Malhotra'!$E$7:$E$300,'Vidushi Malhotra'!$B$7:$B$300,$B27)</f>
        <v>0</v>
      </c>
      <c r="AK27" s="8" t="n">
        <f aca="false">SUMIFS('Vidushi Malhotra'!$H$7:$H$300,'Vidushi Malhotra'!$B$7:$B$300,$B27)</f>
        <v>0</v>
      </c>
      <c r="AL27" s="8" t="n">
        <f aca="false">AK27-AJ27</f>
        <v>0</v>
      </c>
      <c r="AM27" s="9" t="str">
        <f aca="false">IF(AJ27&gt;0,AL27/AJ27,"")</f>
        <v/>
      </c>
      <c r="AN27" s="9" t="n">
        <f aca="false">IF(AK$6=0,"",AK27/AK$6)</f>
        <v>0</v>
      </c>
      <c r="AO27" s="56" t="n">
        <f aca="false">SUMIFS('Dr Umesh Choudhry'!$D$7:$D$300,'Dr Umesh Choudhry'!$B$7:$B$300,$B27)</f>
        <v>0</v>
      </c>
      <c r="AP27" s="57" t="str">
        <f aca="false">IF(AND(AO27&gt;0,AQ27&gt;0),AQ27/AO27,"")</f>
        <v/>
      </c>
      <c r="AQ27" s="8" t="n">
        <f aca="false">SUMIFS('Dr Umesh Choudhry'!$E$7:$E$300,'Dr Umesh Choudhry'!$B$7:$B$300,$B27)</f>
        <v>0</v>
      </c>
      <c r="AR27" s="8" t="n">
        <f aca="false">SUMIFS('Dr Umesh Choudhry'!$H$7:$H$300,'Dr Umesh Choudhry'!$B$7:$B$300,$B27)</f>
        <v>0</v>
      </c>
      <c r="AS27" s="8" t="n">
        <f aca="false">AR27-AQ27</f>
        <v>0</v>
      </c>
      <c r="AT27" s="9" t="str">
        <f aca="false">IF(AQ27&gt;0,AS27/AQ27,"")</f>
        <v/>
      </c>
      <c r="AU27" s="9" t="n">
        <f aca="false">IF(AR$6=0,"",AR27/AR$6)</f>
        <v>0</v>
      </c>
      <c r="AV27" s="56" t="n">
        <f aca="false">SUMIFS(DA!$D$7:$D$300,DA!$B$7:$B$300,$B27)</f>
        <v>146</v>
      </c>
      <c r="AW27" s="57" t="n">
        <f aca="false">IF(AND(AV27&gt;0,AX27&gt;0),AX27/AV27,"")</f>
        <v>1363</v>
      </c>
      <c r="AX27" s="8" t="n">
        <f aca="false">SUMIFS(DA!$E$7:$E$300,DA!$B$7:$B$300,$B27)</f>
        <v>198998</v>
      </c>
      <c r="AY27" s="8" t="n">
        <f aca="false">SUMIFS(DA!$H$7:$H$300,DA!$B$7:$B$300,$B27)</f>
        <v>172937</v>
      </c>
      <c r="AZ27" s="8" t="n">
        <f aca="false">AY27-AX27</f>
        <v>-26061</v>
      </c>
      <c r="BA27" s="9" t="n">
        <f aca="false">IF(AX27&gt;0,AZ27/AX27,"")</f>
        <v>-0.130961115187087</v>
      </c>
      <c r="BB27" s="9" t="n">
        <f aca="false">IF(AY$6=0,"",AY27/AY$6)</f>
        <v>0.0447326744881211</v>
      </c>
    </row>
    <row r="28" customFormat="false" ht="15" hidden="false" customHeight="false" outlineLevel="0" collapsed="false">
      <c r="A28" s="5" t="n">
        <v>22</v>
      </c>
      <c r="B28" s="47" t="s">
        <v>100</v>
      </c>
      <c r="C28" s="48" t="n">
        <f aca="false">IFERROR(INDEX(Prices!$C$6:$C$300,MATCH($B28,Prices!$A$6:$A$300,0)),"")</f>
        <v>2775.8</v>
      </c>
      <c r="D28" s="49" t="str">
        <f aca="false">IFERROR(INDEX(Prices!$D$6:$D$300,MATCH($B28,Prices!$A$6:$A$300,0)),"")</f>
        <v>Close 22.10.2026 (Screener.in)</v>
      </c>
      <c r="E28" s="6" t="n">
        <f aca="false">(M28&gt;0)+(T28&gt;0)+(AA28&gt;0)+(AH28&gt;0)+(AO28&gt;0)+(AV28&gt;0)</f>
        <v>5</v>
      </c>
      <c r="F28" s="50" t="n">
        <f aca="false">M28+T28+AA28+AH28+AO28+AV28</f>
        <v>69</v>
      </c>
      <c r="G28" s="51" t="n">
        <f aca="false">IF(AND(F28&gt;0,H28&gt;0),H28/F28,"")</f>
        <v>2883.46376811594</v>
      </c>
      <c r="H28" s="52" t="n">
        <f aca="false">O28+V28+AC28+AJ28+AQ28+AX28</f>
        <v>198959</v>
      </c>
      <c r="I28" s="53" t="n">
        <f aca="false">P28+W28+AD28+AK28+AR28+AY28</f>
        <v>191530.2</v>
      </c>
      <c r="J28" s="52" t="n">
        <f aca="false">I28-H28</f>
        <v>-7428.80000000002</v>
      </c>
      <c r="K28" s="54" t="n">
        <f aca="false">IF(H28&gt;0,J28/H28,"")</f>
        <v>-0.0373383460914059</v>
      </c>
      <c r="L28" s="55" t="n">
        <f aca="false">IF(I$6=0,"",I28/I$6)</f>
        <v>0.00507603970930044</v>
      </c>
      <c r="M28" s="56" t="n">
        <f aca="false">SUMIFS(Gautam!$D$7:$D$300,Gautam!$B$7:$B$300,$B28)</f>
        <v>31</v>
      </c>
      <c r="N28" s="57" t="n">
        <f aca="false">IF(AND(M28&gt;0,O28&gt;0),O28/M28,"")</f>
        <v>2774.38709677419</v>
      </c>
      <c r="O28" s="8" t="n">
        <f aca="false">SUMIFS(Gautam!$E$7:$E$300,Gautam!$B$7:$B$300,$B28)</f>
        <v>86006</v>
      </c>
      <c r="P28" s="8" t="n">
        <f aca="false">SUMIFS(Gautam!$H$7:$H$300,Gautam!$B$7:$B$300,$B28)</f>
        <v>86049.8</v>
      </c>
      <c r="Q28" s="8" t="n">
        <f aca="false">P28-O28</f>
        <v>43.8000000000029</v>
      </c>
      <c r="R28" s="9" t="n">
        <f aca="false">IF(O28&gt;0,Q28/O28,"")</f>
        <v>0.000509266795339894</v>
      </c>
      <c r="S28" s="9" t="n">
        <f aca="false">IF(P$6=0,"",P28/P$6)</f>
        <v>0.0164683654595432</v>
      </c>
      <c r="T28" s="56" t="n">
        <f aca="false">SUMIFS('Manish Shilpa'!$D$7:$D$300,'Manish Shilpa'!$B$7:$B$300,$B28)</f>
        <v>10</v>
      </c>
      <c r="U28" s="57" t="n">
        <f aca="false">IF(AND(T28&gt;0,V28&gt;0),V28/T28,"")</f>
        <v>3053.6</v>
      </c>
      <c r="V28" s="8" t="n">
        <f aca="false">SUMIFS('Manish Shilpa'!$E$7:$E$300,'Manish Shilpa'!$B$7:$B$300,$B28)</f>
        <v>30536</v>
      </c>
      <c r="W28" s="8" t="n">
        <f aca="false">SUMIFS('Manish Shilpa'!$H$7:$H$300,'Manish Shilpa'!$B$7:$B$300,$B28)</f>
        <v>27758</v>
      </c>
      <c r="X28" s="8" t="n">
        <f aca="false">W28-V28</f>
        <v>-2778</v>
      </c>
      <c r="Y28" s="9" t="n">
        <f aca="false">IF(V28&gt;0,X28/V28,"")</f>
        <v>-0.0909745873722819</v>
      </c>
      <c r="Z28" s="9" t="n">
        <f aca="false">IF(W$6=0,"",W28/W$6)</f>
        <v>0.00234722193861672</v>
      </c>
      <c r="AA28" s="56" t="n">
        <f aca="false">SUMIFS('Saloni Mehra'!$D$7:$D$300,'Saloni Mehra'!$B$7:$B$300,$B28)</f>
        <v>5</v>
      </c>
      <c r="AB28" s="57" t="n">
        <f aca="false">IF(AND(AA28&gt;0,AC28&gt;0),AC28/AA28,"")</f>
        <v>2787.4</v>
      </c>
      <c r="AC28" s="8" t="n">
        <f aca="false">SUMIFS('Saloni Mehra'!$E$7:$E$300,'Saloni Mehra'!$B$7:$B$300,$B28)</f>
        <v>13937</v>
      </c>
      <c r="AD28" s="8" t="n">
        <f aca="false">SUMIFS('Saloni Mehra'!$H$7:$H$300,'Saloni Mehra'!$B$7:$B$300,$B28)</f>
        <v>13879</v>
      </c>
      <c r="AE28" s="8" t="n">
        <f aca="false">AD28-AC28</f>
        <v>-58</v>
      </c>
      <c r="AF28" s="9" t="n">
        <f aca="false">IF(AC28&gt;0,AE28/AC28,"")</f>
        <v>-0.00416158427208151</v>
      </c>
      <c r="AG28" s="9" t="n">
        <f aca="false">IF(AD$6=0,"",AD28/AD$6)</f>
        <v>0.0012427999213953</v>
      </c>
      <c r="AH28" s="56" t="n">
        <f aca="false">SUMIFS('Vidushi Malhotra'!$D$7:$D$300,'Vidushi Malhotra'!$B$7:$B$300,$B28)</f>
        <v>0</v>
      </c>
      <c r="AI28" s="57" t="str">
        <f aca="false">IF(AND(AH28&gt;0,AJ28&gt;0),AJ28/AH28,"")</f>
        <v/>
      </c>
      <c r="AJ28" s="8" t="n">
        <f aca="false">SUMIFS('Vidushi Malhotra'!$E$7:$E$300,'Vidushi Malhotra'!$B$7:$B$300,$B28)</f>
        <v>0</v>
      </c>
      <c r="AK28" s="8" t="n">
        <f aca="false">SUMIFS('Vidushi Malhotra'!$H$7:$H$300,'Vidushi Malhotra'!$B$7:$B$300,$B28)</f>
        <v>0</v>
      </c>
      <c r="AL28" s="8" t="n">
        <f aca="false">AK28-AJ28</f>
        <v>0</v>
      </c>
      <c r="AM28" s="9" t="str">
        <f aca="false">IF(AJ28&gt;0,AL28/AJ28,"")</f>
        <v/>
      </c>
      <c r="AN28" s="9" t="n">
        <f aca="false">IF(AK$6=0,"",AK28/AK$6)</f>
        <v>0</v>
      </c>
      <c r="AO28" s="56" t="n">
        <f aca="false">SUMIFS('Dr Umesh Choudhry'!$D$7:$D$300,'Dr Umesh Choudhry'!$B$7:$B$300,$B28)</f>
        <v>5</v>
      </c>
      <c r="AP28" s="57" t="n">
        <f aca="false">IF(AND(AO28&gt;0,AQ28&gt;0),AQ28/AO28,"")</f>
        <v>2909.8</v>
      </c>
      <c r="AQ28" s="8" t="n">
        <f aca="false">SUMIFS('Dr Umesh Choudhry'!$E$7:$E$300,'Dr Umesh Choudhry'!$B$7:$B$300,$B28)</f>
        <v>14549</v>
      </c>
      <c r="AR28" s="8" t="n">
        <f aca="false">SUMIFS('Dr Umesh Choudhry'!$H$7:$H$300,'Dr Umesh Choudhry'!$B$7:$B$300,$B28)</f>
        <v>13879</v>
      </c>
      <c r="AS28" s="8" t="n">
        <f aca="false">AR28-AQ28</f>
        <v>-670</v>
      </c>
      <c r="AT28" s="9" t="n">
        <f aca="false">IF(AQ28&gt;0,AS28/AQ28,"")</f>
        <v>-0.0460512750017183</v>
      </c>
      <c r="AU28" s="9" t="n">
        <f aca="false">IF(AR$6=0,"",AR28/AR$6)</f>
        <v>0.00256007631613507</v>
      </c>
      <c r="AV28" s="56" t="n">
        <f aca="false">SUMIFS(DA!$D$7:$D$300,DA!$B$7:$B$300,$B28)</f>
        <v>18</v>
      </c>
      <c r="AW28" s="57" t="n">
        <f aca="false">IF(AND(AV28&gt;0,AX28&gt;0),AX28/AV28,"")</f>
        <v>2996.16666666667</v>
      </c>
      <c r="AX28" s="8" t="n">
        <f aca="false">SUMIFS(DA!$E$7:$E$300,DA!$B$7:$B$300,$B28)</f>
        <v>53931</v>
      </c>
      <c r="AY28" s="8" t="n">
        <f aca="false">SUMIFS(DA!$H$7:$H$300,DA!$B$7:$B$300,$B28)</f>
        <v>49964.4</v>
      </c>
      <c r="AZ28" s="8" t="n">
        <f aca="false">AY28-AX28</f>
        <v>-3966.6</v>
      </c>
      <c r="BA28" s="9" t="n">
        <f aca="false">IF(AX28&gt;0,AZ28/AX28,"")</f>
        <v>-0.0735495355176058</v>
      </c>
      <c r="BB28" s="9" t="n">
        <f aca="false">IF(AY$6=0,"",AY28/AY$6)</f>
        <v>0.0129240199679321</v>
      </c>
    </row>
    <row r="29" customFormat="false" ht="15" hidden="false" customHeight="false" outlineLevel="0" collapsed="false">
      <c r="A29" s="5" t="n">
        <v>23</v>
      </c>
      <c r="B29" s="47" t="s">
        <v>101</v>
      </c>
      <c r="C29" s="48" t="n">
        <f aca="false">IFERROR(INDEX(Prices!$C$6:$C$300,MATCH($B29,Prices!$A$6:$A$300,0)),"")</f>
        <v>1089.9</v>
      </c>
      <c r="D29" s="49" t="str">
        <f aca="false">IFERROR(INDEX(Prices!$D$6:$D$300,MATCH($B29,Prices!$A$6:$A$300,0)),"")</f>
        <v>Close 22.10.2026 (Screener.in)</v>
      </c>
      <c r="E29" s="6" t="n">
        <f aca="false">(M29&gt;0)+(T29&gt;0)+(AA29&gt;0)+(AH29&gt;0)+(AO29&gt;0)+(AV29&gt;0)</f>
        <v>4</v>
      </c>
      <c r="F29" s="50" t="n">
        <f aca="false">M29+T29+AA29+AH29+AO29+AV29</f>
        <v>157</v>
      </c>
      <c r="G29" s="51" t="n">
        <f aca="false">IF(AND(F29&gt;0,H29&gt;0),H29/F29,"")</f>
        <v>1689.00636942675</v>
      </c>
      <c r="H29" s="52" t="n">
        <f aca="false">O29+V29+AC29+AJ29+AQ29+AX29</f>
        <v>265174</v>
      </c>
      <c r="I29" s="53" t="n">
        <f aca="false">P29+W29+AD29+AK29+AR29+AY29</f>
        <v>171114.3</v>
      </c>
      <c r="J29" s="52" t="n">
        <f aca="false">I29-H29</f>
        <v>-94059.7</v>
      </c>
      <c r="K29" s="54" t="n">
        <f aca="false">IF(H29&gt;0,J29/H29,"")</f>
        <v>-0.354709360646217</v>
      </c>
      <c r="L29" s="55" t="n">
        <f aca="false">IF(I$6=0,"",I29/I$6)</f>
        <v>0.00453496619138469</v>
      </c>
      <c r="M29" s="56" t="n">
        <f aca="false">SUMIFS(Gautam!$D$7:$D$300,Gautam!$B$7:$B$300,$B29)</f>
        <v>10</v>
      </c>
      <c r="N29" s="57" t="n">
        <f aca="false">IF(AND(M29&gt;0,O29&gt;0),O29/M29,"")</f>
        <v>1194.1</v>
      </c>
      <c r="O29" s="8" t="n">
        <f aca="false">SUMIFS(Gautam!$E$7:$E$300,Gautam!$B$7:$B$300,$B29)</f>
        <v>11941</v>
      </c>
      <c r="P29" s="8" t="n">
        <f aca="false">SUMIFS(Gautam!$H$7:$H$300,Gautam!$B$7:$B$300,$B29)</f>
        <v>10899</v>
      </c>
      <c r="Q29" s="8" t="n">
        <f aca="false">P29-O29</f>
        <v>-1042</v>
      </c>
      <c r="R29" s="9" t="n">
        <f aca="false">IF(O29&gt;0,Q29/O29,"")</f>
        <v>-0.0872623733355665</v>
      </c>
      <c r="S29" s="9" t="n">
        <f aca="false">IF(P$6=0,"",P29/P$6)</f>
        <v>0.00208587021868222</v>
      </c>
      <c r="T29" s="56" t="n">
        <f aca="false">SUMIFS('Manish Shilpa'!$D$7:$D$300,'Manish Shilpa'!$B$7:$B$300,$B29)</f>
        <v>17</v>
      </c>
      <c r="U29" s="57" t="n">
        <f aca="false">IF(AND(T29&gt;0,V29&gt;0),V29/T29,"")</f>
        <v>1746.70588235294</v>
      </c>
      <c r="V29" s="8" t="n">
        <f aca="false">SUMIFS('Manish Shilpa'!$E$7:$E$300,'Manish Shilpa'!$B$7:$B$300,$B29)</f>
        <v>29694</v>
      </c>
      <c r="W29" s="8" t="n">
        <f aca="false">SUMIFS('Manish Shilpa'!$H$7:$H$300,'Manish Shilpa'!$B$7:$B$300,$B29)</f>
        <v>18528.3</v>
      </c>
      <c r="X29" s="8" t="n">
        <f aca="false">W29-V29</f>
        <v>-11165.7</v>
      </c>
      <c r="Y29" s="9" t="n">
        <f aca="false">IF(V29&gt;0,X29/V29,"")</f>
        <v>-0.376025459688826</v>
      </c>
      <c r="Z29" s="9" t="n">
        <f aca="false">IF(W$6=0,"",W29/W$6)</f>
        <v>0.00156675669159421</v>
      </c>
      <c r="AA29" s="56" t="n">
        <f aca="false">SUMIFS('Saloni Mehra'!$D$7:$D$300,'Saloni Mehra'!$B$7:$B$300,$B29)</f>
        <v>48</v>
      </c>
      <c r="AB29" s="57" t="n">
        <f aca="false">IF(AND(AA29&gt;0,AC29&gt;0),AC29/AA29,"")</f>
        <v>1308.29166666667</v>
      </c>
      <c r="AC29" s="8" t="n">
        <f aca="false">SUMIFS('Saloni Mehra'!$E$7:$E$300,'Saloni Mehra'!$B$7:$B$300,$B29)</f>
        <v>62798</v>
      </c>
      <c r="AD29" s="8" t="n">
        <f aca="false">SUMIFS('Saloni Mehra'!$H$7:$H$300,'Saloni Mehra'!$B$7:$B$300,$B29)</f>
        <v>52315.2</v>
      </c>
      <c r="AE29" s="8" t="n">
        <f aca="false">AD29-AC29</f>
        <v>-10482.8</v>
      </c>
      <c r="AF29" s="9" t="n">
        <f aca="false">IF(AC29&gt;0,AE29/AC29,"")</f>
        <v>-0.166928883085449</v>
      </c>
      <c r="AG29" s="9" t="n">
        <f aca="false">IF(AD$6=0,"",AD29/AD$6)</f>
        <v>0.00468458292728434</v>
      </c>
      <c r="AH29" s="56" t="n">
        <f aca="false">SUMIFS('Vidushi Malhotra'!$D$7:$D$300,'Vidushi Malhotra'!$B$7:$B$300,$B29)</f>
        <v>0</v>
      </c>
      <c r="AI29" s="57" t="str">
        <f aca="false">IF(AND(AH29&gt;0,AJ29&gt;0),AJ29/AH29,"")</f>
        <v/>
      </c>
      <c r="AJ29" s="8" t="n">
        <f aca="false">SUMIFS('Vidushi Malhotra'!$E$7:$E$300,'Vidushi Malhotra'!$B$7:$B$300,$B29)</f>
        <v>0</v>
      </c>
      <c r="AK29" s="8" t="n">
        <f aca="false">SUMIFS('Vidushi Malhotra'!$H$7:$H$300,'Vidushi Malhotra'!$B$7:$B$300,$B29)</f>
        <v>0</v>
      </c>
      <c r="AL29" s="8" t="n">
        <f aca="false">AK29-AJ29</f>
        <v>0</v>
      </c>
      <c r="AM29" s="9" t="str">
        <f aca="false">IF(AJ29&gt;0,AL29/AJ29,"")</f>
        <v/>
      </c>
      <c r="AN29" s="9" t="n">
        <f aca="false">IF(AK$6=0,"",AK29/AK$6)</f>
        <v>0</v>
      </c>
      <c r="AO29" s="56" t="n">
        <f aca="false">SUMIFS('Dr Umesh Choudhry'!$D$7:$D$300,'Dr Umesh Choudhry'!$B$7:$B$300,$B29)</f>
        <v>82</v>
      </c>
      <c r="AP29" s="57" t="n">
        <f aca="false">IF(AND(AO29&gt;0,AQ29&gt;0),AQ29/AO29,"")</f>
        <v>1960.25609756098</v>
      </c>
      <c r="AQ29" s="8" t="n">
        <f aca="false">SUMIFS('Dr Umesh Choudhry'!$E$7:$E$300,'Dr Umesh Choudhry'!$B$7:$B$300,$B29)</f>
        <v>160741</v>
      </c>
      <c r="AR29" s="8" t="n">
        <f aca="false">SUMIFS('Dr Umesh Choudhry'!$H$7:$H$300,'Dr Umesh Choudhry'!$B$7:$B$300,$B29)</f>
        <v>89371.8</v>
      </c>
      <c r="AS29" s="8" t="n">
        <f aca="false">AR29-AQ29</f>
        <v>-71369.2</v>
      </c>
      <c r="AT29" s="9" t="n">
        <f aca="false">IF(AQ29&gt;0,AS29/AQ29,"")</f>
        <v>-0.444001219352872</v>
      </c>
      <c r="AU29" s="9" t="n">
        <f aca="false">IF(AR$6=0,"",AR29/AR$6)</f>
        <v>0.0164852387427308</v>
      </c>
      <c r="AV29" s="56" t="n">
        <f aca="false">SUMIFS(DA!$D$7:$D$300,DA!$B$7:$B$300,$B29)</f>
        <v>0</v>
      </c>
      <c r="AW29" s="57" t="str">
        <f aca="false">IF(AND(AV29&gt;0,AX29&gt;0),AX29/AV29,"")</f>
        <v/>
      </c>
      <c r="AX29" s="8" t="n">
        <f aca="false">SUMIFS(DA!$E$7:$E$300,DA!$B$7:$B$300,$B29)</f>
        <v>0</v>
      </c>
      <c r="AY29" s="8" t="n">
        <f aca="false">SUMIFS(DA!$H$7:$H$300,DA!$B$7:$B$300,$B29)</f>
        <v>0</v>
      </c>
      <c r="AZ29" s="8" t="n">
        <f aca="false">AY29-AX29</f>
        <v>0</v>
      </c>
      <c r="BA29" s="9" t="str">
        <f aca="false">IF(AX29&gt;0,AZ29/AX29,"")</f>
        <v/>
      </c>
      <c r="BB29" s="9" t="n">
        <f aca="false">IF(AY$6=0,"",AY29/AY$6)</f>
        <v>0</v>
      </c>
    </row>
    <row r="30" customFormat="false" ht="15" hidden="false" customHeight="false" outlineLevel="0" collapsed="false">
      <c r="A30" s="5" t="n">
        <v>24</v>
      </c>
      <c r="B30" s="47" t="s">
        <v>102</v>
      </c>
      <c r="C30" s="48" t="n">
        <f aca="false">IFERROR(INDEX(Prices!$C$6:$C$300,MATCH($B30,Prices!$A$6:$A$300,0)),"")</f>
        <v>3166</v>
      </c>
      <c r="D30" s="49" t="str">
        <f aca="false">IFERROR(INDEX(Prices!$D$6:$D$300,MATCH($B30,Prices!$A$6:$A$300,0)),"")</f>
        <v>Close 22.10.2026 (Screener.in)</v>
      </c>
      <c r="E30" s="6" t="n">
        <f aca="false">(M30&gt;0)+(T30&gt;0)+(AA30&gt;0)+(AH30&gt;0)+(AO30&gt;0)+(AV30&gt;0)</f>
        <v>5</v>
      </c>
      <c r="F30" s="50" t="n">
        <f aca="false">M30+T30+AA30+AH30+AO30+AV30</f>
        <v>54</v>
      </c>
      <c r="G30" s="51" t="n">
        <f aca="false">IF(AND(F30&gt;0,H30&gt;0),H30/F30,"")</f>
        <v>3812.22222222222</v>
      </c>
      <c r="H30" s="52" t="n">
        <f aca="false">O30+V30+AC30+AJ30+AQ30+AX30</f>
        <v>205860</v>
      </c>
      <c r="I30" s="53" t="n">
        <f aca="false">P30+W30+AD30+AK30+AR30+AY30</f>
        <v>170964</v>
      </c>
      <c r="J30" s="52" t="n">
        <f aca="false">I30-H30</f>
        <v>-34896</v>
      </c>
      <c r="K30" s="54" t="n">
        <f aca="false">IF(H30&gt;0,J30/H30,"")</f>
        <v>-0.169513261439813</v>
      </c>
      <c r="L30" s="55" t="n">
        <f aca="false">IF(I$6=0,"",I30/I$6)</f>
        <v>0.00453098285732924</v>
      </c>
      <c r="M30" s="56" t="n">
        <f aca="false">SUMIFS(Gautam!$D$7:$D$300,Gautam!$B$7:$B$300,$B30)</f>
        <v>24</v>
      </c>
      <c r="N30" s="57" t="n">
        <f aca="false">IF(AND(M30&gt;0,O30&gt;0),O30/M30,"")</f>
        <v>3747.75</v>
      </c>
      <c r="O30" s="8" t="n">
        <f aca="false">SUMIFS(Gautam!$E$7:$E$300,Gautam!$B$7:$B$300,$B30)</f>
        <v>89946</v>
      </c>
      <c r="P30" s="8" t="n">
        <f aca="false">SUMIFS(Gautam!$H$7:$H$300,Gautam!$B$7:$B$300,$B30)</f>
        <v>75984</v>
      </c>
      <c r="Q30" s="8" t="n">
        <f aca="false">P30-O30</f>
        <v>-13962</v>
      </c>
      <c r="R30" s="9" t="n">
        <f aca="false">IF(O30&gt;0,Q30/O30,"")</f>
        <v>-0.155226469214862</v>
      </c>
      <c r="S30" s="9" t="n">
        <f aca="false">IF(P$6=0,"",P30/P$6)</f>
        <v>0.0145419545551289</v>
      </c>
      <c r="T30" s="56" t="n">
        <f aca="false">SUMIFS('Manish Shilpa'!$D$7:$D$300,'Manish Shilpa'!$B$7:$B$300,$B30)</f>
        <v>6</v>
      </c>
      <c r="U30" s="57" t="n">
        <f aca="false">IF(AND(T30&gt;0,V30&gt;0),V30/T30,"")</f>
        <v>3939.5</v>
      </c>
      <c r="V30" s="8" t="n">
        <f aca="false">SUMIFS('Manish Shilpa'!$E$7:$E$300,'Manish Shilpa'!$B$7:$B$300,$B30)</f>
        <v>23637</v>
      </c>
      <c r="W30" s="8" t="n">
        <f aca="false">SUMIFS('Manish Shilpa'!$H$7:$H$300,'Manish Shilpa'!$B$7:$B$300,$B30)</f>
        <v>18996</v>
      </c>
      <c r="X30" s="8" t="n">
        <f aca="false">W30-V30</f>
        <v>-4641</v>
      </c>
      <c r="Y30" s="9" t="n">
        <f aca="false">IF(V30&gt;0,X30/V30,"")</f>
        <v>-0.196344713796167</v>
      </c>
      <c r="Z30" s="9" t="n">
        <f aca="false">IF(W$6=0,"",W30/W$6)</f>
        <v>0.00160630549556752</v>
      </c>
      <c r="AA30" s="56" t="n">
        <f aca="false">SUMIFS('Saloni Mehra'!$D$7:$D$300,'Saloni Mehra'!$B$7:$B$300,$B30)</f>
        <v>7</v>
      </c>
      <c r="AB30" s="57" t="n">
        <f aca="false">IF(AND(AA30&gt;0,AC30&gt;0),AC30/AA30,"")</f>
        <v>3673.57142857143</v>
      </c>
      <c r="AC30" s="8" t="n">
        <f aca="false">SUMIFS('Saloni Mehra'!$E$7:$E$300,'Saloni Mehra'!$B$7:$B$300,$B30)</f>
        <v>25715</v>
      </c>
      <c r="AD30" s="8" t="n">
        <f aca="false">SUMIFS('Saloni Mehra'!$H$7:$H$300,'Saloni Mehra'!$B$7:$B$300,$B30)</f>
        <v>22162</v>
      </c>
      <c r="AE30" s="8" t="n">
        <f aca="false">AD30-AC30</f>
        <v>-3553</v>
      </c>
      <c r="AF30" s="9" t="n">
        <f aca="false">IF(AC30&gt;0,AE30/AC30,"")</f>
        <v>-0.13816838421155</v>
      </c>
      <c r="AG30" s="9" t="n">
        <f aca="false">IF(AD$6=0,"",AD30/AD$6)</f>
        <v>0.0019845040606645</v>
      </c>
      <c r="AH30" s="56" t="n">
        <f aca="false">SUMIFS('Vidushi Malhotra'!$D$7:$D$300,'Vidushi Malhotra'!$B$7:$B$300,$B30)</f>
        <v>0</v>
      </c>
      <c r="AI30" s="57" t="str">
        <f aca="false">IF(AND(AH30&gt;0,AJ30&gt;0),AJ30/AH30,"")</f>
        <v/>
      </c>
      <c r="AJ30" s="8" t="n">
        <f aca="false">SUMIFS('Vidushi Malhotra'!$E$7:$E$300,'Vidushi Malhotra'!$B$7:$B$300,$B30)</f>
        <v>0</v>
      </c>
      <c r="AK30" s="8" t="n">
        <f aca="false">SUMIFS('Vidushi Malhotra'!$H$7:$H$300,'Vidushi Malhotra'!$B$7:$B$300,$B30)</f>
        <v>0</v>
      </c>
      <c r="AL30" s="8" t="n">
        <f aca="false">AK30-AJ30</f>
        <v>0</v>
      </c>
      <c r="AM30" s="9" t="str">
        <f aca="false">IF(AJ30&gt;0,AL30/AJ30,"")</f>
        <v/>
      </c>
      <c r="AN30" s="9" t="n">
        <f aca="false">IF(AK$6=0,"",AK30/AK$6)</f>
        <v>0</v>
      </c>
      <c r="AO30" s="56" t="n">
        <f aca="false">SUMIFS('Dr Umesh Choudhry'!$D$7:$D$300,'Dr Umesh Choudhry'!$B$7:$B$300,$B30)</f>
        <v>4</v>
      </c>
      <c r="AP30" s="57" t="n">
        <f aca="false">IF(AND(AO30&gt;0,AQ30&gt;0),AQ30/AO30,"")</f>
        <v>3685</v>
      </c>
      <c r="AQ30" s="8" t="n">
        <f aca="false">SUMIFS('Dr Umesh Choudhry'!$E$7:$E$300,'Dr Umesh Choudhry'!$B$7:$B$300,$B30)</f>
        <v>14740</v>
      </c>
      <c r="AR30" s="8" t="n">
        <f aca="false">SUMIFS('Dr Umesh Choudhry'!$H$7:$H$300,'Dr Umesh Choudhry'!$B$7:$B$300,$B30)</f>
        <v>12664</v>
      </c>
      <c r="AS30" s="8" t="n">
        <f aca="false">AR30-AQ30</f>
        <v>-2076</v>
      </c>
      <c r="AT30" s="9" t="n">
        <f aca="false">IF(AQ30&gt;0,AS30/AQ30,"")</f>
        <v>-0.140841248303935</v>
      </c>
      <c r="AU30" s="9" t="n">
        <f aca="false">IF(AR$6=0,"",AR30/AR$6)</f>
        <v>0.00233596127008679</v>
      </c>
      <c r="AV30" s="56" t="n">
        <f aca="false">SUMIFS(DA!$D$7:$D$300,DA!$B$7:$B$300,$B30)</f>
        <v>13</v>
      </c>
      <c r="AW30" s="57" t="n">
        <f aca="false">IF(AND(AV30&gt;0,AX30&gt;0),AX30/AV30,"")</f>
        <v>3986.30769230769</v>
      </c>
      <c r="AX30" s="8" t="n">
        <f aca="false">SUMIFS(DA!$E$7:$E$300,DA!$B$7:$B$300,$B30)</f>
        <v>51822</v>
      </c>
      <c r="AY30" s="8" t="n">
        <f aca="false">SUMIFS(DA!$H$7:$H$300,DA!$B$7:$B$300,$B30)</f>
        <v>41158</v>
      </c>
      <c r="AZ30" s="8" t="n">
        <f aca="false">AY30-AX30</f>
        <v>-10664</v>
      </c>
      <c r="BA30" s="9" t="n">
        <f aca="false">IF(AX30&gt;0,AZ30/AX30,"")</f>
        <v>-0.205781328393346</v>
      </c>
      <c r="BB30" s="9" t="n">
        <f aca="false">IF(AY$6=0,"",AY30/AY$6)</f>
        <v>0.0106461163116169</v>
      </c>
    </row>
    <row r="31" customFormat="false" ht="15" hidden="false" customHeight="false" outlineLevel="0" collapsed="false">
      <c r="A31" s="5" t="n">
        <v>25</v>
      </c>
      <c r="B31" s="47" t="s">
        <v>103</v>
      </c>
      <c r="C31" s="48" t="n">
        <f aca="false">IFERROR(INDEX(Prices!$C$6:$C$300,MATCH($B31,Prices!$A$6:$A$300,0)),"")</f>
        <v>1225</v>
      </c>
      <c r="D31" s="49" t="str">
        <f aca="false">IFERROR(INDEX(Prices!$D$6:$D$300,MATCH($B31,Prices!$A$6:$A$300,0)),"")</f>
        <v>Close 22.10.2026 (Screener.in)</v>
      </c>
      <c r="E31" s="6" t="n">
        <f aca="false">(M31&gt;0)+(T31&gt;0)+(AA31&gt;0)+(AH31&gt;0)+(AO31&gt;0)+(AV31&gt;0)</f>
        <v>1</v>
      </c>
      <c r="F31" s="50" t="n">
        <f aca="false">M31+T31+AA31+AH31+AO31+AV31</f>
        <v>134</v>
      </c>
      <c r="G31" s="51" t="n">
        <f aca="false">IF(AND(F31&gt;0,H31&gt;0),H31/F31,"")</f>
        <v>385.507462686567</v>
      </c>
      <c r="H31" s="52" t="n">
        <f aca="false">O31+V31+AC31+AJ31+AQ31+AX31</f>
        <v>51658</v>
      </c>
      <c r="I31" s="53" t="n">
        <f aca="false">P31+W31+AD31+AK31+AR31+AY31</f>
        <v>164150</v>
      </c>
      <c r="J31" s="52" t="n">
        <f aca="false">I31-H31</f>
        <v>112492</v>
      </c>
      <c r="K31" s="54" t="n">
        <f aca="false">IF(H31&gt;0,J31/H31,"")</f>
        <v>2.17762979596578</v>
      </c>
      <c r="L31" s="55" t="n">
        <f aca="false">IF(I$6=0,"",I31/I$6)</f>
        <v>0.00435039444579323</v>
      </c>
      <c r="M31" s="56" t="n">
        <f aca="false">SUMIFS(Gautam!$D$7:$D$300,Gautam!$B$7:$B$300,$B31)</f>
        <v>0</v>
      </c>
      <c r="N31" s="57" t="str">
        <f aca="false">IF(AND(M31&gt;0,O31&gt;0),O31/M31,"")</f>
        <v/>
      </c>
      <c r="O31" s="8" t="n">
        <f aca="false">SUMIFS(Gautam!$E$7:$E$300,Gautam!$B$7:$B$300,$B31)</f>
        <v>0</v>
      </c>
      <c r="P31" s="8" t="n">
        <f aca="false">SUMIFS(Gautam!$H$7:$H$300,Gautam!$B$7:$B$300,$B31)</f>
        <v>0</v>
      </c>
      <c r="Q31" s="8" t="n">
        <f aca="false">P31-O31</f>
        <v>0</v>
      </c>
      <c r="R31" s="9" t="str">
        <f aca="false">IF(O31&gt;0,Q31/O31,"")</f>
        <v/>
      </c>
      <c r="S31" s="9" t="n">
        <f aca="false">IF(P$6=0,"",P31/P$6)</f>
        <v>0</v>
      </c>
      <c r="T31" s="56" t="n">
        <f aca="false">SUMIFS('Manish Shilpa'!$D$7:$D$300,'Manish Shilpa'!$B$7:$B$300,$B31)</f>
        <v>134</v>
      </c>
      <c r="U31" s="57" t="n">
        <f aca="false">IF(AND(T31&gt;0,V31&gt;0),V31/T31,"")</f>
        <v>385.507462686567</v>
      </c>
      <c r="V31" s="8" t="n">
        <f aca="false">SUMIFS('Manish Shilpa'!$E$7:$E$300,'Manish Shilpa'!$B$7:$B$300,$B31)</f>
        <v>51658</v>
      </c>
      <c r="W31" s="8" t="n">
        <f aca="false">SUMIFS('Manish Shilpa'!$H$7:$H$300,'Manish Shilpa'!$B$7:$B$300,$B31)</f>
        <v>164150</v>
      </c>
      <c r="X31" s="8" t="n">
        <f aca="false">W31-V31</f>
        <v>112492</v>
      </c>
      <c r="Y31" s="9" t="n">
        <f aca="false">IF(V31&gt;0,X31/V31,"")</f>
        <v>2.17762979596578</v>
      </c>
      <c r="Z31" s="9" t="n">
        <f aca="false">IF(W$6=0,"",W31/W$6)</f>
        <v>0.0138805562801331</v>
      </c>
      <c r="AA31" s="56" t="n">
        <f aca="false">SUMIFS('Saloni Mehra'!$D$7:$D$300,'Saloni Mehra'!$B$7:$B$300,$B31)</f>
        <v>0</v>
      </c>
      <c r="AB31" s="57" t="str">
        <f aca="false">IF(AND(AA31&gt;0,AC31&gt;0),AC31/AA31,"")</f>
        <v/>
      </c>
      <c r="AC31" s="8" t="n">
        <f aca="false">SUMIFS('Saloni Mehra'!$E$7:$E$300,'Saloni Mehra'!$B$7:$B$300,$B31)</f>
        <v>0</v>
      </c>
      <c r="AD31" s="8" t="n">
        <f aca="false">SUMIFS('Saloni Mehra'!$H$7:$H$300,'Saloni Mehra'!$B$7:$B$300,$B31)</f>
        <v>0</v>
      </c>
      <c r="AE31" s="8" t="n">
        <f aca="false">AD31-AC31</f>
        <v>0</v>
      </c>
      <c r="AF31" s="9" t="str">
        <f aca="false">IF(AC31&gt;0,AE31/AC31,"")</f>
        <v/>
      </c>
      <c r="AG31" s="9" t="n">
        <f aca="false">IF(AD$6=0,"",AD31/AD$6)</f>
        <v>0</v>
      </c>
      <c r="AH31" s="56" t="n">
        <f aca="false">SUMIFS('Vidushi Malhotra'!$D$7:$D$300,'Vidushi Malhotra'!$B$7:$B$300,$B31)</f>
        <v>0</v>
      </c>
      <c r="AI31" s="57" t="str">
        <f aca="false">IF(AND(AH31&gt;0,AJ31&gt;0),AJ31/AH31,"")</f>
        <v/>
      </c>
      <c r="AJ31" s="8" t="n">
        <f aca="false">SUMIFS('Vidushi Malhotra'!$E$7:$E$300,'Vidushi Malhotra'!$B$7:$B$300,$B31)</f>
        <v>0</v>
      </c>
      <c r="AK31" s="8" t="n">
        <f aca="false">SUMIFS('Vidushi Malhotra'!$H$7:$H$300,'Vidushi Malhotra'!$B$7:$B$300,$B31)</f>
        <v>0</v>
      </c>
      <c r="AL31" s="8" t="n">
        <f aca="false">AK31-AJ31</f>
        <v>0</v>
      </c>
      <c r="AM31" s="9" t="str">
        <f aca="false">IF(AJ31&gt;0,AL31/AJ31,"")</f>
        <v/>
      </c>
      <c r="AN31" s="9" t="n">
        <f aca="false">IF(AK$6=0,"",AK31/AK$6)</f>
        <v>0</v>
      </c>
      <c r="AO31" s="56" t="n">
        <f aca="false">SUMIFS('Dr Umesh Choudhry'!$D$7:$D$300,'Dr Umesh Choudhry'!$B$7:$B$300,$B31)</f>
        <v>0</v>
      </c>
      <c r="AP31" s="57" t="str">
        <f aca="false">IF(AND(AO31&gt;0,AQ31&gt;0),AQ31/AO31,"")</f>
        <v/>
      </c>
      <c r="AQ31" s="8" t="n">
        <f aca="false">SUMIFS('Dr Umesh Choudhry'!$E$7:$E$300,'Dr Umesh Choudhry'!$B$7:$B$300,$B31)</f>
        <v>0</v>
      </c>
      <c r="AR31" s="8" t="n">
        <f aca="false">SUMIFS('Dr Umesh Choudhry'!$H$7:$H$300,'Dr Umesh Choudhry'!$B$7:$B$300,$B31)</f>
        <v>0</v>
      </c>
      <c r="AS31" s="8" t="n">
        <f aca="false">AR31-AQ31</f>
        <v>0</v>
      </c>
      <c r="AT31" s="9" t="str">
        <f aca="false">IF(AQ31&gt;0,AS31/AQ31,"")</f>
        <v/>
      </c>
      <c r="AU31" s="9" t="n">
        <f aca="false">IF(AR$6=0,"",AR31/AR$6)</f>
        <v>0</v>
      </c>
      <c r="AV31" s="56" t="n">
        <f aca="false">SUMIFS(DA!$D$7:$D$300,DA!$B$7:$B$300,$B31)</f>
        <v>0</v>
      </c>
      <c r="AW31" s="57" t="str">
        <f aca="false">IF(AND(AV31&gt;0,AX31&gt;0),AX31/AV31,"")</f>
        <v/>
      </c>
      <c r="AX31" s="8" t="n">
        <f aca="false">SUMIFS(DA!$E$7:$E$300,DA!$B$7:$B$300,$B31)</f>
        <v>0</v>
      </c>
      <c r="AY31" s="8" t="n">
        <f aca="false">SUMIFS(DA!$H$7:$H$300,DA!$B$7:$B$300,$B31)</f>
        <v>0</v>
      </c>
      <c r="AZ31" s="8" t="n">
        <f aca="false">AY31-AX31</f>
        <v>0</v>
      </c>
      <c r="BA31" s="9" t="str">
        <f aca="false">IF(AX31&gt;0,AZ31/AX31,"")</f>
        <v/>
      </c>
      <c r="BB31" s="9" t="n">
        <f aca="false">IF(AY$6=0,"",AY31/AY$6)</f>
        <v>0</v>
      </c>
    </row>
    <row r="32" customFormat="false" ht="15" hidden="false" customHeight="false" outlineLevel="0" collapsed="false">
      <c r="A32" s="5" t="n">
        <v>26</v>
      </c>
      <c r="B32" s="47" t="s">
        <v>104</v>
      </c>
      <c r="C32" s="48" t="n">
        <f aca="false">IFERROR(INDEX(Prices!$C$6:$C$300,MATCH($B32,Prices!$A$6:$A$300,0)),"")</f>
        <v>788.1</v>
      </c>
      <c r="D32" s="49" t="str">
        <f aca="false">IFERROR(INDEX(Prices!$D$6:$D$300,MATCH($B32,Prices!$A$6:$A$300,0)),"")</f>
        <v>Close 22.10.2026 (Screener.in)</v>
      </c>
      <c r="E32" s="6" t="n">
        <f aca="false">(M32&gt;0)+(T32&gt;0)+(AA32&gt;0)+(AH32&gt;0)+(AO32&gt;0)+(AV32&gt;0)</f>
        <v>4</v>
      </c>
      <c r="F32" s="50" t="n">
        <f aca="false">M32+T32+AA32+AH32+AO32+AV32</f>
        <v>161</v>
      </c>
      <c r="G32" s="51" t="n">
        <f aca="false">IF(AND(F32&gt;0,H32&gt;0),H32/F32,"")</f>
        <v>845.776397515528</v>
      </c>
      <c r="H32" s="52" t="n">
        <f aca="false">O32+V32+AC32+AJ32+AQ32+AX32</f>
        <v>136170</v>
      </c>
      <c r="I32" s="53" t="n">
        <f aca="false">P32+W32+AD32+AK32+AR32+AY32</f>
        <v>126884.1</v>
      </c>
      <c r="J32" s="52" t="n">
        <f aca="false">I32-H32</f>
        <v>-9285.89999999999</v>
      </c>
      <c r="K32" s="54" t="n">
        <f aca="false">IF(H32&gt;0,J32/H32,"")</f>
        <v>-0.0681934346772416</v>
      </c>
      <c r="L32" s="55" t="n">
        <f aca="false">IF(I$6=0,"",I32/I$6)</f>
        <v>0.00336275287176042</v>
      </c>
      <c r="M32" s="56" t="n">
        <f aca="false">SUMIFS(Gautam!$D$7:$D$300,Gautam!$B$7:$B$300,$B32)</f>
        <v>72</v>
      </c>
      <c r="N32" s="57" t="n">
        <f aca="false">IF(AND(M32&gt;0,O32&gt;0),O32/M32,"")</f>
        <v>828.277777777778</v>
      </c>
      <c r="O32" s="8" t="n">
        <f aca="false">SUMIFS(Gautam!$E$7:$E$300,Gautam!$B$7:$B$300,$B32)</f>
        <v>59636</v>
      </c>
      <c r="P32" s="8" t="n">
        <f aca="false">SUMIFS(Gautam!$H$7:$H$300,Gautam!$B$7:$B$300,$B32)</f>
        <v>56743.2</v>
      </c>
      <c r="Q32" s="8" t="n">
        <f aca="false">P32-O32</f>
        <v>-2892.8</v>
      </c>
      <c r="R32" s="9" t="n">
        <f aca="false">IF(O32&gt;0,Q32/O32,"")</f>
        <v>-0.0485076128512978</v>
      </c>
      <c r="S32" s="9" t="n">
        <f aca="false">IF(P$6=0,"",P32/P$6)</f>
        <v>0.0108596156521451</v>
      </c>
      <c r="T32" s="56" t="n">
        <f aca="false">SUMIFS('Manish Shilpa'!$D$7:$D$300,'Manish Shilpa'!$B$7:$B$300,$B32)</f>
        <v>5</v>
      </c>
      <c r="U32" s="57" t="n">
        <f aca="false">IF(AND(T32&gt;0,V32&gt;0),V32/T32,"")</f>
        <v>663.4</v>
      </c>
      <c r="V32" s="8" t="n">
        <f aca="false">SUMIFS('Manish Shilpa'!$E$7:$E$300,'Manish Shilpa'!$B$7:$B$300,$B32)</f>
        <v>3317</v>
      </c>
      <c r="W32" s="8" t="n">
        <f aca="false">SUMIFS('Manish Shilpa'!$H$7:$H$300,'Manish Shilpa'!$B$7:$B$300,$B32)</f>
        <v>3940.5</v>
      </c>
      <c r="X32" s="8" t="n">
        <f aca="false">W32-V32</f>
        <v>623.5</v>
      </c>
      <c r="Y32" s="9" t="n">
        <f aca="false">IF(V32&gt;0,X32/V32,"")</f>
        <v>0.187971058185107</v>
      </c>
      <c r="Z32" s="9" t="n">
        <f aca="false">IF(W$6=0,"",W32/W$6)</f>
        <v>0.000333209454900179</v>
      </c>
      <c r="AA32" s="56" t="n">
        <f aca="false">SUMIFS('Saloni Mehra'!$D$7:$D$300,'Saloni Mehra'!$B$7:$B$300,$B32)</f>
        <v>76</v>
      </c>
      <c r="AB32" s="57" t="n">
        <f aca="false">IF(AND(AA32&gt;0,AC32&gt;0),AC32/AA32,"")</f>
        <v>874.434210526316</v>
      </c>
      <c r="AC32" s="8" t="n">
        <f aca="false">SUMIFS('Saloni Mehra'!$E$7:$E$300,'Saloni Mehra'!$B$7:$B$300,$B32)</f>
        <v>66457</v>
      </c>
      <c r="AD32" s="8" t="n">
        <f aca="false">SUMIFS('Saloni Mehra'!$H$7:$H$300,'Saloni Mehra'!$B$7:$B$300,$B32)</f>
        <v>59895.6</v>
      </c>
      <c r="AE32" s="8" t="n">
        <f aca="false">AD32-AC32</f>
        <v>-6561.4</v>
      </c>
      <c r="AF32" s="9" t="n">
        <f aca="false">IF(AC32&gt;0,AE32/AC32,"")</f>
        <v>-0.0987315106008397</v>
      </c>
      <c r="AG32" s="9" t="n">
        <f aca="false">IF(AD$6=0,"",AD32/AD$6)</f>
        <v>0.00536337250320083</v>
      </c>
      <c r="AH32" s="56" t="n">
        <f aca="false">SUMIFS('Vidushi Malhotra'!$D$7:$D$300,'Vidushi Malhotra'!$B$7:$B$300,$B32)</f>
        <v>0</v>
      </c>
      <c r="AI32" s="57" t="str">
        <f aca="false">IF(AND(AH32&gt;0,AJ32&gt;0),AJ32/AH32,"")</f>
        <v/>
      </c>
      <c r="AJ32" s="8" t="n">
        <f aca="false">SUMIFS('Vidushi Malhotra'!$E$7:$E$300,'Vidushi Malhotra'!$B$7:$B$300,$B32)</f>
        <v>0</v>
      </c>
      <c r="AK32" s="8" t="n">
        <f aca="false">SUMIFS('Vidushi Malhotra'!$H$7:$H$300,'Vidushi Malhotra'!$B$7:$B$300,$B32)</f>
        <v>0</v>
      </c>
      <c r="AL32" s="8" t="n">
        <f aca="false">AK32-AJ32</f>
        <v>0</v>
      </c>
      <c r="AM32" s="9" t="str">
        <f aca="false">IF(AJ32&gt;0,AL32/AJ32,"")</f>
        <v/>
      </c>
      <c r="AN32" s="9" t="n">
        <f aca="false">IF(AK$6=0,"",AK32/AK$6)</f>
        <v>0</v>
      </c>
      <c r="AO32" s="56" t="n">
        <f aca="false">SUMIFS('Dr Umesh Choudhry'!$D$7:$D$300,'Dr Umesh Choudhry'!$B$7:$B$300,$B32)</f>
        <v>8</v>
      </c>
      <c r="AP32" s="57" t="n">
        <f aca="false">IF(AND(AO32&gt;0,AQ32&gt;0),AQ32/AO32,"")</f>
        <v>845</v>
      </c>
      <c r="AQ32" s="8" t="n">
        <f aca="false">SUMIFS('Dr Umesh Choudhry'!$E$7:$E$300,'Dr Umesh Choudhry'!$B$7:$B$300,$B32)</f>
        <v>6760</v>
      </c>
      <c r="AR32" s="8" t="n">
        <f aca="false">SUMIFS('Dr Umesh Choudhry'!$H$7:$H$300,'Dr Umesh Choudhry'!$B$7:$B$300,$B32)</f>
        <v>6304.8</v>
      </c>
      <c r="AS32" s="8" t="n">
        <f aca="false">AR32-AQ32</f>
        <v>-455.2</v>
      </c>
      <c r="AT32" s="9" t="n">
        <f aca="false">IF(AQ32&gt;0,AS32/AQ32,"")</f>
        <v>-0.0673372781065088</v>
      </c>
      <c r="AU32" s="9" t="n">
        <f aca="false">IF(AR$6=0,"",AR32/AR$6)</f>
        <v>0.00116296340932116</v>
      </c>
      <c r="AV32" s="56" t="n">
        <f aca="false">SUMIFS(DA!$D$7:$D$300,DA!$B$7:$B$300,$B32)</f>
        <v>0</v>
      </c>
      <c r="AW32" s="57" t="str">
        <f aca="false">IF(AND(AV32&gt;0,AX32&gt;0),AX32/AV32,"")</f>
        <v/>
      </c>
      <c r="AX32" s="8" t="n">
        <f aca="false">SUMIFS(DA!$E$7:$E$300,DA!$B$7:$B$300,$B32)</f>
        <v>0</v>
      </c>
      <c r="AY32" s="8" t="n">
        <f aca="false">SUMIFS(DA!$H$7:$H$300,DA!$B$7:$B$300,$B32)</f>
        <v>0</v>
      </c>
      <c r="AZ32" s="8" t="n">
        <f aca="false">AY32-AX32</f>
        <v>0</v>
      </c>
      <c r="BA32" s="9" t="str">
        <f aca="false">IF(AX32&gt;0,AZ32/AX32,"")</f>
        <v/>
      </c>
      <c r="BB32" s="9" t="n">
        <f aca="false">IF(AY$6=0,"",AY32/AY$6)</f>
        <v>0</v>
      </c>
    </row>
    <row r="33" customFormat="false" ht="15" hidden="false" customHeight="false" outlineLevel="0" collapsed="false">
      <c r="A33" s="5" t="n">
        <v>27</v>
      </c>
      <c r="B33" s="47" t="s">
        <v>105</v>
      </c>
      <c r="C33" s="48" t="n">
        <f aca="false">IFERROR(INDEX(Prices!$C$6:$C$300,MATCH($B33,Prices!$A$6:$A$300,0)),"")</f>
        <v>2370</v>
      </c>
      <c r="D33" s="49" t="str">
        <f aca="false">IFERROR(INDEX(Prices!$D$6:$D$300,MATCH($B33,Prices!$A$6:$A$300,0)),"")</f>
        <v>Close 22.10.2026 (Screener.in)</v>
      </c>
      <c r="E33" s="6" t="n">
        <f aca="false">(M33&gt;0)+(T33&gt;0)+(AA33&gt;0)+(AH33&gt;0)+(AO33&gt;0)+(AV33&gt;0)</f>
        <v>4</v>
      </c>
      <c r="F33" s="50" t="n">
        <f aca="false">M33+T33+AA33+AH33+AO33+AV33</f>
        <v>49</v>
      </c>
      <c r="G33" s="51" t="n">
        <f aca="false">IF(AND(F33&gt;0,H33&gt;0),H33/F33,"")</f>
        <v>2569.38775510204</v>
      </c>
      <c r="H33" s="52" t="n">
        <f aca="false">O33+V33+AC33+AJ33+AQ33+AX33</f>
        <v>125900</v>
      </c>
      <c r="I33" s="53" t="n">
        <f aca="false">P33+W33+AD33+AK33+AR33+AY33</f>
        <v>116130</v>
      </c>
      <c r="J33" s="52" t="n">
        <f aca="false">I33-H33</f>
        <v>-9770</v>
      </c>
      <c r="K33" s="54" t="n">
        <f aca="false">IF(H33&gt;0,J33/H33,"")</f>
        <v>-0.0776012708498809</v>
      </c>
      <c r="L33" s="55" t="n">
        <f aca="false">IF(I$6=0,"",I33/I$6)</f>
        <v>0.00307774174224775</v>
      </c>
      <c r="M33" s="56" t="n">
        <f aca="false">SUMIFS(Gautam!$D$7:$D$300,Gautam!$B$7:$B$300,$B33)</f>
        <v>27</v>
      </c>
      <c r="N33" s="57" t="n">
        <f aca="false">IF(AND(M33&gt;0,O33&gt;0),O33/M33,"")</f>
        <v>2531.96296296296</v>
      </c>
      <c r="O33" s="8" t="n">
        <f aca="false">SUMIFS(Gautam!$E$7:$E$300,Gautam!$B$7:$B$300,$B33)</f>
        <v>68363</v>
      </c>
      <c r="P33" s="8" t="n">
        <f aca="false">SUMIFS(Gautam!$H$7:$H$300,Gautam!$B$7:$B$300,$B33)</f>
        <v>63990</v>
      </c>
      <c r="Q33" s="8" t="n">
        <f aca="false">P33-O33</f>
        <v>-4373</v>
      </c>
      <c r="R33" s="9" t="n">
        <f aca="false">IF(O33&gt;0,Q33/O33,"")</f>
        <v>-0.063967350759914</v>
      </c>
      <c r="S33" s="9" t="n">
        <f aca="false">IF(P$6=0,"",P33/P$6)</f>
        <v>0.0122465212674076</v>
      </c>
      <c r="T33" s="56" t="n">
        <f aca="false">SUMIFS('Manish Shilpa'!$D$7:$D$300,'Manish Shilpa'!$B$7:$B$300,$B33)</f>
        <v>6</v>
      </c>
      <c r="U33" s="57" t="n">
        <f aca="false">IF(AND(T33&gt;0,V33&gt;0),V33/T33,"")</f>
        <v>3157.66666666667</v>
      </c>
      <c r="V33" s="8" t="n">
        <f aca="false">SUMIFS('Manish Shilpa'!$E$7:$E$300,'Manish Shilpa'!$B$7:$B$300,$B33)</f>
        <v>18946</v>
      </c>
      <c r="W33" s="8" t="n">
        <f aca="false">SUMIFS('Manish Shilpa'!$H$7:$H$300,'Manish Shilpa'!$B$7:$B$300,$B33)</f>
        <v>14220</v>
      </c>
      <c r="X33" s="8" t="n">
        <f aca="false">W33-V33</f>
        <v>-4726</v>
      </c>
      <c r="Y33" s="9" t="n">
        <f aca="false">IF(V33&gt;0,X33/V33,"")</f>
        <v>-0.249445793307294</v>
      </c>
      <c r="Z33" s="9" t="n">
        <f aca="false">IF(W$6=0,"",W33/W$6)</f>
        <v>0.00120244599636608</v>
      </c>
      <c r="AA33" s="56" t="n">
        <f aca="false">SUMIFS('Saloni Mehra'!$D$7:$D$300,'Saloni Mehra'!$B$7:$B$300,$B33)</f>
        <v>8</v>
      </c>
      <c r="AB33" s="57" t="n">
        <f aca="false">IF(AND(AA33&gt;0,AC33&gt;0),AC33/AA33,"")</f>
        <v>3065.875</v>
      </c>
      <c r="AC33" s="8" t="n">
        <f aca="false">SUMIFS('Saloni Mehra'!$E$7:$E$300,'Saloni Mehra'!$B$7:$B$300,$B33)</f>
        <v>24527</v>
      </c>
      <c r="AD33" s="8" t="n">
        <f aca="false">SUMIFS('Saloni Mehra'!$H$7:$H$300,'Saloni Mehra'!$B$7:$B$300,$B33)</f>
        <v>18960</v>
      </c>
      <c r="AE33" s="8" t="n">
        <f aca="false">AD33-AC33</f>
        <v>-5567</v>
      </c>
      <c r="AF33" s="9" t="n">
        <f aca="false">IF(AC33&gt;0,AE33/AC33,"")</f>
        <v>-0.226974354792677</v>
      </c>
      <c r="AG33" s="9" t="n">
        <f aca="false">IF(AD$6=0,"",AD33/AD$6)</f>
        <v>0.00169777984794689</v>
      </c>
      <c r="AH33" s="56" t="n">
        <f aca="false">SUMIFS('Vidushi Malhotra'!$D$7:$D$300,'Vidushi Malhotra'!$B$7:$B$300,$B33)</f>
        <v>0</v>
      </c>
      <c r="AI33" s="57" t="str">
        <f aca="false">IF(AND(AH33&gt;0,AJ33&gt;0),AJ33/AH33,"")</f>
        <v/>
      </c>
      <c r="AJ33" s="8" t="n">
        <f aca="false">SUMIFS('Vidushi Malhotra'!$E$7:$E$300,'Vidushi Malhotra'!$B$7:$B$300,$B33)</f>
        <v>0</v>
      </c>
      <c r="AK33" s="8" t="n">
        <f aca="false">SUMIFS('Vidushi Malhotra'!$H$7:$H$300,'Vidushi Malhotra'!$B$7:$B$300,$B33)</f>
        <v>0</v>
      </c>
      <c r="AL33" s="8" t="n">
        <f aca="false">AK33-AJ33</f>
        <v>0</v>
      </c>
      <c r="AM33" s="9" t="str">
        <f aca="false">IF(AJ33&gt;0,AL33/AJ33,"")</f>
        <v/>
      </c>
      <c r="AN33" s="9" t="n">
        <f aca="false">IF(AK$6=0,"",AK33/AK$6)</f>
        <v>0</v>
      </c>
      <c r="AO33" s="56" t="n">
        <f aca="false">SUMIFS('Dr Umesh Choudhry'!$D$7:$D$300,'Dr Umesh Choudhry'!$B$7:$B$300,$B33)</f>
        <v>0</v>
      </c>
      <c r="AP33" s="57" t="str">
        <f aca="false">IF(AND(AO33&gt;0,AQ33&gt;0),AQ33/AO33,"")</f>
        <v/>
      </c>
      <c r="AQ33" s="8" t="n">
        <f aca="false">SUMIFS('Dr Umesh Choudhry'!$E$7:$E$300,'Dr Umesh Choudhry'!$B$7:$B$300,$B33)</f>
        <v>0</v>
      </c>
      <c r="AR33" s="8" t="n">
        <f aca="false">SUMIFS('Dr Umesh Choudhry'!$H$7:$H$300,'Dr Umesh Choudhry'!$B$7:$B$300,$B33)</f>
        <v>0</v>
      </c>
      <c r="AS33" s="8" t="n">
        <f aca="false">AR33-AQ33</f>
        <v>0</v>
      </c>
      <c r="AT33" s="9" t="str">
        <f aca="false">IF(AQ33&gt;0,AS33/AQ33,"")</f>
        <v/>
      </c>
      <c r="AU33" s="9" t="n">
        <f aca="false">IF(AR$6=0,"",AR33/AR$6)</f>
        <v>0</v>
      </c>
      <c r="AV33" s="56" t="n">
        <f aca="false">SUMIFS(DA!$D$7:$D$300,DA!$B$7:$B$300,$B33)</f>
        <v>8</v>
      </c>
      <c r="AW33" s="57" t="n">
        <f aca="false">IF(AND(AV33&gt;0,AX33&gt;0),AX33/AV33,"")</f>
        <v>1758</v>
      </c>
      <c r="AX33" s="8" t="n">
        <f aca="false">SUMIFS(DA!$E$7:$E$300,DA!$B$7:$B$300,$B33)</f>
        <v>14064</v>
      </c>
      <c r="AY33" s="8" t="n">
        <f aca="false">SUMIFS(DA!$H$7:$H$300,DA!$B$7:$B$300,$B33)</f>
        <v>18960</v>
      </c>
      <c r="AZ33" s="8" t="n">
        <f aca="false">AY33-AX33</f>
        <v>4896</v>
      </c>
      <c r="BA33" s="9" t="n">
        <f aca="false">IF(AX33&gt;0,AZ33/AX33,"")</f>
        <v>0.348122866894198</v>
      </c>
      <c r="BB33" s="9" t="n">
        <f aca="false">IF(AY$6=0,"",AY33/AY$6)</f>
        <v>0.00490428021935604</v>
      </c>
    </row>
    <row r="34" customFormat="false" ht="15" hidden="false" customHeight="false" outlineLevel="0" collapsed="false">
      <c r="A34" s="5" t="n">
        <v>28</v>
      </c>
      <c r="B34" s="47" t="s">
        <v>106</v>
      </c>
      <c r="C34" s="48" t="n">
        <f aca="false">IFERROR(INDEX(Prices!$C$6:$C$300,MATCH($B34,Prices!$A$6:$A$300,0)),"")</f>
        <v>1189.9</v>
      </c>
      <c r="D34" s="49" t="str">
        <f aca="false">IFERROR(INDEX(Prices!$D$6:$D$300,MATCH($B34,Prices!$A$6:$A$300,0)),"")</f>
        <v>Close 22.10.2026 (Screener.in)</v>
      </c>
      <c r="E34" s="6" t="n">
        <f aca="false">(M34&gt;0)+(T34&gt;0)+(AA34&gt;0)+(AH34&gt;0)+(AO34&gt;0)+(AV34&gt;0)</f>
        <v>4</v>
      </c>
      <c r="F34" s="50" t="n">
        <f aca="false">M34+T34+AA34+AH34+AO34+AV34</f>
        <v>79</v>
      </c>
      <c r="G34" s="51" t="n">
        <f aca="false">IF(AND(F34&gt;0,H34&gt;0),H34/F34,"")</f>
        <v>1272.89873417722</v>
      </c>
      <c r="H34" s="52" t="n">
        <f aca="false">O34+V34+AC34+AJ34+AQ34+AX34</f>
        <v>100559</v>
      </c>
      <c r="I34" s="53" t="n">
        <f aca="false">P34+W34+AD34+AK34+AR34+AY34</f>
        <v>94002.1</v>
      </c>
      <c r="J34" s="52" t="n">
        <f aca="false">I34-H34</f>
        <v>-6556.89999999999</v>
      </c>
      <c r="K34" s="54" t="n">
        <f aca="false">IF(H34&gt;0,J34/H34,"")</f>
        <v>-0.0652045068069491</v>
      </c>
      <c r="L34" s="55" t="n">
        <f aca="false">IF(I$6=0,"",I34/I$6)</f>
        <v>0.0024912958497283</v>
      </c>
      <c r="M34" s="56" t="n">
        <f aca="false">SUMIFS(Gautam!$D$7:$D$300,Gautam!$B$7:$B$300,$B34)</f>
        <v>22</v>
      </c>
      <c r="N34" s="57" t="n">
        <f aca="false">IF(AND(M34&gt;0,O34&gt;0),O34/M34,"")</f>
        <v>1258.31818181818</v>
      </c>
      <c r="O34" s="8" t="n">
        <f aca="false">SUMIFS(Gautam!$E$7:$E$300,Gautam!$B$7:$B$300,$B34)</f>
        <v>27683</v>
      </c>
      <c r="P34" s="8" t="n">
        <f aca="false">SUMIFS(Gautam!$H$7:$H$300,Gautam!$B$7:$B$300,$B34)</f>
        <v>26177.8</v>
      </c>
      <c r="Q34" s="8" t="n">
        <f aca="false">P34-O34</f>
        <v>-1505.2</v>
      </c>
      <c r="R34" s="9" t="n">
        <f aca="false">IF(O34&gt;0,Q34/O34,"")</f>
        <v>-0.0543727197196835</v>
      </c>
      <c r="S34" s="9" t="n">
        <f aca="false">IF(P$6=0,"",P34/P$6)</f>
        <v>0.00500995443716116</v>
      </c>
      <c r="T34" s="56" t="n">
        <f aca="false">SUMIFS('Manish Shilpa'!$D$7:$D$300,'Manish Shilpa'!$B$7:$B$300,$B34)</f>
        <v>0</v>
      </c>
      <c r="U34" s="57" t="str">
        <f aca="false">IF(AND(T34&gt;0,V34&gt;0),V34/T34,"")</f>
        <v/>
      </c>
      <c r="V34" s="8" t="n">
        <f aca="false">SUMIFS('Manish Shilpa'!$E$7:$E$300,'Manish Shilpa'!$B$7:$B$300,$B34)</f>
        <v>0</v>
      </c>
      <c r="W34" s="8" t="n">
        <f aca="false">SUMIFS('Manish Shilpa'!$H$7:$H$300,'Manish Shilpa'!$B$7:$B$300,$B34)</f>
        <v>0</v>
      </c>
      <c r="X34" s="8" t="n">
        <f aca="false">W34-V34</f>
        <v>0</v>
      </c>
      <c r="Y34" s="9" t="str">
        <f aca="false">IF(V34&gt;0,X34/V34,"")</f>
        <v/>
      </c>
      <c r="Z34" s="9" t="n">
        <f aca="false">IF(W$6=0,"",W34/W$6)</f>
        <v>0</v>
      </c>
      <c r="AA34" s="56" t="n">
        <f aca="false">SUMIFS('Saloni Mehra'!$D$7:$D$300,'Saloni Mehra'!$B$7:$B$300,$B34)</f>
        <v>4</v>
      </c>
      <c r="AB34" s="57" t="n">
        <f aca="false">IF(AND(AA34&gt;0,AC34&gt;0),AC34/AA34,"")</f>
        <v>1400.5</v>
      </c>
      <c r="AC34" s="8" t="n">
        <f aca="false">SUMIFS('Saloni Mehra'!$E$7:$E$300,'Saloni Mehra'!$B$7:$B$300,$B34)</f>
        <v>5602</v>
      </c>
      <c r="AD34" s="8" t="n">
        <f aca="false">SUMIFS('Saloni Mehra'!$H$7:$H$300,'Saloni Mehra'!$B$7:$B$300,$B34)</f>
        <v>4759.6</v>
      </c>
      <c r="AE34" s="8" t="n">
        <f aca="false">AD34-AC34</f>
        <v>-842.4</v>
      </c>
      <c r="AF34" s="9" t="n">
        <f aca="false">IF(AC34&gt;0,AE34/AC34,"")</f>
        <v>-0.150374866119243</v>
      </c>
      <c r="AG34" s="9" t="n">
        <f aca="false">IF(AD$6=0,"",AD34/AD$6)</f>
        <v>0.000426200050859073</v>
      </c>
      <c r="AH34" s="56" t="n">
        <f aca="false">SUMIFS('Vidushi Malhotra'!$D$7:$D$300,'Vidushi Malhotra'!$B$7:$B$300,$B34)</f>
        <v>0</v>
      </c>
      <c r="AI34" s="57" t="str">
        <f aca="false">IF(AND(AH34&gt;0,AJ34&gt;0),AJ34/AH34,"")</f>
        <v/>
      </c>
      <c r="AJ34" s="8" t="n">
        <f aca="false">SUMIFS('Vidushi Malhotra'!$E$7:$E$300,'Vidushi Malhotra'!$B$7:$B$300,$B34)</f>
        <v>0</v>
      </c>
      <c r="AK34" s="8" t="n">
        <f aca="false">SUMIFS('Vidushi Malhotra'!$H$7:$H$300,'Vidushi Malhotra'!$B$7:$B$300,$B34)</f>
        <v>0</v>
      </c>
      <c r="AL34" s="8" t="n">
        <f aca="false">AK34-AJ34</f>
        <v>0</v>
      </c>
      <c r="AM34" s="9" t="str">
        <f aca="false">IF(AJ34&gt;0,AL34/AJ34,"")</f>
        <v/>
      </c>
      <c r="AN34" s="9" t="n">
        <f aca="false">IF(AK$6=0,"",AK34/AK$6)</f>
        <v>0</v>
      </c>
      <c r="AO34" s="56" t="n">
        <f aca="false">SUMIFS('Dr Umesh Choudhry'!$D$7:$D$300,'Dr Umesh Choudhry'!$B$7:$B$300,$B34)</f>
        <v>1</v>
      </c>
      <c r="AP34" s="57" t="n">
        <f aca="false">IF(AND(AO34&gt;0,AQ34&gt;0),AQ34/AO34,"")</f>
        <v>1494</v>
      </c>
      <c r="AQ34" s="8" t="n">
        <f aca="false">SUMIFS('Dr Umesh Choudhry'!$E$7:$E$300,'Dr Umesh Choudhry'!$B$7:$B$300,$B34)</f>
        <v>1494</v>
      </c>
      <c r="AR34" s="8" t="n">
        <f aca="false">SUMIFS('Dr Umesh Choudhry'!$H$7:$H$300,'Dr Umesh Choudhry'!$B$7:$B$300,$B34)</f>
        <v>1189.9</v>
      </c>
      <c r="AS34" s="8" t="n">
        <f aca="false">AR34-AQ34</f>
        <v>-304.1</v>
      </c>
      <c r="AT34" s="9" t="n">
        <f aca="false">IF(AQ34&gt;0,AS34/AQ34,"")</f>
        <v>-0.203547523427041</v>
      </c>
      <c r="AU34" s="9" t="n">
        <f aca="false">IF(AR$6=0,"",AR34/AR$6)</f>
        <v>0.000219485179664898</v>
      </c>
      <c r="AV34" s="56" t="n">
        <f aca="false">SUMIFS(DA!$D$7:$D$300,DA!$B$7:$B$300,$B34)</f>
        <v>52</v>
      </c>
      <c r="AW34" s="57" t="n">
        <f aca="false">IF(AND(AV34&gt;0,AX34&gt;0),AX34/AV34,"")</f>
        <v>1265</v>
      </c>
      <c r="AX34" s="8" t="n">
        <f aca="false">SUMIFS(DA!$E$7:$E$300,DA!$B$7:$B$300,$B34)</f>
        <v>65780</v>
      </c>
      <c r="AY34" s="8" t="n">
        <f aca="false">SUMIFS(DA!$H$7:$H$300,DA!$B$7:$B$300,$B34)</f>
        <v>61874.8</v>
      </c>
      <c r="AZ34" s="8" t="n">
        <f aca="false">AY34-AX34</f>
        <v>-3905.2</v>
      </c>
      <c r="BA34" s="9" t="n">
        <f aca="false">IF(AX34&gt;0,AZ34/AX34,"")</f>
        <v>-0.0593675889328063</v>
      </c>
      <c r="BB34" s="9" t="n">
        <f aca="false">IF(AY$6=0,"",AY34/AY$6)</f>
        <v>0.0160048184449689</v>
      </c>
    </row>
    <row r="35" customFormat="false" ht="15" hidden="false" customHeight="false" outlineLevel="0" collapsed="false">
      <c r="A35" s="5" t="n">
        <v>29</v>
      </c>
      <c r="B35" s="47" t="s">
        <v>107</v>
      </c>
      <c r="C35" s="48" t="n">
        <f aca="false">IFERROR(INDEX(Prices!$C$6:$C$300,MATCH($B35,Prices!$A$6:$A$300,0)),"")</f>
        <v>4600</v>
      </c>
      <c r="D35" s="49" t="str">
        <f aca="false">IFERROR(INDEX(Prices!$D$6:$D$300,MATCH($B35,Prices!$A$6:$A$300,0)),"")</f>
        <v>Close 22.10.2026 (Screener.in)</v>
      </c>
      <c r="E35" s="6" t="n">
        <f aca="false">(M35&gt;0)+(T35&gt;0)+(AA35&gt;0)+(AH35&gt;0)+(AO35&gt;0)+(AV35&gt;0)</f>
        <v>1</v>
      </c>
      <c r="F35" s="50" t="n">
        <f aca="false">M35+T35+AA35+AH35+AO35+AV35</f>
        <v>20</v>
      </c>
      <c r="G35" s="51" t="n">
        <f aca="false">IF(AND(F35&gt;0,H35&gt;0),H35/F35,"")</f>
        <v>5193</v>
      </c>
      <c r="H35" s="52" t="n">
        <f aca="false">O35+V35+AC35+AJ35+AQ35+AX35</f>
        <v>103860</v>
      </c>
      <c r="I35" s="53" t="n">
        <f aca="false">P35+W35+AD35+AK35+AR35+AY35</f>
        <v>92000</v>
      </c>
      <c r="J35" s="52" t="n">
        <f aca="false">I35-H35</f>
        <v>-11860</v>
      </c>
      <c r="K35" s="54" t="n">
        <f aca="false">IF(H35&gt;0,J35/H35,"")</f>
        <v>-0.11419218178317</v>
      </c>
      <c r="L35" s="55" t="n">
        <f aca="false">IF(I$6=0,"",I35/I$6)</f>
        <v>0.00243823508384391</v>
      </c>
      <c r="M35" s="56" t="n">
        <f aca="false">SUMIFS(Gautam!$D$7:$D$300,Gautam!$B$7:$B$300,$B35)</f>
        <v>20</v>
      </c>
      <c r="N35" s="57" t="n">
        <f aca="false">IF(AND(M35&gt;0,O35&gt;0),O35/M35,"")</f>
        <v>5193</v>
      </c>
      <c r="O35" s="8" t="n">
        <f aca="false">SUMIFS(Gautam!$E$7:$E$300,Gautam!$B$7:$B$300,$B35)</f>
        <v>103860</v>
      </c>
      <c r="P35" s="8" t="n">
        <f aca="false">SUMIFS(Gautam!$H$7:$H$300,Gautam!$B$7:$B$300,$B35)</f>
        <v>92000</v>
      </c>
      <c r="Q35" s="8" t="n">
        <f aca="false">P35-O35</f>
        <v>-11860</v>
      </c>
      <c r="R35" s="9" t="n">
        <f aca="false">IF(O35&gt;0,Q35/O35,"")</f>
        <v>-0.11419218178317</v>
      </c>
      <c r="S35" s="9" t="n">
        <f aca="false">IF(P$6=0,"",P35/P$6)</f>
        <v>0.0176071254352477</v>
      </c>
      <c r="T35" s="56" t="n">
        <f aca="false">SUMIFS('Manish Shilpa'!$D$7:$D$300,'Manish Shilpa'!$B$7:$B$300,$B35)</f>
        <v>0</v>
      </c>
      <c r="U35" s="57" t="str">
        <f aca="false">IF(AND(T35&gt;0,V35&gt;0),V35/T35,"")</f>
        <v/>
      </c>
      <c r="V35" s="8" t="n">
        <f aca="false">SUMIFS('Manish Shilpa'!$E$7:$E$300,'Manish Shilpa'!$B$7:$B$300,$B35)</f>
        <v>0</v>
      </c>
      <c r="W35" s="8" t="n">
        <f aca="false">SUMIFS('Manish Shilpa'!$H$7:$H$300,'Manish Shilpa'!$B$7:$B$300,$B35)</f>
        <v>0</v>
      </c>
      <c r="X35" s="8" t="n">
        <f aca="false">W35-V35</f>
        <v>0</v>
      </c>
      <c r="Y35" s="9" t="str">
        <f aca="false">IF(V35&gt;0,X35/V35,"")</f>
        <v/>
      </c>
      <c r="Z35" s="9" t="n">
        <f aca="false">IF(W$6=0,"",W35/W$6)</f>
        <v>0</v>
      </c>
      <c r="AA35" s="56" t="n">
        <f aca="false">SUMIFS('Saloni Mehra'!$D$7:$D$300,'Saloni Mehra'!$B$7:$B$300,$B35)</f>
        <v>0</v>
      </c>
      <c r="AB35" s="57" t="str">
        <f aca="false">IF(AND(AA35&gt;0,AC35&gt;0),AC35/AA35,"")</f>
        <v/>
      </c>
      <c r="AC35" s="8" t="n">
        <f aca="false">SUMIFS('Saloni Mehra'!$E$7:$E$300,'Saloni Mehra'!$B$7:$B$300,$B35)</f>
        <v>0</v>
      </c>
      <c r="AD35" s="8" t="n">
        <f aca="false">SUMIFS('Saloni Mehra'!$H$7:$H$300,'Saloni Mehra'!$B$7:$B$300,$B35)</f>
        <v>0</v>
      </c>
      <c r="AE35" s="8" t="n">
        <f aca="false">AD35-AC35</f>
        <v>0</v>
      </c>
      <c r="AF35" s="9" t="str">
        <f aca="false">IF(AC35&gt;0,AE35/AC35,"")</f>
        <v/>
      </c>
      <c r="AG35" s="9" t="n">
        <f aca="false">IF(AD$6=0,"",AD35/AD$6)</f>
        <v>0</v>
      </c>
      <c r="AH35" s="56" t="n">
        <f aca="false">SUMIFS('Vidushi Malhotra'!$D$7:$D$300,'Vidushi Malhotra'!$B$7:$B$300,$B35)</f>
        <v>0</v>
      </c>
      <c r="AI35" s="57" t="str">
        <f aca="false">IF(AND(AH35&gt;0,AJ35&gt;0),AJ35/AH35,"")</f>
        <v/>
      </c>
      <c r="AJ35" s="8" t="n">
        <f aca="false">SUMIFS('Vidushi Malhotra'!$E$7:$E$300,'Vidushi Malhotra'!$B$7:$B$300,$B35)</f>
        <v>0</v>
      </c>
      <c r="AK35" s="8" t="n">
        <f aca="false">SUMIFS('Vidushi Malhotra'!$H$7:$H$300,'Vidushi Malhotra'!$B$7:$B$300,$B35)</f>
        <v>0</v>
      </c>
      <c r="AL35" s="8" t="n">
        <f aca="false">AK35-AJ35</f>
        <v>0</v>
      </c>
      <c r="AM35" s="9" t="str">
        <f aca="false">IF(AJ35&gt;0,AL35/AJ35,"")</f>
        <v/>
      </c>
      <c r="AN35" s="9" t="n">
        <f aca="false">IF(AK$6=0,"",AK35/AK$6)</f>
        <v>0</v>
      </c>
      <c r="AO35" s="56" t="n">
        <f aca="false">SUMIFS('Dr Umesh Choudhry'!$D$7:$D$300,'Dr Umesh Choudhry'!$B$7:$B$300,$B35)</f>
        <v>0</v>
      </c>
      <c r="AP35" s="57" t="str">
        <f aca="false">IF(AND(AO35&gt;0,AQ35&gt;0),AQ35/AO35,"")</f>
        <v/>
      </c>
      <c r="AQ35" s="8" t="n">
        <f aca="false">SUMIFS('Dr Umesh Choudhry'!$E$7:$E$300,'Dr Umesh Choudhry'!$B$7:$B$300,$B35)</f>
        <v>0</v>
      </c>
      <c r="AR35" s="8" t="n">
        <f aca="false">SUMIFS('Dr Umesh Choudhry'!$H$7:$H$300,'Dr Umesh Choudhry'!$B$7:$B$300,$B35)</f>
        <v>0</v>
      </c>
      <c r="AS35" s="8" t="n">
        <f aca="false">AR35-AQ35</f>
        <v>0</v>
      </c>
      <c r="AT35" s="9" t="str">
        <f aca="false">IF(AQ35&gt;0,AS35/AQ35,"")</f>
        <v/>
      </c>
      <c r="AU35" s="9" t="n">
        <f aca="false">IF(AR$6=0,"",AR35/AR$6)</f>
        <v>0</v>
      </c>
      <c r="AV35" s="56" t="n">
        <f aca="false">SUMIFS(DA!$D$7:$D$300,DA!$B$7:$B$300,$B35)</f>
        <v>0</v>
      </c>
      <c r="AW35" s="57" t="str">
        <f aca="false">IF(AND(AV35&gt;0,AX35&gt;0),AX35/AV35,"")</f>
        <v/>
      </c>
      <c r="AX35" s="8" t="n">
        <f aca="false">SUMIFS(DA!$E$7:$E$300,DA!$B$7:$B$300,$B35)</f>
        <v>0</v>
      </c>
      <c r="AY35" s="8" t="n">
        <f aca="false">SUMIFS(DA!$H$7:$H$300,DA!$B$7:$B$300,$B35)</f>
        <v>0</v>
      </c>
      <c r="AZ35" s="8" t="n">
        <f aca="false">AY35-AX35</f>
        <v>0</v>
      </c>
      <c r="BA35" s="9" t="str">
        <f aca="false">IF(AX35&gt;0,AZ35/AX35,"")</f>
        <v/>
      </c>
      <c r="BB35" s="9" t="n">
        <f aca="false">IF(AY$6=0,"",AY35/AY$6)</f>
        <v>0</v>
      </c>
    </row>
    <row r="36" customFormat="false" ht="15" hidden="false" customHeight="false" outlineLevel="0" collapsed="false">
      <c r="A36" s="5" t="n">
        <v>30</v>
      </c>
      <c r="B36" s="47" t="s">
        <v>108</v>
      </c>
      <c r="C36" s="48" t="n">
        <f aca="false">IFERROR(INDEX(Prices!$C$6:$C$300,MATCH($B36,Prices!$A$6:$A$300,0)),"")</f>
        <v>210.8</v>
      </c>
      <c r="D36" s="49" t="str">
        <f aca="false">IFERROR(INDEX(Prices!$D$6:$D$300,MATCH($B36,Prices!$A$6:$A$300,0)),"")</f>
        <v>Close 22.10.2026 (Screener.in)</v>
      </c>
      <c r="E36" s="6" t="n">
        <f aca="false">(M36&gt;0)+(T36&gt;0)+(AA36&gt;0)+(AH36&gt;0)+(AO36&gt;0)+(AV36&gt;0)</f>
        <v>2</v>
      </c>
      <c r="F36" s="50" t="n">
        <f aca="false">M36+T36+AA36+AH36+AO36+AV36</f>
        <v>406</v>
      </c>
      <c r="G36" s="51" t="n">
        <f aca="false">IF(AND(F36&gt;0,H36&gt;0),H36/F36,"")</f>
        <v>242</v>
      </c>
      <c r="H36" s="52" t="n">
        <f aca="false">O36+V36+AC36+AJ36+AQ36+AX36</f>
        <v>98252</v>
      </c>
      <c r="I36" s="53" t="n">
        <f aca="false">P36+W36+AD36+AK36+AR36+AY36</f>
        <v>85584.8</v>
      </c>
      <c r="J36" s="52" t="n">
        <f aca="false">I36-H36</f>
        <v>-12667.2</v>
      </c>
      <c r="K36" s="54" t="n">
        <f aca="false">IF(H36&gt;0,J36/H36,"")</f>
        <v>-0.128925619834711</v>
      </c>
      <c r="L36" s="55" t="n">
        <f aca="false">IF(I$6=0,"",I36/I$6)</f>
        <v>0.00226821589134526</v>
      </c>
      <c r="M36" s="56" t="n">
        <f aca="false">SUMIFS(Gautam!$D$7:$D$300,Gautam!$B$7:$B$300,$B36)</f>
        <v>0</v>
      </c>
      <c r="N36" s="57" t="str">
        <f aca="false">IF(AND(M36&gt;0,O36&gt;0),O36/M36,"")</f>
        <v/>
      </c>
      <c r="O36" s="8" t="n">
        <f aca="false">SUMIFS(Gautam!$E$7:$E$300,Gautam!$B$7:$B$300,$B36)</f>
        <v>0</v>
      </c>
      <c r="P36" s="8" t="n">
        <f aca="false">SUMIFS(Gautam!$H$7:$H$300,Gautam!$B$7:$B$300,$B36)</f>
        <v>0</v>
      </c>
      <c r="Q36" s="8" t="n">
        <f aca="false">P36-O36</f>
        <v>0</v>
      </c>
      <c r="R36" s="9" t="str">
        <f aca="false">IF(O36&gt;0,Q36/O36,"")</f>
        <v/>
      </c>
      <c r="S36" s="9" t="n">
        <f aca="false">IF(P$6=0,"",P36/P$6)</f>
        <v>0</v>
      </c>
      <c r="T36" s="56" t="n">
        <f aca="false">SUMIFS('Manish Shilpa'!$D$7:$D$300,'Manish Shilpa'!$B$7:$B$300,$B36)</f>
        <v>32</v>
      </c>
      <c r="U36" s="57" t="n">
        <f aca="false">IF(AND(T36&gt;0,V36&gt;0),V36/T36,"")</f>
        <v>101.75</v>
      </c>
      <c r="V36" s="8" t="n">
        <f aca="false">SUMIFS('Manish Shilpa'!$E$7:$E$300,'Manish Shilpa'!$B$7:$B$300,$B36)</f>
        <v>3256</v>
      </c>
      <c r="W36" s="8" t="n">
        <f aca="false">SUMIFS('Manish Shilpa'!$H$7:$H$300,'Manish Shilpa'!$B$7:$B$300,$B36)</f>
        <v>6745.6</v>
      </c>
      <c r="X36" s="8" t="n">
        <f aca="false">W36-V36</f>
        <v>3489.6</v>
      </c>
      <c r="Y36" s="9" t="n">
        <f aca="false">IF(V36&gt;0,X36/V36,"")</f>
        <v>1.07174447174447</v>
      </c>
      <c r="Z36" s="9" t="n">
        <f aca="false">IF(W$6=0,"",W36/W$6)</f>
        <v>0.000570409262523703</v>
      </c>
      <c r="AA36" s="56" t="n">
        <f aca="false">SUMIFS('Saloni Mehra'!$D$7:$D$300,'Saloni Mehra'!$B$7:$B$300,$B36)</f>
        <v>0</v>
      </c>
      <c r="AB36" s="57" t="str">
        <f aca="false">IF(AND(AA36&gt;0,AC36&gt;0),AC36/AA36,"")</f>
        <v/>
      </c>
      <c r="AC36" s="8" t="n">
        <f aca="false">SUMIFS('Saloni Mehra'!$E$7:$E$300,'Saloni Mehra'!$B$7:$B$300,$B36)</f>
        <v>0</v>
      </c>
      <c r="AD36" s="8" t="n">
        <f aca="false">SUMIFS('Saloni Mehra'!$H$7:$H$300,'Saloni Mehra'!$B$7:$B$300,$B36)</f>
        <v>0</v>
      </c>
      <c r="AE36" s="8" t="n">
        <f aca="false">AD36-AC36</f>
        <v>0</v>
      </c>
      <c r="AF36" s="9" t="str">
        <f aca="false">IF(AC36&gt;0,AE36/AC36,"")</f>
        <v/>
      </c>
      <c r="AG36" s="9" t="n">
        <f aca="false">IF(AD$6=0,"",AD36/AD$6)</f>
        <v>0</v>
      </c>
      <c r="AH36" s="56" t="n">
        <f aca="false">SUMIFS('Vidushi Malhotra'!$D$7:$D$300,'Vidushi Malhotra'!$B$7:$B$300,$B36)</f>
        <v>0</v>
      </c>
      <c r="AI36" s="57" t="str">
        <f aca="false">IF(AND(AH36&gt;0,AJ36&gt;0),AJ36/AH36,"")</f>
        <v/>
      </c>
      <c r="AJ36" s="8" t="n">
        <f aca="false">SUMIFS('Vidushi Malhotra'!$E$7:$E$300,'Vidushi Malhotra'!$B$7:$B$300,$B36)</f>
        <v>0</v>
      </c>
      <c r="AK36" s="8" t="n">
        <f aca="false">SUMIFS('Vidushi Malhotra'!$H$7:$H$300,'Vidushi Malhotra'!$B$7:$B$300,$B36)</f>
        <v>0</v>
      </c>
      <c r="AL36" s="8" t="n">
        <f aca="false">AK36-AJ36</f>
        <v>0</v>
      </c>
      <c r="AM36" s="9" t="str">
        <f aca="false">IF(AJ36&gt;0,AL36/AJ36,"")</f>
        <v/>
      </c>
      <c r="AN36" s="9" t="n">
        <f aca="false">IF(AK$6=0,"",AK36/AK$6)</f>
        <v>0</v>
      </c>
      <c r="AO36" s="56" t="n">
        <f aca="false">SUMIFS('Dr Umesh Choudhry'!$D$7:$D$300,'Dr Umesh Choudhry'!$B$7:$B$300,$B36)</f>
        <v>0</v>
      </c>
      <c r="AP36" s="57" t="str">
        <f aca="false">IF(AND(AO36&gt;0,AQ36&gt;0),AQ36/AO36,"")</f>
        <v/>
      </c>
      <c r="AQ36" s="8" t="n">
        <f aca="false">SUMIFS('Dr Umesh Choudhry'!$E$7:$E$300,'Dr Umesh Choudhry'!$B$7:$B$300,$B36)</f>
        <v>0</v>
      </c>
      <c r="AR36" s="8" t="n">
        <f aca="false">SUMIFS('Dr Umesh Choudhry'!$H$7:$H$300,'Dr Umesh Choudhry'!$B$7:$B$300,$B36)</f>
        <v>0</v>
      </c>
      <c r="AS36" s="8" t="n">
        <f aca="false">AR36-AQ36</f>
        <v>0</v>
      </c>
      <c r="AT36" s="9" t="str">
        <f aca="false">IF(AQ36&gt;0,AS36/AQ36,"")</f>
        <v/>
      </c>
      <c r="AU36" s="9" t="n">
        <f aca="false">IF(AR$6=0,"",AR36/AR$6)</f>
        <v>0</v>
      </c>
      <c r="AV36" s="56" t="n">
        <f aca="false">SUMIFS(DA!$D$7:$D$300,DA!$B$7:$B$300,$B36)</f>
        <v>374</v>
      </c>
      <c r="AW36" s="57" t="n">
        <f aca="false">IF(AND(AV36&gt;0,AX36&gt;0),AX36/AV36,"")</f>
        <v>254</v>
      </c>
      <c r="AX36" s="8" t="n">
        <f aca="false">SUMIFS(DA!$E$7:$E$300,DA!$B$7:$B$300,$B36)</f>
        <v>94996</v>
      </c>
      <c r="AY36" s="8" t="n">
        <f aca="false">SUMIFS(DA!$H$7:$H$300,DA!$B$7:$B$300,$B36)</f>
        <v>78839.2</v>
      </c>
      <c r="AZ36" s="8" t="n">
        <f aca="false">AY36-AX36</f>
        <v>-16156.8</v>
      </c>
      <c r="BA36" s="9" t="n">
        <f aca="false">IF(AX36&gt;0,AZ36/AX36,"")</f>
        <v>-0.17007874015748</v>
      </c>
      <c r="BB36" s="9" t="n">
        <f aca="false">IF(AY$6=0,"",AY36/AY$6)</f>
        <v>0.0203929076513636</v>
      </c>
    </row>
    <row r="37" customFormat="false" ht="15" hidden="false" customHeight="false" outlineLevel="0" collapsed="false">
      <c r="A37" s="5" t="n">
        <v>31</v>
      </c>
      <c r="B37" s="47" t="s">
        <v>109</v>
      </c>
      <c r="C37" s="48" t="n">
        <f aca="false">IFERROR(INDEX(Prices!$C$6:$C$300,MATCH($B37,Prices!$A$6:$A$300,0)),"")</f>
        <v>1843.7</v>
      </c>
      <c r="D37" s="49" t="str">
        <f aca="false">IFERROR(INDEX(Prices!$D$6:$D$300,MATCH($B37,Prices!$A$6:$A$300,0)),"")</f>
        <v>Close 22.10.2026 (Screener.in)</v>
      </c>
      <c r="E37" s="6" t="n">
        <f aca="false">(M37&gt;0)+(T37&gt;0)+(AA37&gt;0)+(AH37&gt;0)+(AO37&gt;0)+(AV37&gt;0)</f>
        <v>1</v>
      </c>
      <c r="F37" s="50" t="n">
        <f aca="false">M37+T37+AA37+AH37+AO37+AV37</f>
        <v>44</v>
      </c>
      <c r="G37" s="51" t="n">
        <f aca="false">IF(AND(F37&gt;0,H37&gt;0),H37/F37,"")</f>
        <v>1187.06818181818</v>
      </c>
      <c r="H37" s="52" t="n">
        <f aca="false">O37+V37+AC37+AJ37+AQ37+AX37</f>
        <v>52231</v>
      </c>
      <c r="I37" s="53" t="n">
        <f aca="false">P37+W37+AD37+AK37+AR37+AY37</f>
        <v>81122.8</v>
      </c>
      <c r="J37" s="52" t="n">
        <f aca="false">I37-H37</f>
        <v>28891.8</v>
      </c>
      <c r="K37" s="54" t="n">
        <f aca="false">IF(H37&gt;0,J37/H37,"")</f>
        <v>0.553154257050411</v>
      </c>
      <c r="L37" s="55" t="n">
        <f aca="false">IF(I$6=0,"",I37/I$6)</f>
        <v>0.00214996148977883</v>
      </c>
      <c r="M37" s="56" t="n">
        <f aca="false">SUMIFS(Gautam!$D$7:$D$300,Gautam!$B$7:$B$300,$B37)</f>
        <v>0</v>
      </c>
      <c r="N37" s="57" t="str">
        <f aca="false">IF(AND(M37&gt;0,O37&gt;0),O37/M37,"")</f>
        <v/>
      </c>
      <c r="O37" s="8" t="n">
        <f aca="false">SUMIFS(Gautam!$E$7:$E$300,Gautam!$B$7:$B$300,$B37)</f>
        <v>0</v>
      </c>
      <c r="P37" s="8" t="n">
        <f aca="false">SUMIFS(Gautam!$H$7:$H$300,Gautam!$B$7:$B$300,$B37)</f>
        <v>0</v>
      </c>
      <c r="Q37" s="8" t="n">
        <f aca="false">P37-O37</f>
        <v>0</v>
      </c>
      <c r="R37" s="9" t="str">
        <f aca="false">IF(O37&gt;0,Q37/O37,"")</f>
        <v/>
      </c>
      <c r="S37" s="9" t="n">
        <f aca="false">IF(P$6=0,"",P37/P$6)</f>
        <v>0</v>
      </c>
      <c r="T37" s="56" t="n">
        <f aca="false">SUMIFS('Manish Shilpa'!$D$7:$D$300,'Manish Shilpa'!$B$7:$B$300,$B37)</f>
        <v>44</v>
      </c>
      <c r="U37" s="57" t="n">
        <f aca="false">IF(AND(T37&gt;0,V37&gt;0),V37/T37,"")</f>
        <v>1187.06818181818</v>
      </c>
      <c r="V37" s="8" t="n">
        <f aca="false">SUMIFS('Manish Shilpa'!$E$7:$E$300,'Manish Shilpa'!$B$7:$B$300,$B37)</f>
        <v>52231</v>
      </c>
      <c r="W37" s="8" t="n">
        <f aca="false">SUMIFS('Manish Shilpa'!$H$7:$H$300,'Manish Shilpa'!$B$7:$B$300,$B37)</f>
        <v>81122.8</v>
      </c>
      <c r="X37" s="8" t="n">
        <f aca="false">W37-V37</f>
        <v>28891.8</v>
      </c>
      <c r="Y37" s="9" t="n">
        <f aca="false">IF(V37&gt;0,X37/V37,"")</f>
        <v>0.553154257050411</v>
      </c>
      <c r="Z37" s="9" t="n">
        <f aca="false">IF(W$6=0,"",W37/W$6)</f>
        <v>0.00685975992081621</v>
      </c>
      <c r="AA37" s="56" t="n">
        <f aca="false">SUMIFS('Saloni Mehra'!$D$7:$D$300,'Saloni Mehra'!$B$7:$B$300,$B37)</f>
        <v>0</v>
      </c>
      <c r="AB37" s="57" t="str">
        <f aca="false">IF(AND(AA37&gt;0,AC37&gt;0),AC37/AA37,"")</f>
        <v/>
      </c>
      <c r="AC37" s="8" t="n">
        <f aca="false">SUMIFS('Saloni Mehra'!$E$7:$E$300,'Saloni Mehra'!$B$7:$B$300,$B37)</f>
        <v>0</v>
      </c>
      <c r="AD37" s="8" t="n">
        <f aca="false">SUMIFS('Saloni Mehra'!$H$7:$H$300,'Saloni Mehra'!$B$7:$B$300,$B37)</f>
        <v>0</v>
      </c>
      <c r="AE37" s="8" t="n">
        <f aca="false">AD37-AC37</f>
        <v>0</v>
      </c>
      <c r="AF37" s="9" t="str">
        <f aca="false">IF(AC37&gt;0,AE37/AC37,"")</f>
        <v/>
      </c>
      <c r="AG37" s="9" t="n">
        <f aca="false">IF(AD$6=0,"",AD37/AD$6)</f>
        <v>0</v>
      </c>
      <c r="AH37" s="56" t="n">
        <f aca="false">SUMIFS('Vidushi Malhotra'!$D$7:$D$300,'Vidushi Malhotra'!$B$7:$B$300,$B37)</f>
        <v>0</v>
      </c>
      <c r="AI37" s="57" t="str">
        <f aca="false">IF(AND(AH37&gt;0,AJ37&gt;0),AJ37/AH37,"")</f>
        <v/>
      </c>
      <c r="AJ37" s="8" t="n">
        <f aca="false">SUMIFS('Vidushi Malhotra'!$E$7:$E$300,'Vidushi Malhotra'!$B$7:$B$300,$B37)</f>
        <v>0</v>
      </c>
      <c r="AK37" s="8" t="n">
        <f aca="false">SUMIFS('Vidushi Malhotra'!$H$7:$H$300,'Vidushi Malhotra'!$B$7:$B$300,$B37)</f>
        <v>0</v>
      </c>
      <c r="AL37" s="8" t="n">
        <f aca="false">AK37-AJ37</f>
        <v>0</v>
      </c>
      <c r="AM37" s="9" t="str">
        <f aca="false">IF(AJ37&gt;0,AL37/AJ37,"")</f>
        <v/>
      </c>
      <c r="AN37" s="9" t="n">
        <f aca="false">IF(AK$6=0,"",AK37/AK$6)</f>
        <v>0</v>
      </c>
      <c r="AO37" s="56" t="n">
        <f aca="false">SUMIFS('Dr Umesh Choudhry'!$D$7:$D$300,'Dr Umesh Choudhry'!$B$7:$B$300,$B37)</f>
        <v>0</v>
      </c>
      <c r="AP37" s="57" t="str">
        <f aca="false">IF(AND(AO37&gt;0,AQ37&gt;0),AQ37/AO37,"")</f>
        <v/>
      </c>
      <c r="AQ37" s="8" t="n">
        <f aca="false">SUMIFS('Dr Umesh Choudhry'!$E$7:$E$300,'Dr Umesh Choudhry'!$B$7:$B$300,$B37)</f>
        <v>0</v>
      </c>
      <c r="AR37" s="8" t="n">
        <f aca="false">SUMIFS('Dr Umesh Choudhry'!$H$7:$H$300,'Dr Umesh Choudhry'!$B$7:$B$300,$B37)</f>
        <v>0</v>
      </c>
      <c r="AS37" s="8" t="n">
        <f aca="false">AR37-AQ37</f>
        <v>0</v>
      </c>
      <c r="AT37" s="9" t="str">
        <f aca="false">IF(AQ37&gt;0,AS37/AQ37,"")</f>
        <v/>
      </c>
      <c r="AU37" s="9" t="n">
        <f aca="false">IF(AR$6=0,"",AR37/AR$6)</f>
        <v>0</v>
      </c>
      <c r="AV37" s="56" t="n">
        <f aca="false">SUMIFS(DA!$D$7:$D$300,DA!$B$7:$B$300,$B37)</f>
        <v>0</v>
      </c>
      <c r="AW37" s="57" t="str">
        <f aca="false">IF(AND(AV37&gt;0,AX37&gt;0),AX37/AV37,"")</f>
        <v/>
      </c>
      <c r="AX37" s="8" t="n">
        <f aca="false">SUMIFS(DA!$E$7:$E$300,DA!$B$7:$B$300,$B37)</f>
        <v>0</v>
      </c>
      <c r="AY37" s="8" t="n">
        <f aca="false">SUMIFS(DA!$H$7:$H$300,DA!$B$7:$B$300,$B37)</f>
        <v>0</v>
      </c>
      <c r="AZ37" s="8" t="n">
        <f aca="false">AY37-AX37</f>
        <v>0</v>
      </c>
      <c r="BA37" s="9" t="str">
        <f aca="false">IF(AX37&gt;0,AZ37/AX37,"")</f>
        <v/>
      </c>
      <c r="BB37" s="9" t="n">
        <f aca="false">IF(AY$6=0,"",AY37/AY$6)</f>
        <v>0</v>
      </c>
    </row>
    <row r="38" customFormat="false" ht="15" hidden="false" customHeight="false" outlineLevel="0" collapsed="false">
      <c r="A38" s="5" t="n">
        <v>32</v>
      </c>
      <c r="B38" s="47" t="s">
        <v>110</v>
      </c>
      <c r="C38" s="48" t="n">
        <f aca="false">IFERROR(INDEX(Prices!$C$6:$C$300,MATCH($B38,Prices!$A$6:$A$300,0)),"")</f>
        <v>25360</v>
      </c>
      <c r="D38" s="49" t="str">
        <f aca="false">IFERROR(INDEX(Prices!$D$6:$D$300,MATCH($B38,Prices!$A$6:$A$300,0)),"")</f>
        <v>Close 22.10.2026 (Screener.in)</v>
      </c>
      <c r="E38" s="6" t="n">
        <f aca="false">(M38&gt;0)+(T38&gt;0)+(AA38&gt;0)+(AH38&gt;0)+(AO38&gt;0)+(AV38&gt;0)</f>
        <v>1</v>
      </c>
      <c r="F38" s="50" t="n">
        <f aca="false">M38+T38+AA38+AH38+AO38+AV38</f>
        <v>3</v>
      </c>
      <c r="G38" s="51" t="n">
        <f aca="false">IF(AND(F38&gt;0,H38&gt;0),H38/F38,"")</f>
        <v>18233.3333333333</v>
      </c>
      <c r="H38" s="52" t="n">
        <f aca="false">O38+V38+AC38+AJ38+AQ38+AX38</f>
        <v>54700</v>
      </c>
      <c r="I38" s="53" t="n">
        <f aca="false">P38+W38+AD38+AK38+AR38+AY38</f>
        <v>76080</v>
      </c>
      <c r="J38" s="52" t="n">
        <f aca="false">I38-H38</f>
        <v>21380</v>
      </c>
      <c r="K38" s="54" t="n">
        <f aca="false">IF(H38&gt;0,J38/H38,"")</f>
        <v>0.390859232175503</v>
      </c>
      <c r="L38" s="55" t="n">
        <f aca="false">IF(I$6=0,"",I38/I$6)</f>
        <v>0.00201631440411788</v>
      </c>
      <c r="M38" s="56" t="n">
        <f aca="false">SUMIFS(Gautam!$D$7:$D$300,Gautam!$B$7:$B$300,$B38)</f>
        <v>0</v>
      </c>
      <c r="N38" s="57" t="str">
        <f aca="false">IF(AND(M38&gt;0,O38&gt;0),O38/M38,"")</f>
        <v/>
      </c>
      <c r="O38" s="8" t="n">
        <f aca="false">SUMIFS(Gautam!$E$7:$E$300,Gautam!$B$7:$B$300,$B38)</f>
        <v>0</v>
      </c>
      <c r="P38" s="8" t="n">
        <f aca="false">SUMIFS(Gautam!$H$7:$H$300,Gautam!$B$7:$B$300,$B38)</f>
        <v>0</v>
      </c>
      <c r="Q38" s="8" t="n">
        <f aca="false">P38-O38</f>
        <v>0</v>
      </c>
      <c r="R38" s="9" t="str">
        <f aca="false">IF(O38&gt;0,Q38/O38,"")</f>
        <v/>
      </c>
      <c r="S38" s="9" t="n">
        <f aca="false">IF(P$6=0,"",P38/P$6)</f>
        <v>0</v>
      </c>
      <c r="T38" s="56" t="n">
        <f aca="false">SUMIFS('Manish Shilpa'!$D$7:$D$300,'Manish Shilpa'!$B$7:$B$300,$B38)</f>
        <v>3</v>
      </c>
      <c r="U38" s="57" t="n">
        <f aca="false">IF(AND(T38&gt;0,V38&gt;0),V38/T38,"")</f>
        <v>18233.3333333333</v>
      </c>
      <c r="V38" s="8" t="n">
        <f aca="false">SUMIFS('Manish Shilpa'!$E$7:$E$300,'Manish Shilpa'!$B$7:$B$300,$B38)</f>
        <v>54700</v>
      </c>
      <c r="W38" s="8" t="n">
        <f aca="false">SUMIFS('Manish Shilpa'!$H$7:$H$300,'Manish Shilpa'!$B$7:$B$300,$B38)</f>
        <v>76080</v>
      </c>
      <c r="X38" s="8" t="n">
        <f aca="false">W38-V38</f>
        <v>21380</v>
      </c>
      <c r="Y38" s="9" t="n">
        <f aca="false">IF(V38&gt;0,X38/V38,"")</f>
        <v>0.390859232175503</v>
      </c>
      <c r="Z38" s="9" t="n">
        <f aca="false">IF(W$6=0,"",W38/W$6)</f>
        <v>0.0064333397611485</v>
      </c>
      <c r="AA38" s="56" t="n">
        <f aca="false">SUMIFS('Saloni Mehra'!$D$7:$D$300,'Saloni Mehra'!$B$7:$B$300,$B38)</f>
        <v>0</v>
      </c>
      <c r="AB38" s="57" t="str">
        <f aca="false">IF(AND(AA38&gt;0,AC38&gt;0),AC38/AA38,"")</f>
        <v/>
      </c>
      <c r="AC38" s="8" t="n">
        <f aca="false">SUMIFS('Saloni Mehra'!$E$7:$E$300,'Saloni Mehra'!$B$7:$B$300,$B38)</f>
        <v>0</v>
      </c>
      <c r="AD38" s="8" t="n">
        <f aca="false">SUMIFS('Saloni Mehra'!$H$7:$H$300,'Saloni Mehra'!$B$7:$B$300,$B38)</f>
        <v>0</v>
      </c>
      <c r="AE38" s="8" t="n">
        <f aca="false">AD38-AC38</f>
        <v>0</v>
      </c>
      <c r="AF38" s="9" t="str">
        <f aca="false">IF(AC38&gt;0,AE38/AC38,"")</f>
        <v/>
      </c>
      <c r="AG38" s="9" t="n">
        <f aca="false">IF(AD$6=0,"",AD38/AD$6)</f>
        <v>0</v>
      </c>
      <c r="AH38" s="56" t="n">
        <f aca="false">SUMIFS('Vidushi Malhotra'!$D$7:$D$300,'Vidushi Malhotra'!$B$7:$B$300,$B38)</f>
        <v>0</v>
      </c>
      <c r="AI38" s="57" t="str">
        <f aca="false">IF(AND(AH38&gt;0,AJ38&gt;0),AJ38/AH38,"")</f>
        <v/>
      </c>
      <c r="AJ38" s="8" t="n">
        <f aca="false">SUMIFS('Vidushi Malhotra'!$E$7:$E$300,'Vidushi Malhotra'!$B$7:$B$300,$B38)</f>
        <v>0</v>
      </c>
      <c r="AK38" s="8" t="n">
        <f aca="false">SUMIFS('Vidushi Malhotra'!$H$7:$H$300,'Vidushi Malhotra'!$B$7:$B$300,$B38)</f>
        <v>0</v>
      </c>
      <c r="AL38" s="8" t="n">
        <f aca="false">AK38-AJ38</f>
        <v>0</v>
      </c>
      <c r="AM38" s="9" t="str">
        <f aca="false">IF(AJ38&gt;0,AL38/AJ38,"")</f>
        <v/>
      </c>
      <c r="AN38" s="9" t="n">
        <f aca="false">IF(AK$6=0,"",AK38/AK$6)</f>
        <v>0</v>
      </c>
      <c r="AO38" s="56" t="n">
        <f aca="false">SUMIFS('Dr Umesh Choudhry'!$D$7:$D$300,'Dr Umesh Choudhry'!$B$7:$B$300,$B38)</f>
        <v>0</v>
      </c>
      <c r="AP38" s="57" t="str">
        <f aca="false">IF(AND(AO38&gt;0,AQ38&gt;0),AQ38/AO38,"")</f>
        <v/>
      </c>
      <c r="AQ38" s="8" t="n">
        <f aca="false">SUMIFS('Dr Umesh Choudhry'!$E$7:$E$300,'Dr Umesh Choudhry'!$B$7:$B$300,$B38)</f>
        <v>0</v>
      </c>
      <c r="AR38" s="8" t="n">
        <f aca="false">SUMIFS('Dr Umesh Choudhry'!$H$7:$H$300,'Dr Umesh Choudhry'!$B$7:$B$300,$B38)</f>
        <v>0</v>
      </c>
      <c r="AS38" s="8" t="n">
        <f aca="false">AR38-AQ38</f>
        <v>0</v>
      </c>
      <c r="AT38" s="9" t="str">
        <f aca="false">IF(AQ38&gt;0,AS38/AQ38,"")</f>
        <v/>
      </c>
      <c r="AU38" s="9" t="n">
        <f aca="false">IF(AR$6=0,"",AR38/AR$6)</f>
        <v>0</v>
      </c>
      <c r="AV38" s="56" t="n">
        <f aca="false">SUMIFS(DA!$D$7:$D$300,DA!$B$7:$B$300,$B38)</f>
        <v>0</v>
      </c>
      <c r="AW38" s="57" t="str">
        <f aca="false">IF(AND(AV38&gt;0,AX38&gt;0),AX38/AV38,"")</f>
        <v/>
      </c>
      <c r="AX38" s="8" t="n">
        <f aca="false">SUMIFS(DA!$E$7:$E$300,DA!$B$7:$B$300,$B38)</f>
        <v>0</v>
      </c>
      <c r="AY38" s="8" t="n">
        <f aca="false">SUMIFS(DA!$H$7:$H$300,DA!$B$7:$B$300,$B38)</f>
        <v>0</v>
      </c>
      <c r="AZ38" s="8" t="n">
        <f aca="false">AY38-AX38</f>
        <v>0</v>
      </c>
      <c r="BA38" s="9" t="str">
        <f aca="false">IF(AX38&gt;0,AZ38/AX38,"")</f>
        <v/>
      </c>
      <c r="BB38" s="9" t="n">
        <f aca="false">IF(AY$6=0,"",AY38/AY$6)</f>
        <v>0</v>
      </c>
    </row>
    <row r="39" customFormat="false" ht="15" hidden="false" customHeight="false" outlineLevel="0" collapsed="false">
      <c r="A39" s="5" t="n">
        <v>33</v>
      </c>
      <c r="B39" s="47" t="s">
        <v>111</v>
      </c>
      <c r="C39" s="48" t="n">
        <f aca="false">IFERROR(INDEX(Prices!$C$6:$C$300,MATCH($B39,Prices!$A$6:$A$300,0)),"")</f>
        <v>1153.35</v>
      </c>
      <c r="D39" s="49" t="str">
        <f aca="false">IFERROR(INDEX(Prices!$D$6:$D$300,MATCH($B39,Prices!$A$6:$A$300,0)),"")</f>
        <v>Close 22.10.2026 (Screener.in)</v>
      </c>
      <c r="E39" s="6" t="n">
        <f aca="false">(M39&gt;0)+(T39&gt;0)+(AA39&gt;0)+(AH39&gt;0)+(AO39&gt;0)+(AV39&gt;0)</f>
        <v>1</v>
      </c>
      <c r="F39" s="50" t="n">
        <f aca="false">M39+T39+AA39+AH39+AO39+AV39</f>
        <v>64</v>
      </c>
      <c r="G39" s="51" t="n">
        <f aca="false">IF(AND(F39&gt;0,H39&gt;0),H39/F39,"")</f>
        <v>1607.21875</v>
      </c>
      <c r="H39" s="52" t="n">
        <f aca="false">O39+V39+AC39+AJ39+AQ39+AX39</f>
        <v>102862</v>
      </c>
      <c r="I39" s="53" t="n">
        <f aca="false">P39+W39+AD39+AK39+AR39+AY39</f>
        <v>73814.4</v>
      </c>
      <c r="J39" s="52" t="n">
        <f aca="false">I39-H39</f>
        <v>-29047.6</v>
      </c>
      <c r="K39" s="54" t="n">
        <f aca="false">IF(H39&gt;0,J39/H39,"")</f>
        <v>-0.282393886955338</v>
      </c>
      <c r="L39" s="55" t="n">
        <f aca="false">IF(I$6=0,"",I39/I$6)</f>
        <v>0.00195627021492269</v>
      </c>
      <c r="M39" s="56" t="n">
        <f aca="false">SUMIFS(Gautam!$D$7:$D$300,Gautam!$B$7:$B$300,$B39)</f>
        <v>0</v>
      </c>
      <c r="N39" s="57" t="str">
        <f aca="false">IF(AND(M39&gt;0,O39&gt;0),O39/M39,"")</f>
        <v/>
      </c>
      <c r="O39" s="8" t="n">
        <f aca="false">SUMIFS(Gautam!$E$7:$E$300,Gautam!$B$7:$B$300,$B39)</f>
        <v>0</v>
      </c>
      <c r="P39" s="8" t="n">
        <f aca="false">SUMIFS(Gautam!$H$7:$H$300,Gautam!$B$7:$B$300,$B39)</f>
        <v>0</v>
      </c>
      <c r="Q39" s="8" t="n">
        <f aca="false">P39-O39</f>
        <v>0</v>
      </c>
      <c r="R39" s="9" t="str">
        <f aca="false">IF(O39&gt;0,Q39/O39,"")</f>
        <v/>
      </c>
      <c r="S39" s="9" t="n">
        <f aca="false">IF(P$6=0,"",P39/P$6)</f>
        <v>0</v>
      </c>
      <c r="T39" s="56" t="n">
        <f aca="false">SUMIFS('Manish Shilpa'!$D$7:$D$300,'Manish Shilpa'!$B$7:$B$300,$B39)</f>
        <v>64</v>
      </c>
      <c r="U39" s="57" t="n">
        <f aca="false">IF(AND(T39&gt;0,V39&gt;0),V39/T39,"")</f>
        <v>1607.21875</v>
      </c>
      <c r="V39" s="8" t="n">
        <f aca="false">SUMIFS('Manish Shilpa'!$E$7:$E$300,'Manish Shilpa'!$B$7:$B$300,$B39)</f>
        <v>102862</v>
      </c>
      <c r="W39" s="8" t="n">
        <f aca="false">SUMIFS('Manish Shilpa'!$H$7:$H$300,'Manish Shilpa'!$B$7:$B$300,$B39)</f>
        <v>73814.4</v>
      </c>
      <c r="X39" s="8" t="n">
        <f aca="false">W39-V39</f>
        <v>-29047.6</v>
      </c>
      <c r="Y39" s="9" t="n">
        <f aca="false">IF(V39&gt;0,X39/V39,"")</f>
        <v>-0.282393886955338</v>
      </c>
      <c r="Z39" s="9" t="n">
        <f aca="false">IF(W$6=0,"",W39/W$6)</f>
        <v>0.00624176017961776</v>
      </c>
      <c r="AA39" s="56" t="n">
        <f aca="false">SUMIFS('Saloni Mehra'!$D$7:$D$300,'Saloni Mehra'!$B$7:$B$300,$B39)</f>
        <v>0</v>
      </c>
      <c r="AB39" s="57" t="str">
        <f aca="false">IF(AND(AA39&gt;0,AC39&gt;0),AC39/AA39,"")</f>
        <v/>
      </c>
      <c r="AC39" s="8" t="n">
        <f aca="false">SUMIFS('Saloni Mehra'!$E$7:$E$300,'Saloni Mehra'!$B$7:$B$300,$B39)</f>
        <v>0</v>
      </c>
      <c r="AD39" s="8" t="n">
        <f aca="false">SUMIFS('Saloni Mehra'!$H$7:$H$300,'Saloni Mehra'!$B$7:$B$300,$B39)</f>
        <v>0</v>
      </c>
      <c r="AE39" s="8" t="n">
        <f aca="false">AD39-AC39</f>
        <v>0</v>
      </c>
      <c r="AF39" s="9" t="str">
        <f aca="false">IF(AC39&gt;0,AE39/AC39,"")</f>
        <v/>
      </c>
      <c r="AG39" s="9" t="n">
        <f aca="false">IF(AD$6=0,"",AD39/AD$6)</f>
        <v>0</v>
      </c>
      <c r="AH39" s="56" t="n">
        <f aca="false">SUMIFS('Vidushi Malhotra'!$D$7:$D$300,'Vidushi Malhotra'!$B$7:$B$300,$B39)</f>
        <v>0</v>
      </c>
      <c r="AI39" s="57" t="str">
        <f aca="false">IF(AND(AH39&gt;0,AJ39&gt;0),AJ39/AH39,"")</f>
        <v/>
      </c>
      <c r="AJ39" s="8" t="n">
        <f aca="false">SUMIFS('Vidushi Malhotra'!$E$7:$E$300,'Vidushi Malhotra'!$B$7:$B$300,$B39)</f>
        <v>0</v>
      </c>
      <c r="AK39" s="8" t="n">
        <f aca="false">SUMIFS('Vidushi Malhotra'!$H$7:$H$300,'Vidushi Malhotra'!$B$7:$B$300,$B39)</f>
        <v>0</v>
      </c>
      <c r="AL39" s="8" t="n">
        <f aca="false">AK39-AJ39</f>
        <v>0</v>
      </c>
      <c r="AM39" s="9" t="str">
        <f aca="false">IF(AJ39&gt;0,AL39/AJ39,"")</f>
        <v/>
      </c>
      <c r="AN39" s="9" t="n">
        <f aca="false">IF(AK$6=0,"",AK39/AK$6)</f>
        <v>0</v>
      </c>
      <c r="AO39" s="56" t="n">
        <f aca="false">SUMIFS('Dr Umesh Choudhry'!$D$7:$D$300,'Dr Umesh Choudhry'!$B$7:$B$300,$B39)</f>
        <v>0</v>
      </c>
      <c r="AP39" s="57" t="str">
        <f aca="false">IF(AND(AO39&gt;0,AQ39&gt;0),AQ39/AO39,"")</f>
        <v/>
      </c>
      <c r="AQ39" s="8" t="n">
        <f aca="false">SUMIFS('Dr Umesh Choudhry'!$E$7:$E$300,'Dr Umesh Choudhry'!$B$7:$B$300,$B39)</f>
        <v>0</v>
      </c>
      <c r="AR39" s="8" t="n">
        <f aca="false">SUMIFS('Dr Umesh Choudhry'!$H$7:$H$300,'Dr Umesh Choudhry'!$B$7:$B$300,$B39)</f>
        <v>0</v>
      </c>
      <c r="AS39" s="8" t="n">
        <f aca="false">AR39-AQ39</f>
        <v>0</v>
      </c>
      <c r="AT39" s="9" t="str">
        <f aca="false">IF(AQ39&gt;0,AS39/AQ39,"")</f>
        <v/>
      </c>
      <c r="AU39" s="9" t="n">
        <f aca="false">IF(AR$6=0,"",AR39/AR$6)</f>
        <v>0</v>
      </c>
      <c r="AV39" s="56" t="n">
        <f aca="false">SUMIFS(DA!$D$7:$D$300,DA!$B$7:$B$300,$B39)</f>
        <v>0</v>
      </c>
      <c r="AW39" s="57" t="str">
        <f aca="false">IF(AND(AV39&gt;0,AX39&gt;0),AX39/AV39,"")</f>
        <v/>
      </c>
      <c r="AX39" s="8" t="n">
        <f aca="false">SUMIFS(DA!$E$7:$E$300,DA!$B$7:$B$300,$B39)</f>
        <v>0</v>
      </c>
      <c r="AY39" s="8" t="n">
        <f aca="false">SUMIFS(DA!$H$7:$H$300,DA!$B$7:$B$300,$B39)</f>
        <v>0</v>
      </c>
      <c r="AZ39" s="8" t="n">
        <f aca="false">AY39-AX39</f>
        <v>0</v>
      </c>
      <c r="BA39" s="9" t="str">
        <f aca="false">IF(AX39&gt;0,AZ39/AX39,"")</f>
        <v/>
      </c>
      <c r="BB39" s="9" t="n">
        <f aca="false">IF(AY$6=0,"",AY39/AY$6)</f>
        <v>0</v>
      </c>
    </row>
    <row r="40" customFormat="false" ht="15" hidden="false" customHeight="false" outlineLevel="0" collapsed="false">
      <c r="A40" s="5" t="n">
        <v>34</v>
      </c>
      <c r="B40" s="47" t="s">
        <v>112</v>
      </c>
      <c r="C40" s="48" t="n">
        <f aca="false">IFERROR(INDEX(Prices!$C$6:$C$300,MATCH($B40,Prices!$A$6:$A$300,0)),"")</f>
        <v>437</v>
      </c>
      <c r="D40" s="49" t="str">
        <f aca="false">IFERROR(INDEX(Prices!$D$6:$D$300,MATCH($B40,Prices!$A$6:$A$300,0)),"")</f>
        <v>Close 22.10.2026 (Screener.in)</v>
      </c>
      <c r="E40" s="6" t="n">
        <f aca="false">(M40&gt;0)+(T40&gt;0)+(AA40&gt;0)+(AH40&gt;0)+(AO40&gt;0)+(AV40&gt;0)</f>
        <v>1</v>
      </c>
      <c r="F40" s="50" t="n">
        <f aca="false">M40+T40+AA40+AH40+AO40+AV40</f>
        <v>160</v>
      </c>
      <c r="G40" s="51" t="n">
        <f aca="false">IF(AND(F40&gt;0,H40&gt;0),H40/F40,"")</f>
        <v>396.88125</v>
      </c>
      <c r="H40" s="52" t="n">
        <f aca="false">O40+V40+AC40+AJ40+AQ40+AX40</f>
        <v>63501</v>
      </c>
      <c r="I40" s="53" t="n">
        <f aca="false">P40+W40+AD40+AK40+AR40+AY40</f>
        <v>69920</v>
      </c>
      <c r="J40" s="52" t="n">
        <f aca="false">I40-H40</f>
        <v>6419</v>
      </c>
      <c r="K40" s="54" t="n">
        <f aca="false">IF(H40&gt;0,J40/H40,"")</f>
        <v>0.101085022283114</v>
      </c>
      <c r="L40" s="55" t="n">
        <f aca="false">IF(I$6=0,"",I40/I$6)</f>
        <v>0.00185305866372137</v>
      </c>
      <c r="M40" s="56" t="n">
        <f aca="false">SUMIFS(Gautam!$D$7:$D$300,Gautam!$B$7:$B$300,$B40)</f>
        <v>0</v>
      </c>
      <c r="N40" s="57" t="str">
        <f aca="false">IF(AND(M40&gt;0,O40&gt;0),O40/M40,"")</f>
        <v/>
      </c>
      <c r="O40" s="8" t="n">
        <f aca="false">SUMIFS(Gautam!$E$7:$E$300,Gautam!$B$7:$B$300,$B40)</f>
        <v>0</v>
      </c>
      <c r="P40" s="8" t="n">
        <f aca="false">SUMIFS(Gautam!$H$7:$H$300,Gautam!$B$7:$B$300,$B40)</f>
        <v>0</v>
      </c>
      <c r="Q40" s="8" t="n">
        <f aca="false">P40-O40</f>
        <v>0</v>
      </c>
      <c r="R40" s="9" t="str">
        <f aca="false">IF(O40&gt;0,Q40/O40,"")</f>
        <v/>
      </c>
      <c r="S40" s="9" t="n">
        <f aca="false">IF(P$6=0,"",P40/P$6)</f>
        <v>0</v>
      </c>
      <c r="T40" s="56" t="n">
        <f aca="false">SUMIFS('Manish Shilpa'!$D$7:$D$300,'Manish Shilpa'!$B$7:$B$300,$B40)</f>
        <v>160</v>
      </c>
      <c r="U40" s="57" t="n">
        <f aca="false">IF(AND(T40&gt;0,V40&gt;0),V40/T40,"")</f>
        <v>396.88125</v>
      </c>
      <c r="V40" s="8" t="n">
        <f aca="false">SUMIFS('Manish Shilpa'!$E$7:$E$300,'Manish Shilpa'!$B$7:$B$300,$B40)</f>
        <v>63501</v>
      </c>
      <c r="W40" s="8" t="n">
        <f aca="false">SUMIFS('Manish Shilpa'!$H$7:$H$300,'Manish Shilpa'!$B$7:$B$300,$B40)</f>
        <v>69920</v>
      </c>
      <c r="X40" s="8" t="n">
        <f aca="false">W40-V40</f>
        <v>6419</v>
      </c>
      <c r="Y40" s="9" t="n">
        <f aca="false">IF(V40&gt;0,X40/V40,"")</f>
        <v>0.101085022283114</v>
      </c>
      <c r="Z40" s="9" t="n">
        <f aca="false">IF(W$6=0,"",W40/W$6)</f>
        <v>0.00591244894978316</v>
      </c>
      <c r="AA40" s="56" t="n">
        <f aca="false">SUMIFS('Saloni Mehra'!$D$7:$D$300,'Saloni Mehra'!$B$7:$B$300,$B40)</f>
        <v>0</v>
      </c>
      <c r="AB40" s="57" t="str">
        <f aca="false">IF(AND(AA40&gt;0,AC40&gt;0),AC40/AA40,"")</f>
        <v/>
      </c>
      <c r="AC40" s="8" t="n">
        <f aca="false">SUMIFS('Saloni Mehra'!$E$7:$E$300,'Saloni Mehra'!$B$7:$B$300,$B40)</f>
        <v>0</v>
      </c>
      <c r="AD40" s="8" t="n">
        <f aca="false">SUMIFS('Saloni Mehra'!$H$7:$H$300,'Saloni Mehra'!$B$7:$B$300,$B40)</f>
        <v>0</v>
      </c>
      <c r="AE40" s="8" t="n">
        <f aca="false">AD40-AC40</f>
        <v>0</v>
      </c>
      <c r="AF40" s="9" t="str">
        <f aca="false">IF(AC40&gt;0,AE40/AC40,"")</f>
        <v/>
      </c>
      <c r="AG40" s="9" t="n">
        <f aca="false">IF(AD$6=0,"",AD40/AD$6)</f>
        <v>0</v>
      </c>
      <c r="AH40" s="56" t="n">
        <f aca="false">SUMIFS('Vidushi Malhotra'!$D$7:$D$300,'Vidushi Malhotra'!$B$7:$B$300,$B40)</f>
        <v>0</v>
      </c>
      <c r="AI40" s="57" t="str">
        <f aca="false">IF(AND(AH40&gt;0,AJ40&gt;0),AJ40/AH40,"")</f>
        <v/>
      </c>
      <c r="AJ40" s="8" t="n">
        <f aca="false">SUMIFS('Vidushi Malhotra'!$E$7:$E$300,'Vidushi Malhotra'!$B$7:$B$300,$B40)</f>
        <v>0</v>
      </c>
      <c r="AK40" s="8" t="n">
        <f aca="false">SUMIFS('Vidushi Malhotra'!$H$7:$H$300,'Vidushi Malhotra'!$B$7:$B$300,$B40)</f>
        <v>0</v>
      </c>
      <c r="AL40" s="8" t="n">
        <f aca="false">AK40-AJ40</f>
        <v>0</v>
      </c>
      <c r="AM40" s="9" t="str">
        <f aca="false">IF(AJ40&gt;0,AL40/AJ40,"")</f>
        <v/>
      </c>
      <c r="AN40" s="9" t="n">
        <f aca="false">IF(AK$6=0,"",AK40/AK$6)</f>
        <v>0</v>
      </c>
      <c r="AO40" s="56" t="n">
        <f aca="false">SUMIFS('Dr Umesh Choudhry'!$D$7:$D$300,'Dr Umesh Choudhry'!$B$7:$B$300,$B40)</f>
        <v>0</v>
      </c>
      <c r="AP40" s="57" t="str">
        <f aca="false">IF(AND(AO40&gt;0,AQ40&gt;0),AQ40/AO40,"")</f>
        <v/>
      </c>
      <c r="AQ40" s="8" t="n">
        <f aca="false">SUMIFS('Dr Umesh Choudhry'!$E$7:$E$300,'Dr Umesh Choudhry'!$B$7:$B$300,$B40)</f>
        <v>0</v>
      </c>
      <c r="AR40" s="8" t="n">
        <f aca="false">SUMIFS('Dr Umesh Choudhry'!$H$7:$H$300,'Dr Umesh Choudhry'!$B$7:$B$300,$B40)</f>
        <v>0</v>
      </c>
      <c r="AS40" s="8" t="n">
        <f aca="false">AR40-AQ40</f>
        <v>0</v>
      </c>
      <c r="AT40" s="9" t="str">
        <f aca="false">IF(AQ40&gt;0,AS40/AQ40,"")</f>
        <v/>
      </c>
      <c r="AU40" s="9" t="n">
        <f aca="false">IF(AR$6=0,"",AR40/AR$6)</f>
        <v>0</v>
      </c>
      <c r="AV40" s="56" t="n">
        <f aca="false">SUMIFS(DA!$D$7:$D$300,DA!$B$7:$B$300,$B40)</f>
        <v>0</v>
      </c>
      <c r="AW40" s="57" t="str">
        <f aca="false">IF(AND(AV40&gt;0,AX40&gt;0),AX40/AV40,"")</f>
        <v/>
      </c>
      <c r="AX40" s="8" t="n">
        <f aca="false">SUMIFS(DA!$E$7:$E$300,DA!$B$7:$B$300,$B40)</f>
        <v>0</v>
      </c>
      <c r="AY40" s="8" t="n">
        <f aca="false">SUMIFS(DA!$H$7:$H$300,DA!$B$7:$B$300,$B40)</f>
        <v>0</v>
      </c>
      <c r="AZ40" s="8" t="n">
        <f aca="false">AY40-AX40</f>
        <v>0</v>
      </c>
      <c r="BA40" s="9" t="str">
        <f aca="false">IF(AX40&gt;0,AZ40/AX40,"")</f>
        <v/>
      </c>
      <c r="BB40" s="9" t="n">
        <f aca="false">IF(AY$6=0,"",AY40/AY$6)</f>
        <v>0</v>
      </c>
    </row>
    <row r="41" customFormat="false" ht="15" hidden="false" customHeight="false" outlineLevel="0" collapsed="false">
      <c r="A41" s="5" t="n">
        <v>35</v>
      </c>
      <c r="B41" s="47" t="s">
        <v>113</v>
      </c>
      <c r="C41" s="48" t="n">
        <f aca="false">IFERROR(INDEX(Prices!$C$6:$C$300,MATCH($B41,Prices!$A$6:$A$300,0)),"")</f>
        <v>34425</v>
      </c>
      <c r="D41" s="49" t="str">
        <f aca="false">IFERROR(INDEX(Prices!$D$6:$D$300,MATCH($B41,Prices!$A$6:$A$300,0)),"")</f>
        <v>Close 22.10.2026 (Screener.in)</v>
      </c>
      <c r="E41" s="6" t="n">
        <f aca="false">(M41&gt;0)+(T41&gt;0)+(AA41&gt;0)+(AH41&gt;0)+(AO41&gt;0)+(AV41&gt;0)</f>
        <v>1</v>
      </c>
      <c r="F41" s="50" t="n">
        <f aca="false">M41+T41+AA41+AH41+AO41+AV41</f>
        <v>2</v>
      </c>
      <c r="G41" s="51" t="n">
        <f aca="false">IF(AND(F41&gt;0,H41&gt;0),H41/F41,"")</f>
        <v>46768.5</v>
      </c>
      <c r="H41" s="52" t="n">
        <f aca="false">O41+V41+AC41+AJ41+AQ41+AX41</f>
        <v>93537</v>
      </c>
      <c r="I41" s="53" t="n">
        <f aca="false">P41+W41+AD41+AK41+AR41+AY41</f>
        <v>68850</v>
      </c>
      <c r="J41" s="52" t="n">
        <f aca="false">I41-H41</f>
        <v>-24687</v>
      </c>
      <c r="K41" s="54" t="n">
        <f aca="false">IF(H41&gt;0,J41/H41,"")</f>
        <v>-0.263927643606273</v>
      </c>
      <c r="L41" s="55" t="n">
        <f aca="false">IF(I$6=0,"",I41/I$6)</f>
        <v>0.00182470092959406</v>
      </c>
      <c r="M41" s="56" t="n">
        <f aca="false">SUMIFS(Gautam!$D$7:$D$300,Gautam!$B$7:$B$300,$B41)</f>
        <v>0</v>
      </c>
      <c r="N41" s="57" t="str">
        <f aca="false">IF(AND(M41&gt;0,O41&gt;0),O41/M41,"")</f>
        <v/>
      </c>
      <c r="O41" s="8" t="n">
        <f aca="false">SUMIFS(Gautam!$E$7:$E$300,Gautam!$B$7:$B$300,$B41)</f>
        <v>0</v>
      </c>
      <c r="P41" s="8" t="n">
        <f aca="false">SUMIFS(Gautam!$H$7:$H$300,Gautam!$B$7:$B$300,$B41)</f>
        <v>0</v>
      </c>
      <c r="Q41" s="8" t="n">
        <f aca="false">P41-O41</f>
        <v>0</v>
      </c>
      <c r="R41" s="9" t="str">
        <f aca="false">IF(O41&gt;0,Q41/O41,"")</f>
        <v/>
      </c>
      <c r="S41" s="9" t="n">
        <f aca="false">IF(P$6=0,"",P41/P$6)</f>
        <v>0</v>
      </c>
      <c r="T41" s="56" t="n">
        <f aca="false">SUMIFS('Manish Shilpa'!$D$7:$D$300,'Manish Shilpa'!$B$7:$B$300,$B41)</f>
        <v>2</v>
      </c>
      <c r="U41" s="57" t="n">
        <f aca="false">IF(AND(T41&gt;0,V41&gt;0),V41/T41,"")</f>
        <v>46768.5</v>
      </c>
      <c r="V41" s="8" t="n">
        <f aca="false">SUMIFS('Manish Shilpa'!$E$7:$E$300,'Manish Shilpa'!$B$7:$B$300,$B41)</f>
        <v>93537</v>
      </c>
      <c r="W41" s="8" t="n">
        <f aca="false">SUMIFS('Manish Shilpa'!$H$7:$H$300,'Manish Shilpa'!$B$7:$B$300,$B41)</f>
        <v>68850</v>
      </c>
      <c r="X41" s="8" t="n">
        <f aca="false">W41-V41</f>
        <v>-24687</v>
      </c>
      <c r="Y41" s="9" t="n">
        <f aca="false">IF(V41&gt;0,X41/V41,"")</f>
        <v>-0.263927643606273</v>
      </c>
      <c r="Z41" s="9" t="n">
        <f aca="false">IF(W$6=0,"",W41/W$6)</f>
        <v>0.00582196953936743</v>
      </c>
      <c r="AA41" s="56" t="n">
        <f aca="false">SUMIFS('Saloni Mehra'!$D$7:$D$300,'Saloni Mehra'!$B$7:$B$300,$B41)</f>
        <v>0</v>
      </c>
      <c r="AB41" s="57" t="str">
        <f aca="false">IF(AND(AA41&gt;0,AC41&gt;0),AC41/AA41,"")</f>
        <v/>
      </c>
      <c r="AC41" s="8" t="n">
        <f aca="false">SUMIFS('Saloni Mehra'!$E$7:$E$300,'Saloni Mehra'!$B$7:$B$300,$B41)</f>
        <v>0</v>
      </c>
      <c r="AD41" s="8" t="n">
        <f aca="false">SUMIFS('Saloni Mehra'!$H$7:$H$300,'Saloni Mehra'!$B$7:$B$300,$B41)</f>
        <v>0</v>
      </c>
      <c r="AE41" s="8" t="n">
        <f aca="false">AD41-AC41</f>
        <v>0</v>
      </c>
      <c r="AF41" s="9" t="str">
        <f aca="false">IF(AC41&gt;0,AE41/AC41,"")</f>
        <v/>
      </c>
      <c r="AG41" s="9" t="n">
        <f aca="false">IF(AD$6=0,"",AD41/AD$6)</f>
        <v>0</v>
      </c>
      <c r="AH41" s="56" t="n">
        <f aca="false">SUMIFS('Vidushi Malhotra'!$D$7:$D$300,'Vidushi Malhotra'!$B$7:$B$300,$B41)</f>
        <v>0</v>
      </c>
      <c r="AI41" s="57" t="str">
        <f aca="false">IF(AND(AH41&gt;0,AJ41&gt;0),AJ41/AH41,"")</f>
        <v/>
      </c>
      <c r="AJ41" s="8" t="n">
        <f aca="false">SUMIFS('Vidushi Malhotra'!$E$7:$E$300,'Vidushi Malhotra'!$B$7:$B$300,$B41)</f>
        <v>0</v>
      </c>
      <c r="AK41" s="8" t="n">
        <f aca="false">SUMIFS('Vidushi Malhotra'!$H$7:$H$300,'Vidushi Malhotra'!$B$7:$B$300,$B41)</f>
        <v>0</v>
      </c>
      <c r="AL41" s="8" t="n">
        <f aca="false">AK41-AJ41</f>
        <v>0</v>
      </c>
      <c r="AM41" s="9" t="str">
        <f aca="false">IF(AJ41&gt;0,AL41/AJ41,"")</f>
        <v/>
      </c>
      <c r="AN41" s="9" t="n">
        <f aca="false">IF(AK$6=0,"",AK41/AK$6)</f>
        <v>0</v>
      </c>
      <c r="AO41" s="56" t="n">
        <f aca="false">SUMIFS('Dr Umesh Choudhry'!$D$7:$D$300,'Dr Umesh Choudhry'!$B$7:$B$300,$B41)</f>
        <v>0</v>
      </c>
      <c r="AP41" s="57" t="str">
        <f aca="false">IF(AND(AO41&gt;0,AQ41&gt;0),AQ41/AO41,"")</f>
        <v/>
      </c>
      <c r="AQ41" s="8" t="n">
        <f aca="false">SUMIFS('Dr Umesh Choudhry'!$E$7:$E$300,'Dr Umesh Choudhry'!$B$7:$B$300,$B41)</f>
        <v>0</v>
      </c>
      <c r="AR41" s="8" t="n">
        <f aca="false">SUMIFS('Dr Umesh Choudhry'!$H$7:$H$300,'Dr Umesh Choudhry'!$B$7:$B$300,$B41)</f>
        <v>0</v>
      </c>
      <c r="AS41" s="8" t="n">
        <f aca="false">AR41-AQ41</f>
        <v>0</v>
      </c>
      <c r="AT41" s="9" t="str">
        <f aca="false">IF(AQ41&gt;0,AS41/AQ41,"")</f>
        <v/>
      </c>
      <c r="AU41" s="9" t="n">
        <f aca="false">IF(AR$6=0,"",AR41/AR$6)</f>
        <v>0</v>
      </c>
      <c r="AV41" s="56" t="n">
        <f aca="false">SUMIFS(DA!$D$7:$D$300,DA!$B$7:$B$300,$B41)</f>
        <v>0</v>
      </c>
      <c r="AW41" s="57" t="str">
        <f aca="false">IF(AND(AV41&gt;0,AX41&gt;0),AX41/AV41,"")</f>
        <v/>
      </c>
      <c r="AX41" s="8" t="n">
        <f aca="false">SUMIFS(DA!$E$7:$E$300,DA!$B$7:$B$300,$B41)</f>
        <v>0</v>
      </c>
      <c r="AY41" s="8" t="n">
        <f aca="false">SUMIFS(DA!$H$7:$H$300,DA!$B$7:$B$300,$B41)</f>
        <v>0</v>
      </c>
      <c r="AZ41" s="8" t="n">
        <f aca="false">AY41-AX41</f>
        <v>0</v>
      </c>
      <c r="BA41" s="9" t="str">
        <f aca="false">IF(AX41&gt;0,AZ41/AX41,"")</f>
        <v/>
      </c>
      <c r="BB41" s="9" t="n">
        <f aca="false">IF(AY$6=0,"",AY41/AY$6)</f>
        <v>0</v>
      </c>
    </row>
    <row r="42" customFormat="false" ht="15" hidden="false" customHeight="false" outlineLevel="0" collapsed="false">
      <c r="A42" s="5" t="n">
        <v>36</v>
      </c>
      <c r="B42" s="47" t="s">
        <v>114</v>
      </c>
      <c r="C42" s="48" t="n">
        <f aca="false">IFERROR(INDEX(Prices!$C$6:$C$300,MATCH($B42,Prices!$A$6:$A$300,0)),"")</f>
        <v>1421.7</v>
      </c>
      <c r="D42" s="49" t="str">
        <f aca="false">IFERROR(INDEX(Prices!$D$6:$D$300,MATCH($B42,Prices!$A$6:$A$300,0)),"")</f>
        <v>Close 22.10.2026 (Screener.in)</v>
      </c>
      <c r="E42" s="6" t="n">
        <f aca="false">(M42&gt;0)+(T42&gt;0)+(AA42&gt;0)+(AH42&gt;0)+(AO42&gt;0)+(AV42&gt;0)</f>
        <v>2</v>
      </c>
      <c r="F42" s="50" t="n">
        <f aca="false">M42+T42+AA42+AH42+AO42+AV42</f>
        <v>42</v>
      </c>
      <c r="G42" s="51" t="n">
        <f aca="false">IF(AND(F42&gt;0,H42&gt;0),H42/F42,"")</f>
        <v>1369.21428571429</v>
      </c>
      <c r="H42" s="52" t="n">
        <f aca="false">O42+V42+AC42+AJ42+AQ42+AX42</f>
        <v>57507</v>
      </c>
      <c r="I42" s="53" t="n">
        <f aca="false">P42+W42+AD42+AK42+AR42+AY42</f>
        <v>59711.4</v>
      </c>
      <c r="J42" s="52" t="n">
        <f aca="false">I42-H42</f>
        <v>2204.4</v>
      </c>
      <c r="K42" s="54" t="n">
        <f aca="false">IF(H42&gt;0,J42/H42,"")</f>
        <v>0.0383327247117742</v>
      </c>
      <c r="L42" s="55" t="n">
        <f aca="false">IF(I$6=0,"",I42/I$6)</f>
        <v>0.00158250467810258</v>
      </c>
      <c r="M42" s="56" t="n">
        <f aca="false">SUMIFS(Gautam!$D$7:$D$300,Gautam!$B$7:$B$300,$B42)</f>
        <v>0</v>
      </c>
      <c r="N42" s="57" t="str">
        <f aca="false">IF(AND(M42&gt;0,O42&gt;0),O42/M42,"")</f>
        <v/>
      </c>
      <c r="O42" s="8" t="n">
        <f aca="false">SUMIFS(Gautam!$E$7:$E$300,Gautam!$B$7:$B$300,$B42)</f>
        <v>0</v>
      </c>
      <c r="P42" s="8" t="n">
        <f aca="false">SUMIFS(Gautam!$H$7:$H$300,Gautam!$B$7:$B$300,$B42)</f>
        <v>0</v>
      </c>
      <c r="Q42" s="8" t="n">
        <f aca="false">P42-O42</f>
        <v>0</v>
      </c>
      <c r="R42" s="9" t="str">
        <f aca="false">IF(O42&gt;0,Q42/O42,"")</f>
        <v/>
      </c>
      <c r="S42" s="9" t="n">
        <f aca="false">IF(P$6=0,"",P42/P$6)</f>
        <v>0</v>
      </c>
      <c r="T42" s="56" t="n">
        <f aca="false">SUMIFS('Manish Shilpa'!$D$7:$D$300,'Manish Shilpa'!$B$7:$B$300,$B42)</f>
        <v>0</v>
      </c>
      <c r="U42" s="57" t="str">
        <f aca="false">IF(AND(T42&gt;0,V42&gt;0),V42/T42,"")</f>
        <v/>
      </c>
      <c r="V42" s="8" t="n">
        <f aca="false">SUMIFS('Manish Shilpa'!$E$7:$E$300,'Manish Shilpa'!$B$7:$B$300,$B42)</f>
        <v>0</v>
      </c>
      <c r="W42" s="8" t="n">
        <f aca="false">SUMIFS('Manish Shilpa'!$H$7:$H$300,'Manish Shilpa'!$B$7:$B$300,$B42)</f>
        <v>0</v>
      </c>
      <c r="X42" s="8" t="n">
        <f aca="false">W42-V42</f>
        <v>0</v>
      </c>
      <c r="Y42" s="9" t="str">
        <f aca="false">IF(V42&gt;0,X42/V42,"")</f>
        <v/>
      </c>
      <c r="Z42" s="9" t="n">
        <f aca="false">IF(W$6=0,"",W42/W$6)</f>
        <v>0</v>
      </c>
      <c r="AA42" s="56" t="n">
        <f aca="false">SUMIFS('Saloni Mehra'!$D$7:$D$300,'Saloni Mehra'!$B$7:$B$300,$B42)</f>
        <v>0</v>
      </c>
      <c r="AB42" s="57" t="str">
        <f aca="false">IF(AND(AA42&gt;0,AC42&gt;0),AC42/AA42,"")</f>
        <v/>
      </c>
      <c r="AC42" s="8" t="n">
        <f aca="false">SUMIFS('Saloni Mehra'!$E$7:$E$300,'Saloni Mehra'!$B$7:$B$300,$B42)</f>
        <v>0</v>
      </c>
      <c r="AD42" s="8" t="n">
        <f aca="false">SUMIFS('Saloni Mehra'!$H$7:$H$300,'Saloni Mehra'!$B$7:$B$300,$B42)</f>
        <v>0</v>
      </c>
      <c r="AE42" s="8" t="n">
        <f aca="false">AD42-AC42</f>
        <v>0</v>
      </c>
      <c r="AF42" s="9" t="str">
        <f aca="false">IF(AC42&gt;0,AE42/AC42,"")</f>
        <v/>
      </c>
      <c r="AG42" s="9" t="n">
        <f aca="false">IF(AD$6=0,"",AD42/AD$6)</f>
        <v>0</v>
      </c>
      <c r="AH42" s="56" t="n">
        <f aca="false">SUMIFS('Vidushi Malhotra'!$D$7:$D$300,'Vidushi Malhotra'!$B$7:$B$300,$B42)</f>
        <v>9</v>
      </c>
      <c r="AI42" s="57" t="n">
        <f aca="false">IF(AND(AH42&gt;0,AJ42&gt;0),AJ42/AH42,"")</f>
        <v>1142.66666666667</v>
      </c>
      <c r="AJ42" s="8" t="n">
        <f aca="false">SUMIFS('Vidushi Malhotra'!$E$7:$E$300,'Vidushi Malhotra'!$B$7:$B$300,$B42)</f>
        <v>10284</v>
      </c>
      <c r="AK42" s="8" t="n">
        <f aca="false">SUMIFS('Vidushi Malhotra'!$H$7:$H$300,'Vidushi Malhotra'!$B$7:$B$300,$B42)</f>
        <v>12795.3</v>
      </c>
      <c r="AL42" s="8" t="n">
        <f aca="false">AK42-AJ42</f>
        <v>2511.3</v>
      </c>
      <c r="AM42" s="9" t="n">
        <f aca="false">IF(AJ42&gt;0,AL42/AJ42,"")</f>
        <v>0.244194865810969</v>
      </c>
      <c r="AN42" s="9" t="n">
        <f aca="false">IF(AK$6=0,"",AK42/AK$6)</f>
        <v>0.056541476011395</v>
      </c>
      <c r="AO42" s="56" t="n">
        <f aca="false">SUMIFS('Dr Umesh Choudhry'!$D$7:$D$300,'Dr Umesh Choudhry'!$B$7:$B$300,$B42)</f>
        <v>0</v>
      </c>
      <c r="AP42" s="57" t="str">
        <f aca="false">IF(AND(AO42&gt;0,AQ42&gt;0),AQ42/AO42,"")</f>
        <v/>
      </c>
      <c r="AQ42" s="8" t="n">
        <f aca="false">SUMIFS('Dr Umesh Choudhry'!$E$7:$E$300,'Dr Umesh Choudhry'!$B$7:$B$300,$B42)</f>
        <v>0</v>
      </c>
      <c r="AR42" s="8" t="n">
        <f aca="false">SUMIFS('Dr Umesh Choudhry'!$H$7:$H$300,'Dr Umesh Choudhry'!$B$7:$B$300,$B42)</f>
        <v>0</v>
      </c>
      <c r="AS42" s="8" t="n">
        <f aca="false">AR42-AQ42</f>
        <v>0</v>
      </c>
      <c r="AT42" s="9" t="str">
        <f aca="false">IF(AQ42&gt;0,AS42/AQ42,"")</f>
        <v/>
      </c>
      <c r="AU42" s="9" t="n">
        <f aca="false">IF(AR$6=0,"",AR42/AR$6)</f>
        <v>0</v>
      </c>
      <c r="AV42" s="56" t="n">
        <f aca="false">SUMIFS(DA!$D$7:$D$300,DA!$B$7:$B$300,$B42)</f>
        <v>33</v>
      </c>
      <c r="AW42" s="57" t="n">
        <f aca="false">IF(AND(AV42&gt;0,AX42&gt;0),AX42/AV42,"")</f>
        <v>1431</v>
      </c>
      <c r="AX42" s="8" t="n">
        <f aca="false">SUMIFS(DA!$E$7:$E$300,DA!$B$7:$B$300,$B42)</f>
        <v>47223</v>
      </c>
      <c r="AY42" s="8" t="n">
        <f aca="false">SUMIFS(DA!$H$7:$H$300,DA!$B$7:$B$300,$B42)</f>
        <v>46916.1</v>
      </c>
      <c r="AZ42" s="8" t="n">
        <f aca="false">AY42-AX42</f>
        <v>-306.900000000001</v>
      </c>
      <c r="BA42" s="9" t="n">
        <f aca="false">IF(AX42&gt;0,AZ42/AX42,"")</f>
        <v>-0.00649895178197068</v>
      </c>
      <c r="BB42" s="9" t="n">
        <f aca="false">IF(AY$6=0,"",AY42/AY$6)</f>
        <v>0.0121355327636777</v>
      </c>
    </row>
    <row r="43" customFormat="false" ht="15" hidden="false" customHeight="false" outlineLevel="0" collapsed="false">
      <c r="A43" s="5" t="n">
        <v>37</v>
      </c>
      <c r="B43" s="47" t="s">
        <v>115</v>
      </c>
      <c r="C43" s="48" t="n">
        <f aca="false">IFERROR(INDEX(Prices!$C$6:$C$300,MATCH($B43,Prices!$A$6:$A$300,0)),"")</f>
        <v>2284.8</v>
      </c>
      <c r="D43" s="49" t="str">
        <f aca="false">IFERROR(INDEX(Prices!$D$6:$D$300,MATCH($B43,Prices!$A$6:$A$300,0)),"")</f>
        <v>Close 22.10.2026 (Screener.in)</v>
      </c>
      <c r="E43" s="6" t="n">
        <f aca="false">(M43&gt;0)+(T43&gt;0)+(AA43&gt;0)+(AH43&gt;0)+(AO43&gt;0)+(AV43&gt;0)</f>
        <v>1</v>
      </c>
      <c r="F43" s="50" t="n">
        <f aca="false">M43+T43+AA43+AH43+AO43+AV43</f>
        <v>22</v>
      </c>
      <c r="G43" s="51" t="n">
        <f aca="false">IF(AND(F43&gt;0,H43&gt;0),H43/F43,"")</f>
        <v>3570.22727272727</v>
      </c>
      <c r="H43" s="52" t="n">
        <f aca="false">O43+V43+AC43+AJ43+AQ43+AX43</f>
        <v>78545</v>
      </c>
      <c r="I43" s="53" t="n">
        <f aca="false">P43+W43+AD43+AK43+AR43+AY43</f>
        <v>50265.6</v>
      </c>
      <c r="J43" s="52" t="n">
        <f aca="false">I43-H43</f>
        <v>-28279.4</v>
      </c>
      <c r="K43" s="54" t="n">
        <f aca="false">IF(H43&gt;0,J43/H43,"")</f>
        <v>-0.36004074097651</v>
      </c>
      <c r="L43" s="55" t="n">
        <f aca="false">IF(I$6=0,"",I43/I$6)</f>
        <v>0.00133216684163548</v>
      </c>
      <c r="M43" s="56" t="n">
        <f aca="false">SUMIFS(Gautam!$D$7:$D$300,Gautam!$B$7:$B$300,$B43)</f>
        <v>0</v>
      </c>
      <c r="N43" s="57" t="str">
        <f aca="false">IF(AND(M43&gt;0,O43&gt;0),O43/M43,"")</f>
        <v/>
      </c>
      <c r="O43" s="8" t="n">
        <f aca="false">SUMIFS(Gautam!$E$7:$E$300,Gautam!$B$7:$B$300,$B43)</f>
        <v>0</v>
      </c>
      <c r="P43" s="8" t="n">
        <f aca="false">SUMIFS(Gautam!$H$7:$H$300,Gautam!$B$7:$B$300,$B43)</f>
        <v>0</v>
      </c>
      <c r="Q43" s="8" t="n">
        <f aca="false">P43-O43</f>
        <v>0</v>
      </c>
      <c r="R43" s="9" t="str">
        <f aca="false">IF(O43&gt;0,Q43/O43,"")</f>
        <v/>
      </c>
      <c r="S43" s="9" t="n">
        <f aca="false">IF(P$6=0,"",P43/P$6)</f>
        <v>0</v>
      </c>
      <c r="T43" s="56" t="n">
        <f aca="false">SUMIFS('Manish Shilpa'!$D$7:$D$300,'Manish Shilpa'!$B$7:$B$300,$B43)</f>
        <v>22</v>
      </c>
      <c r="U43" s="57" t="n">
        <f aca="false">IF(AND(T43&gt;0,V43&gt;0),V43/T43,"")</f>
        <v>3570.22727272727</v>
      </c>
      <c r="V43" s="8" t="n">
        <f aca="false">SUMIFS('Manish Shilpa'!$E$7:$E$300,'Manish Shilpa'!$B$7:$B$300,$B43)</f>
        <v>78545</v>
      </c>
      <c r="W43" s="8" t="n">
        <f aca="false">SUMIFS('Manish Shilpa'!$H$7:$H$300,'Manish Shilpa'!$B$7:$B$300,$B43)</f>
        <v>50265.6</v>
      </c>
      <c r="X43" s="8" t="n">
        <f aca="false">W43-V43</f>
        <v>-28279.4</v>
      </c>
      <c r="Y43" s="9" t="n">
        <f aca="false">IF(V43&gt;0,X43/V43,"")</f>
        <v>-0.36004074097651</v>
      </c>
      <c r="Z43" s="9" t="n">
        <f aca="false">IF(W$6=0,"",W43/W$6)</f>
        <v>0.00425046902074114</v>
      </c>
      <c r="AA43" s="56" t="n">
        <f aca="false">SUMIFS('Saloni Mehra'!$D$7:$D$300,'Saloni Mehra'!$B$7:$B$300,$B43)</f>
        <v>0</v>
      </c>
      <c r="AB43" s="57" t="str">
        <f aca="false">IF(AND(AA43&gt;0,AC43&gt;0),AC43/AA43,"")</f>
        <v/>
      </c>
      <c r="AC43" s="8" t="n">
        <f aca="false">SUMIFS('Saloni Mehra'!$E$7:$E$300,'Saloni Mehra'!$B$7:$B$300,$B43)</f>
        <v>0</v>
      </c>
      <c r="AD43" s="8" t="n">
        <f aca="false">SUMIFS('Saloni Mehra'!$H$7:$H$300,'Saloni Mehra'!$B$7:$B$300,$B43)</f>
        <v>0</v>
      </c>
      <c r="AE43" s="8" t="n">
        <f aca="false">AD43-AC43</f>
        <v>0</v>
      </c>
      <c r="AF43" s="9" t="str">
        <f aca="false">IF(AC43&gt;0,AE43/AC43,"")</f>
        <v/>
      </c>
      <c r="AG43" s="9" t="n">
        <f aca="false">IF(AD$6=0,"",AD43/AD$6)</f>
        <v>0</v>
      </c>
      <c r="AH43" s="56" t="n">
        <f aca="false">SUMIFS('Vidushi Malhotra'!$D$7:$D$300,'Vidushi Malhotra'!$B$7:$B$300,$B43)</f>
        <v>0</v>
      </c>
      <c r="AI43" s="57" t="str">
        <f aca="false">IF(AND(AH43&gt;0,AJ43&gt;0),AJ43/AH43,"")</f>
        <v/>
      </c>
      <c r="AJ43" s="8" t="n">
        <f aca="false">SUMIFS('Vidushi Malhotra'!$E$7:$E$300,'Vidushi Malhotra'!$B$7:$B$300,$B43)</f>
        <v>0</v>
      </c>
      <c r="AK43" s="8" t="n">
        <f aca="false">SUMIFS('Vidushi Malhotra'!$H$7:$H$300,'Vidushi Malhotra'!$B$7:$B$300,$B43)</f>
        <v>0</v>
      </c>
      <c r="AL43" s="8" t="n">
        <f aca="false">AK43-AJ43</f>
        <v>0</v>
      </c>
      <c r="AM43" s="9" t="str">
        <f aca="false">IF(AJ43&gt;0,AL43/AJ43,"")</f>
        <v/>
      </c>
      <c r="AN43" s="9" t="n">
        <f aca="false">IF(AK$6=0,"",AK43/AK$6)</f>
        <v>0</v>
      </c>
      <c r="AO43" s="56" t="n">
        <f aca="false">SUMIFS('Dr Umesh Choudhry'!$D$7:$D$300,'Dr Umesh Choudhry'!$B$7:$B$300,$B43)</f>
        <v>0</v>
      </c>
      <c r="AP43" s="57" t="str">
        <f aca="false">IF(AND(AO43&gt;0,AQ43&gt;0),AQ43/AO43,"")</f>
        <v/>
      </c>
      <c r="AQ43" s="8" t="n">
        <f aca="false">SUMIFS('Dr Umesh Choudhry'!$E$7:$E$300,'Dr Umesh Choudhry'!$B$7:$B$300,$B43)</f>
        <v>0</v>
      </c>
      <c r="AR43" s="8" t="n">
        <f aca="false">SUMIFS('Dr Umesh Choudhry'!$H$7:$H$300,'Dr Umesh Choudhry'!$B$7:$B$300,$B43)</f>
        <v>0</v>
      </c>
      <c r="AS43" s="8" t="n">
        <f aca="false">AR43-AQ43</f>
        <v>0</v>
      </c>
      <c r="AT43" s="9" t="str">
        <f aca="false">IF(AQ43&gt;0,AS43/AQ43,"")</f>
        <v/>
      </c>
      <c r="AU43" s="9" t="n">
        <f aca="false">IF(AR$6=0,"",AR43/AR$6)</f>
        <v>0</v>
      </c>
      <c r="AV43" s="56" t="n">
        <f aca="false">SUMIFS(DA!$D$7:$D$300,DA!$B$7:$B$300,$B43)</f>
        <v>0</v>
      </c>
      <c r="AW43" s="57" t="str">
        <f aca="false">IF(AND(AV43&gt;0,AX43&gt;0),AX43/AV43,"")</f>
        <v/>
      </c>
      <c r="AX43" s="8" t="n">
        <f aca="false">SUMIFS(DA!$E$7:$E$300,DA!$B$7:$B$300,$B43)</f>
        <v>0</v>
      </c>
      <c r="AY43" s="8" t="n">
        <f aca="false">SUMIFS(DA!$H$7:$H$300,DA!$B$7:$B$300,$B43)</f>
        <v>0</v>
      </c>
      <c r="AZ43" s="8" t="n">
        <f aca="false">AY43-AX43</f>
        <v>0</v>
      </c>
      <c r="BA43" s="9" t="str">
        <f aca="false">IF(AX43&gt;0,AZ43/AX43,"")</f>
        <v/>
      </c>
      <c r="BB43" s="9" t="n">
        <f aca="false">IF(AY$6=0,"",AY43/AY$6)</f>
        <v>0</v>
      </c>
    </row>
    <row r="44" customFormat="false" ht="15" hidden="false" customHeight="false" outlineLevel="0" collapsed="false">
      <c r="A44" s="5" t="n">
        <v>38</v>
      </c>
      <c r="B44" s="47" t="s">
        <v>116</v>
      </c>
      <c r="C44" s="48" t="n">
        <f aca="false">IFERROR(INDEX(Prices!$C$6:$C$300,MATCH($B44,Prices!$A$6:$A$300,0)),"")</f>
        <v>120.17</v>
      </c>
      <c r="D44" s="49" t="str">
        <f aca="false">IFERROR(INDEX(Prices!$D$6:$D$300,MATCH($B44,Prices!$A$6:$A$300,0)),"")</f>
        <v>Close 22.10.2026 (Screener.in)</v>
      </c>
      <c r="E44" s="6" t="n">
        <f aca="false">(M44&gt;0)+(T44&gt;0)+(AA44&gt;0)+(AH44&gt;0)+(AO44&gt;0)+(AV44&gt;0)</f>
        <v>1</v>
      </c>
      <c r="F44" s="50" t="n">
        <f aca="false">M44+T44+AA44+AH44+AO44+AV44</f>
        <v>399</v>
      </c>
      <c r="G44" s="51" t="n">
        <f aca="false">IF(AND(F44&gt;0,H44&gt;0),H44/F44,"")</f>
        <v>177</v>
      </c>
      <c r="H44" s="52" t="n">
        <f aca="false">O44+V44+AC44+AJ44+AQ44+AX44</f>
        <v>70623</v>
      </c>
      <c r="I44" s="53" t="n">
        <f aca="false">P44+W44+AD44+AK44+AR44+AY44</f>
        <v>47947.83</v>
      </c>
      <c r="J44" s="52" t="n">
        <f aca="false">I44-H44</f>
        <v>-22675.17</v>
      </c>
      <c r="K44" s="54" t="n">
        <f aca="false">IF(H44&gt;0,J44/H44,"")</f>
        <v>-0.321073446327684</v>
      </c>
      <c r="L44" s="55" t="n">
        <f aca="false">IF(I$6=0,"",I44/I$6)</f>
        <v>0.00127074001413243</v>
      </c>
      <c r="M44" s="56" t="n">
        <f aca="false">SUMIFS(Gautam!$D$7:$D$300,Gautam!$B$7:$B$300,$B44)</f>
        <v>0</v>
      </c>
      <c r="N44" s="57" t="str">
        <f aca="false">IF(AND(M44&gt;0,O44&gt;0),O44/M44,"")</f>
        <v/>
      </c>
      <c r="O44" s="8" t="n">
        <f aca="false">SUMIFS(Gautam!$E$7:$E$300,Gautam!$B$7:$B$300,$B44)</f>
        <v>0</v>
      </c>
      <c r="P44" s="8" t="n">
        <f aca="false">SUMIFS(Gautam!$H$7:$H$300,Gautam!$B$7:$B$300,$B44)</f>
        <v>0</v>
      </c>
      <c r="Q44" s="8" t="n">
        <f aca="false">P44-O44</f>
        <v>0</v>
      </c>
      <c r="R44" s="9" t="str">
        <f aca="false">IF(O44&gt;0,Q44/O44,"")</f>
        <v/>
      </c>
      <c r="S44" s="9" t="n">
        <f aca="false">IF(P$6=0,"",P44/P$6)</f>
        <v>0</v>
      </c>
      <c r="T44" s="56" t="n">
        <f aca="false">SUMIFS('Manish Shilpa'!$D$7:$D$300,'Manish Shilpa'!$B$7:$B$300,$B44)</f>
        <v>0</v>
      </c>
      <c r="U44" s="57" t="str">
        <f aca="false">IF(AND(T44&gt;0,V44&gt;0),V44/T44,"")</f>
        <v/>
      </c>
      <c r="V44" s="8" t="n">
        <f aca="false">SUMIFS('Manish Shilpa'!$E$7:$E$300,'Manish Shilpa'!$B$7:$B$300,$B44)</f>
        <v>0</v>
      </c>
      <c r="W44" s="8" t="n">
        <f aca="false">SUMIFS('Manish Shilpa'!$H$7:$H$300,'Manish Shilpa'!$B$7:$B$300,$B44)</f>
        <v>0</v>
      </c>
      <c r="X44" s="8" t="n">
        <f aca="false">W44-V44</f>
        <v>0</v>
      </c>
      <c r="Y44" s="9" t="str">
        <f aca="false">IF(V44&gt;0,X44/V44,"")</f>
        <v/>
      </c>
      <c r="Z44" s="9" t="n">
        <f aca="false">IF(W$6=0,"",W44/W$6)</f>
        <v>0</v>
      </c>
      <c r="AA44" s="56" t="n">
        <f aca="false">SUMIFS('Saloni Mehra'!$D$7:$D$300,'Saloni Mehra'!$B$7:$B$300,$B44)</f>
        <v>0</v>
      </c>
      <c r="AB44" s="57" t="str">
        <f aca="false">IF(AND(AA44&gt;0,AC44&gt;0),AC44/AA44,"")</f>
        <v/>
      </c>
      <c r="AC44" s="8" t="n">
        <f aca="false">SUMIFS('Saloni Mehra'!$E$7:$E$300,'Saloni Mehra'!$B$7:$B$300,$B44)</f>
        <v>0</v>
      </c>
      <c r="AD44" s="8" t="n">
        <f aca="false">SUMIFS('Saloni Mehra'!$H$7:$H$300,'Saloni Mehra'!$B$7:$B$300,$B44)</f>
        <v>0</v>
      </c>
      <c r="AE44" s="8" t="n">
        <f aca="false">AD44-AC44</f>
        <v>0</v>
      </c>
      <c r="AF44" s="9" t="str">
        <f aca="false">IF(AC44&gt;0,AE44/AC44,"")</f>
        <v/>
      </c>
      <c r="AG44" s="9" t="n">
        <f aca="false">IF(AD$6=0,"",AD44/AD$6)</f>
        <v>0</v>
      </c>
      <c r="AH44" s="56" t="n">
        <f aca="false">SUMIFS('Vidushi Malhotra'!$D$7:$D$300,'Vidushi Malhotra'!$B$7:$B$300,$B44)</f>
        <v>0</v>
      </c>
      <c r="AI44" s="57" t="str">
        <f aca="false">IF(AND(AH44&gt;0,AJ44&gt;0),AJ44/AH44,"")</f>
        <v/>
      </c>
      <c r="AJ44" s="8" t="n">
        <f aca="false">SUMIFS('Vidushi Malhotra'!$E$7:$E$300,'Vidushi Malhotra'!$B$7:$B$300,$B44)</f>
        <v>0</v>
      </c>
      <c r="AK44" s="8" t="n">
        <f aca="false">SUMIFS('Vidushi Malhotra'!$H$7:$H$300,'Vidushi Malhotra'!$B$7:$B$300,$B44)</f>
        <v>0</v>
      </c>
      <c r="AL44" s="8" t="n">
        <f aca="false">AK44-AJ44</f>
        <v>0</v>
      </c>
      <c r="AM44" s="9" t="str">
        <f aca="false">IF(AJ44&gt;0,AL44/AJ44,"")</f>
        <v/>
      </c>
      <c r="AN44" s="9" t="n">
        <f aca="false">IF(AK$6=0,"",AK44/AK$6)</f>
        <v>0</v>
      </c>
      <c r="AO44" s="56" t="n">
        <f aca="false">SUMIFS('Dr Umesh Choudhry'!$D$7:$D$300,'Dr Umesh Choudhry'!$B$7:$B$300,$B44)</f>
        <v>0</v>
      </c>
      <c r="AP44" s="57" t="str">
        <f aca="false">IF(AND(AO44&gt;0,AQ44&gt;0),AQ44/AO44,"")</f>
        <v/>
      </c>
      <c r="AQ44" s="8" t="n">
        <f aca="false">SUMIFS('Dr Umesh Choudhry'!$E$7:$E$300,'Dr Umesh Choudhry'!$B$7:$B$300,$B44)</f>
        <v>0</v>
      </c>
      <c r="AR44" s="8" t="n">
        <f aca="false">SUMIFS('Dr Umesh Choudhry'!$H$7:$H$300,'Dr Umesh Choudhry'!$B$7:$B$300,$B44)</f>
        <v>0</v>
      </c>
      <c r="AS44" s="8" t="n">
        <f aca="false">AR44-AQ44</f>
        <v>0</v>
      </c>
      <c r="AT44" s="9" t="str">
        <f aca="false">IF(AQ44&gt;0,AS44/AQ44,"")</f>
        <v/>
      </c>
      <c r="AU44" s="9" t="n">
        <f aca="false">IF(AR$6=0,"",AR44/AR$6)</f>
        <v>0</v>
      </c>
      <c r="AV44" s="56" t="n">
        <f aca="false">SUMIFS(DA!$D$7:$D$300,DA!$B$7:$B$300,$B44)</f>
        <v>399</v>
      </c>
      <c r="AW44" s="57" t="n">
        <f aca="false">IF(AND(AV44&gt;0,AX44&gt;0),AX44/AV44,"")</f>
        <v>177</v>
      </c>
      <c r="AX44" s="8" t="n">
        <f aca="false">SUMIFS(DA!$E$7:$E$300,DA!$B$7:$B$300,$B44)</f>
        <v>70623</v>
      </c>
      <c r="AY44" s="8" t="n">
        <f aca="false">SUMIFS(DA!$H$7:$H$300,DA!$B$7:$B$300,$B44)</f>
        <v>47947.83</v>
      </c>
      <c r="AZ44" s="8" t="n">
        <f aca="false">AY44-AX44</f>
        <v>-22675.17</v>
      </c>
      <c r="BA44" s="9" t="n">
        <f aca="false">IF(AX44&gt;0,AZ44/AX44,"")</f>
        <v>-0.321073446327684</v>
      </c>
      <c r="BB44" s="9" t="n">
        <f aca="false">IF(AY$6=0,"",AY44/AY$6)</f>
        <v>0.0124024047589687</v>
      </c>
    </row>
    <row r="45" customFormat="false" ht="15" hidden="false" customHeight="false" outlineLevel="0" collapsed="false">
      <c r="A45" s="5" t="n">
        <v>39</v>
      </c>
      <c r="B45" s="47" t="s">
        <v>117</v>
      </c>
      <c r="C45" s="48" t="n">
        <f aca="false">IFERROR(INDEX(Prices!$C$6:$C$300,MATCH($B45,Prices!$A$6:$A$300,0)),"")</f>
        <v>381.85</v>
      </c>
      <c r="D45" s="49" t="str">
        <f aca="false">IFERROR(INDEX(Prices!$D$6:$D$300,MATCH($B45,Prices!$A$6:$A$300,0)),"")</f>
        <v>Close 22.10.2026 (Screener.in)</v>
      </c>
      <c r="E45" s="6" t="n">
        <f aca="false">(M45&gt;0)+(T45&gt;0)+(AA45&gt;0)+(AH45&gt;0)+(AO45&gt;0)+(AV45&gt;0)</f>
        <v>1</v>
      </c>
      <c r="F45" s="50" t="n">
        <f aca="false">M45+T45+AA45+AH45+AO45+AV45</f>
        <v>111</v>
      </c>
      <c r="G45" s="51" t="n">
        <f aca="false">IF(AND(F45&gt;0,H45&gt;0),H45/F45,"")</f>
        <v>410</v>
      </c>
      <c r="H45" s="52" t="n">
        <f aca="false">O45+V45+AC45+AJ45+AQ45+AX45</f>
        <v>45510</v>
      </c>
      <c r="I45" s="53" t="n">
        <f aca="false">P45+W45+AD45+AK45+AR45+AY45</f>
        <v>42385.35</v>
      </c>
      <c r="J45" s="52" t="n">
        <f aca="false">I45-H45</f>
        <v>-3124.64999999999</v>
      </c>
      <c r="K45" s="54" t="n">
        <f aca="false">IF(H45&gt;0,J45/H45,"")</f>
        <v>-0.0686585365853657</v>
      </c>
      <c r="L45" s="55" t="n">
        <f aca="false">IF(I$6=0,"",I45/I$6)</f>
        <v>0.00112332008055439</v>
      </c>
      <c r="M45" s="56" t="n">
        <f aca="false">SUMIFS(Gautam!$D$7:$D$300,Gautam!$B$7:$B$300,$B45)</f>
        <v>0</v>
      </c>
      <c r="N45" s="57" t="str">
        <f aca="false">IF(AND(M45&gt;0,O45&gt;0),O45/M45,"")</f>
        <v/>
      </c>
      <c r="O45" s="8" t="n">
        <f aca="false">SUMIFS(Gautam!$E$7:$E$300,Gautam!$B$7:$B$300,$B45)</f>
        <v>0</v>
      </c>
      <c r="P45" s="8" t="n">
        <f aca="false">SUMIFS(Gautam!$H$7:$H$300,Gautam!$B$7:$B$300,$B45)</f>
        <v>0</v>
      </c>
      <c r="Q45" s="8" t="n">
        <f aca="false">P45-O45</f>
        <v>0</v>
      </c>
      <c r="R45" s="9" t="str">
        <f aca="false">IF(O45&gt;0,Q45/O45,"")</f>
        <v/>
      </c>
      <c r="S45" s="9" t="n">
        <f aca="false">IF(P$6=0,"",P45/P$6)</f>
        <v>0</v>
      </c>
      <c r="T45" s="56" t="n">
        <f aca="false">SUMIFS('Manish Shilpa'!$D$7:$D$300,'Manish Shilpa'!$B$7:$B$300,$B45)</f>
        <v>0</v>
      </c>
      <c r="U45" s="57" t="str">
        <f aca="false">IF(AND(T45&gt;0,V45&gt;0),V45/T45,"")</f>
        <v/>
      </c>
      <c r="V45" s="8" t="n">
        <f aca="false">SUMIFS('Manish Shilpa'!$E$7:$E$300,'Manish Shilpa'!$B$7:$B$300,$B45)</f>
        <v>0</v>
      </c>
      <c r="W45" s="8" t="n">
        <f aca="false">SUMIFS('Manish Shilpa'!$H$7:$H$300,'Manish Shilpa'!$B$7:$B$300,$B45)</f>
        <v>0</v>
      </c>
      <c r="X45" s="8" t="n">
        <f aca="false">W45-V45</f>
        <v>0</v>
      </c>
      <c r="Y45" s="9" t="str">
        <f aca="false">IF(V45&gt;0,X45/V45,"")</f>
        <v/>
      </c>
      <c r="Z45" s="9" t="n">
        <f aca="false">IF(W$6=0,"",W45/W$6)</f>
        <v>0</v>
      </c>
      <c r="AA45" s="56" t="n">
        <f aca="false">SUMIFS('Saloni Mehra'!$D$7:$D$300,'Saloni Mehra'!$B$7:$B$300,$B45)</f>
        <v>0</v>
      </c>
      <c r="AB45" s="57" t="str">
        <f aca="false">IF(AND(AA45&gt;0,AC45&gt;0),AC45/AA45,"")</f>
        <v/>
      </c>
      <c r="AC45" s="8" t="n">
        <f aca="false">SUMIFS('Saloni Mehra'!$E$7:$E$300,'Saloni Mehra'!$B$7:$B$300,$B45)</f>
        <v>0</v>
      </c>
      <c r="AD45" s="8" t="n">
        <f aca="false">SUMIFS('Saloni Mehra'!$H$7:$H$300,'Saloni Mehra'!$B$7:$B$300,$B45)</f>
        <v>0</v>
      </c>
      <c r="AE45" s="8" t="n">
        <f aca="false">AD45-AC45</f>
        <v>0</v>
      </c>
      <c r="AF45" s="9" t="str">
        <f aca="false">IF(AC45&gt;0,AE45/AC45,"")</f>
        <v/>
      </c>
      <c r="AG45" s="9" t="n">
        <f aca="false">IF(AD$6=0,"",AD45/AD$6)</f>
        <v>0</v>
      </c>
      <c r="AH45" s="56" t="n">
        <f aca="false">SUMIFS('Vidushi Malhotra'!$D$7:$D$300,'Vidushi Malhotra'!$B$7:$B$300,$B45)</f>
        <v>0</v>
      </c>
      <c r="AI45" s="57" t="str">
        <f aca="false">IF(AND(AH45&gt;0,AJ45&gt;0),AJ45/AH45,"")</f>
        <v/>
      </c>
      <c r="AJ45" s="8" t="n">
        <f aca="false">SUMIFS('Vidushi Malhotra'!$E$7:$E$300,'Vidushi Malhotra'!$B$7:$B$300,$B45)</f>
        <v>0</v>
      </c>
      <c r="AK45" s="8" t="n">
        <f aca="false">SUMIFS('Vidushi Malhotra'!$H$7:$H$300,'Vidushi Malhotra'!$B$7:$B$300,$B45)</f>
        <v>0</v>
      </c>
      <c r="AL45" s="8" t="n">
        <f aca="false">AK45-AJ45</f>
        <v>0</v>
      </c>
      <c r="AM45" s="9" t="str">
        <f aca="false">IF(AJ45&gt;0,AL45/AJ45,"")</f>
        <v/>
      </c>
      <c r="AN45" s="9" t="n">
        <f aca="false">IF(AK$6=0,"",AK45/AK$6)</f>
        <v>0</v>
      </c>
      <c r="AO45" s="56" t="n">
        <f aca="false">SUMIFS('Dr Umesh Choudhry'!$D$7:$D$300,'Dr Umesh Choudhry'!$B$7:$B$300,$B45)</f>
        <v>0</v>
      </c>
      <c r="AP45" s="57" t="str">
        <f aca="false">IF(AND(AO45&gt;0,AQ45&gt;0),AQ45/AO45,"")</f>
        <v/>
      </c>
      <c r="AQ45" s="8" t="n">
        <f aca="false">SUMIFS('Dr Umesh Choudhry'!$E$7:$E$300,'Dr Umesh Choudhry'!$B$7:$B$300,$B45)</f>
        <v>0</v>
      </c>
      <c r="AR45" s="8" t="n">
        <f aca="false">SUMIFS('Dr Umesh Choudhry'!$H$7:$H$300,'Dr Umesh Choudhry'!$B$7:$B$300,$B45)</f>
        <v>0</v>
      </c>
      <c r="AS45" s="8" t="n">
        <f aca="false">AR45-AQ45</f>
        <v>0</v>
      </c>
      <c r="AT45" s="9" t="str">
        <f aca="false">IF(AQ45&gt;0,AS45/AQ45,"")</f>
        <v/>
      </c>
      <c r="AU45" s="9" t="n">
        <f aca="false">IF(AR$6=0,"",AR45/AR$6)</f>
        <v>0</v>
      </c>
      <c r="AV45" s="56" t="n">
        <f aca="false">SUMIFS(DA!$D$7:$D$300,DA!$B$7:$B$300,$B45)</f>
        <v>111</v>
      </c>
      <c r="AW45" s="57" t="n">
        <f aca="false">IF(AND(AV45&gt;0,AX45&gt;0),AX45/AV45,"")</f>
        <v>410</v>
      </c>
      <c r="AX45" s="8" t="n">
        <f aca="false">SUMIFS(DA!$E$7:$E$300,DA!$B$7:$B$300,$B45)</f>
        <v>45510</v>
      </c>
      <c r="AY45" s="8" t="n">
        <f aca="false">SUMIFS(DA!$H$7:$H$300,DA!$B$7:$B$300,$B45)</f>
        <v>42385.35</v>
      </c>
      <c r="AZ45" s="8" t="n">
        <f aca="false">AY45-AX45</f>
        <v>-3124.64999999999</v>
      </c>
      <c r="BA45" s="9" t="n">
        <f aca="false">IF(AX45&gt;0,AZ45/AX45,"")</f>
        <v>-0.0686585365853657</v>
      </c>
      <c r="BB45" s="9" t="n">
        <f aca="false">IF(AY$6=0,"",AY45/AY$6)</f>
        <v>0.0109635882698039</v>
      </c>
    </row>
    <row r="46" customFormat="false" ht="15" hidden="false" customHeight="false" outlineLevel="0" collapsed="false">
      <c r="A46" s="5" t="n">
        <v>40</v>
      </c>
      <c r="B46" s="47" t="s">
        <v>118</v>
      </c>
      <c r="C46" s="48" t="n">
        <f aca="false">IFERROR(INDEX(Prices!$C$6:$C$300,MATCH($B46,Prices!$A$6:$A$300,0)),"")</f>
        <v>127</v>
      </c>
      <c r="D46" s="49" t="str">
        <f aca="false">IFERROR(INDEX(Prices!$D$6:$D$300,MATCH($B46,Prices!$A$6:$A$300,0)),"")</f>
        <v>Gautam stmt – 23.10</v>
      </c>
      <c r="E46" s="6" t="n">
        <f aca="false">(M46&gt;0)+(T46&gt;0)+(AA46&gt;0)+(AH46&gt;0)+(AO46&gt;0)+(AV46&gt;0)</f>
        <v>4</v>
      </c>
      <c r="F46" s="50" t="n">
        <f aca="false">M46+T46+AA46+AH46+AO46+AV46</f>
        <v>305</v>
      </c>
      <c r="G46" s="51" t="n">
        <f aca="false">IF(AND(F46&gt;0,H46&gt;0),H46/F46,"")</f>
        <v>106.852459016393</v>
      </c>
      <c r="H46" s="52" t="n">
        <f aca="false">O46+V46+AC46+AJ46+AQ46+AX46</f>
        <v>32590</v>
      </c>
      <c r="I46" s="53" t="n">
        <f aca="false">P46+W46+AD46+AK46+AR46+AY46</f>
        <v>38735</v>
      </c>
      <c r="J46" s="52" t="n">
        <f aca="false">I46-H46</f>
        <v>6145</v>
      </c>
      <c r="K46" s="54" t="n">
        <f aca="false">IF(H46&gt;0,J46/H46,"")</f>
        <v>0.188554771402271</v>
      </c>
      <c r="L46" s="55" t="n">
        <f aca="false">IF(I$6=0,"",I46/I$6)</f>
        <v>0.00102657647796406</v>
      </c>
      <c r="M46" s="56" t="n">
        <f aca="false">SUMIFS(Gautam!$D$7:$D$300,Gautam!$B$7:$B$300,$B46)</f>
        <v>27</v>
      </c>
      <c r="N46" s="57" t="n">
        <f aca="false">IF(AND(M46&gt;0,O46&gt;0),O46/M46,"")</f>
        <v>136</v>
      </c>
      <c r="O46" s="8" t="n">
        <f aca="false">SUMIFS(Gautam!$E$7:$E$300,Gautam!$B$7:$B$300,$B46)</f>
        <v>3672</v>
      </c>
      <c r="P46" s="8" t="n">
        <f aca="false">SUMIFS(Gautam!$H$7:$H$300,Gautam!$B$7:$B$300,$B46)</f>
        <v>3429</v>
      </c>
      <c r="Q46" s="8" t="n">
        <f aca="false">P46-O46</f>
        <v>-243</v>
      </c>
      <c r="R46" s="9" t="n">
        <f aca="false">IF(O46&gt;0,Q46/O46,"")</f>
        <v>-0.0661764705882353</v>
      </c>
      <c r="S46" s="9" t="n">
        <f aca="false">IF(P$6=0,"",P46/P$6)</f>
        <v>0.000656248186059394</v>
      </c>
      <c r="T46" s="56" t="n">
        <f aca="false">SUMIFS('Manish Shilpa'!$D$7:$D$300,'Manish Shilpa'!$B$7:$B$300,$B46)</f>
        <v>168</v>
      </c>
      <c r="U46" s="57" t="n">
        <f aca="false">IF(AND(T46&gt;0,V46&gt;0),V46/T46,"")</f>
        <v>91.3928571428571</v>
      </c>
      <c r="V46" s="8" t="n">
        <f aca="false">SUMIFS('Manish Shilpa'!$E$7:$E$300,'Manish Shilpa'!$B$7:$B$300,$B46)</f>
        <v>15354</v>
      </c>
      <c r="W46" s="8" t="n">
        <f aca="false">SUMIFS('Manish Shilpa'!$H$7:$H$300,'Manish Shilpa'!$B$7:$B$300,$B46)</f>
        <v>21336</v>
      </c>
      <c r="X46" s="8" t="n">
        <f aca="false">W46-V46</f>
        <v>5982</v>
      </c>
      <c r="Y46" s="9" t="n">
        <f aca="false">IF(V46&gt;0,X46/V46,"")</f>
        <v>0.389605314576006</v>
      </c>
      <c r="Z46" s="9" t="n">
        <f aca="false">IF(W$6=0,"",W46/W$6)</f>
        <v>0.00180417635572903</v>
      </c>
      <c r="AA46" s="56" t="n">
        <f aca="false">SUMIFS('Saloni Mehra'!$D$7:$D$300,'Saloni Mehra'!$B$7:$B$300,$B46)</f>
        <v>11</v>
      </c>
      <c r="AB46" s="57" t="n">
        <f aca="false">IF(AND(AA46&gt;0,AC46&gt;0),AC46/AA46,"")</f>
        <v>126.090909090909</v>
      </c>
      <c r="AC46" s="8" t="n">
        <f aca="false">SUMIFS('Saloni Mehra'!$E$7:$E$300,'Saloni Mehra'!$B$7:$B$300,$B46)</f>
        <v>1387</v>
      </c>
      <c r="AD46" s="8" t="n">
        <f aca="false">SUMIFS('Saloni Mehra'!$H$7:$H$300,'Saloni Mehra'!$B$7:$B$300,$B46)</f>
        <v>1397</v>
      </c>
      <c r="AE46" s="8" t="n">
        <f aca="false">AD46-AC46</f>
        <v>10</v>
      </c>
      <c r="AF46" s="9" t="n">
        <f aca="false">IF(AC46&gt;0,AE46/AC46,"")</f>
        <v>0.00720980533525595</v>
      </c>
      <c r="AG46" s="9" t="n">
        <f aca="false">IF(AD$6=0,"",AD46/AD$6)</f>
        <v>0.000125094854830264</v>
      </c>
      <c r="AH46" s="56" t="n">
        <f aca="false">SUMIFS('Vidushi Malhotra'!$D$7:$D$300,'Vidushi Malhotra'!$B$7:$B$300,$B46)</f>
        <v>0</v>
      </c>
      <c r="AI46" s="57" t="str">
        <f aca="false">IF(AND(AH46&gt;0,AJ46&gt;0),AJ46/AH46,"")</f>
        <v/>
      </c>
      <c r="AJ46" s="8" t="n">
        <f aca="false">SUMIFS('Vidushi Malhotra'!$E$7:$E$300,'Vidushi Malhotra'!$B$7:$B$300,$B46)</f>
        <v>0</v>
      </c>
      <c r="AK46" s="8" t="n">
        <f aca="false">SUMIFS('Vidushi Malhotra'!$H$7:$H$300,'Vidushi Malhotra'!$B$7:$B$300,$B46)</f>
        <v>0</v>
      </c>
      <c r="AL46" s="8" t="n">
        <f aca="false">AK46-AJ46</f>
        <v>0</v>
      </c>
      <c r="AM46" s="9" t="str">
        <f aca="false">IF(AJ46&gt;0,AL46/AJ46,"")</f>
        <v/>
      </c>
      <c r="AN46" s="9" t="n">
        <f aca="false">IF(AK$6=0,"",AK46/AK$6)</f>
        <v>0</v>
      </c>
      <c r="AO46" s="56" t="n">
        <f aca="false">SUMIFS('Dr Umesh Choudhry'!$D$7:$D$300,'Dr Umesh Choudhry'!$B$7:$B$300,$B46)</f>
        <v>0</v>
      </c>
      <c r="AP46" s="57" t="str">
        <f aca="false">IF(AND(AO46&gt;0,AQ46&gt;0),AQ46/AO46,"")</f>
        <v/>
      </c>
      <c r="AQ46" s="8" t="n">
        <f aca="false">SUMIFS('Dr Umesh Choudhry'!$E$7:$E$300,'Dr Umesh Choudhry'!$B$7:$B$300,$B46)</f>
        <v>0</v>
      </c>
      <c r="AR46" s="8" t="n">
        <f aca="false">SUMIFS('Dr Umesh Choudhry'!$H$7:$H$300,'Dr Umesh Choudhry'!$B$7:$B$300,$B46)</f>
        <v>0</v>
      </c>
      <c r="AS46" s="8" t="n">
        <f aca="false">AR46-AQ46</f>
        <v>0</v>
      </c>
      <c r="AT46" s="9" t="str">
        <f aca="false">IF(AQ46&gt;0,AS46/AQ46,"")</f>
        <v/>
      </c>
      <c r="AU46" s="9" t="n">
        <f aca="false">IF(AR$6=0,"",AR46/AR$6)</f>
        <v>0</v>
      </c>
      <c r="AV46" s="56" t="n">
        <f aca="false">SUMIFS(DA!$D$7:$D$300,DA!$B$7:$B$300,$B46)</f>
        <v>99</v>
      </c>
      <c r="AW46" s="57" t="n">
        <f aca="false">IF(AND(AV46&gt;0,AX46&gt;0),AX46/AV46,"")</f>
        <v>123</v>
      </c>
      <c r="AX46" s="8" t="n">
        <f aca="false">SUMIFS(DA!$E$7:$E$300,DA!$B$7:$B$300,$B46)</f>
        <v>12177</v>
      </c>
      <c r="AY46" s="8" t="n">
        <f aca="false">SUMIFS(DA!$H$7:$H$300,DA!$B$7:$B$300,$B46)</f>
        <v>12573</v>
      </c>
      <c r="AZ46" s="8" t="n">
        <f aca="false">AY46-AX46</f>
        <v>396</v>
      </c>
      <c r="BA46" s="9" t="n">
        <f aca="false">IF(AX46&gt;0,AZ46/AX46,"")</f>
        <v>0.032520325203252</v>
      </c>
      <c r="BB46" s="9" t="n">
        <f aca="false">IF(AY$6=0,"",AY46/AY$6)</f>
        <v>0.00325218962014575</v>
      </c>
    </row>
    <row r="47" customFormat="false" ht="15" hidden="false" customHeight="false" outlineLevel="0" collapsed="false">
      <c r="A47" s="5" t="n">
        <v>41</v>
      </c>
      <c r="B47" s="47" t="s">
        <v>119</v>
      </c>
      <c r="C47" s="48" t="n">
        <f aca="false">IFERROR(INDEX(Prices!$C$6:$C$300,MATCH($B47,Prices!$A$6:$A$300,0)),"")</f>
        <v>1</v>
      </c>
      <c r="D47" s="49" t="str">
        <f aca="false">IFERROR(INDEX(Prices!$D$6:$D$300,MATCH($B47,Prices!$A$6:$A$300,0)),"")</f>
        <v>Cash at par (₹1)</v>
      </c>
      <c r="E47" s="6" t="n">
        <f aca="false">(M47&gt;0)+(T47&gt;0)+(AA47&gt;0)+(AH47&gt;0)+(AO47&gt;0)+(AV47&gt;0)</f>
        <v>1</v>
      </c>
      <c r="F47" s="50" t="n">
        <f aca="false">M47+T47+AA47+AH47+AO47+AV47</f>
        <v>36000</v>
      </c>
      <c r="G47" s="51" t="n">
        <f aca="false">IF(AND(F47&gt;0,H47&gt;0),H47/F47,"")</f>
        <v>1</v>
      </c>
      <c r="H47" s="52" t="n">
        <f aca="false">O47+V47+AC47+AJ47+AQ47+AX47</f>
        <v>36000</v>
      </c>
      <c r="I47" s="53" t="n">
        <f aca="false">P47+W47+AD47+AK47+AR47+AY47</f>
        <v>36000</v>
      </c>
      <c r="J47" s="52" t="n">
        <f aca="false">I47-H47</f>
        <v>0</v>
      </c>
      <c r="K47" s="54" t="n">
        <f aca="false">IF(H47&gt;0,J47/H47,"")</f>
        <v>0</v>
      </c>
      <c r="L47" s="55" t="n">
        <f aca="false">IF(I$6=0,"",I47/I$6)</f>
        <v>0.000954091989330225</v>
      </c>
      <c r="M47" s="56" t="n">
        <f aca="false">SUMIFS(Gautam!$D$7:$D$300,Gautam!$B$7:$B$300,$B47)</f>
        <v>0</v>
      </c>
      <c r="N47" s="57" t="str">
        <f aca="false">IF(AND(M47&gt;0,O47&gt;0),O47/M47,"")</f>
        <v/>
      </c>
      <c r="O47" s="8" t="n">
        <f aca="false">SUMIFS(Gautam!$E$7:$E$300,Gautam!$B$7:$B$300,$B47)</f>
        <v>0</v>
      </c>
      <c r="P47" s="8" t="n">
        <f aca="false">SUMIFS(Gautam!$H$7:$H$300,Gautam!$B$7:$B$300,$B47)</f>
        <v>0</v>
      </c>
      <c r="Q47" s="8" t="n">
        <f aca="false">P47-O47</f>
        <v>0</v>
      </c>
      <c r="R47" s="9" t="str">
        <f aca="false">IF(O47&gt;0,Q47/O47,"")</f>
        <v/>
      </c>
      <c r="S47" s="9" t="n">
        <f aca="false">IF(P$6=0,"",P47/P$6)</f>
        <v>0</v>
      </c>
      <c r="T47" s="56" t="n">
        <f aca="false">SUMIFS('Manish Shilpa'!$D$7:$D$300,'Manish Shilpa'!$B$7:$B$300,$B47)</f>
        <v>0</v>
      </c>
      <c r="U47" s="57" t="str">
        <f aca="false">IF(AND(T47&gt;0,V47&gt;0),V47/T47,"")</f>
        <v/>
      </c>
      <c r="V47" s="8" t="n">
        <f aca="false">SUMIFS('Manish Shilpa'!$E$7:$E$300,'Manish Shilpa'!$B$7:$B$300,$B47)</f>
        <v>0</v>
      </c>
      <c r="W47" s="8" t="n">
        <f aca="false">SUMIFS('Manish Shilpa'!$H$7:$H$300,'Manish Shilpa'!$B$7:$B$300,$B47)</f>
        <v>0</v>
      </c>
      <c r="X47" s="8" t="n">
        <f aca="false">W47-V47</f>
        <v>0</v>
      </c>
      <c r="Y47" s="9" t="str">
        <f aca="false">IF(V47&gt;0,X47/V47,"")</f>
        <v/>
      </c>
      <c r="Z47" s="9" t="n">
        <f aca="false">IF(W$6=0,"",W47/W$6)</f>
        <v>0</v>
      </c>
      <c r="AA47" s="56" t="n">
        <f aca="false">SUMIFS('Saloni Mehra'!$D$7:$D$300,'Saloni Mehra'!$B$7:$B$300,$B47)</f>
        <v>0</v>
      </c>
      <c r="AB47" s="57" t="str">
        <f aca="false">IF(AND(AA47&gt;0,AC47&gt;0),AC47/AA47,"")</f>
        <v/>
      </c>
      <c r="AC47" s="8" t="n">
        <f aca="false">SUMIFS('Saloni Mehra'!$E$7:$E$300,'Saloni Mehra'!$B$7:$B$300,$B47)</f>
        <v>0</v>
      </c>
      <c r="AD47" s="8" t="n">
        <f aca="false">SUMIFS('Saloni Mehra'!$H$7:$H$300,'Saloni Mehra'!$B$7:$B$300,$B47)</f>
        <v>0</v>
      </c>
      <c r="AE47" s="8" t="n">
        <f aca="false">AD47-AC47</f>
        <v>0</v>
      </c>
      <c r="AF47" s="9" t="str">
        <f aca="false">IF(AC47&gt;0,AE47/AC47,"")</f>
        <v/>
      </c>
      <c r="AG47" s="9" t="n">
        <f aca="false">IF(AD$6=0,"",AD47/AD$6)</f>
        <v>0</v>
      </c>
      <c r="AH47" s="56" t="n">
        <f aca="false">SUMIFS('Vidushi Malhotra'!$D$7:$D$300,'Vidushi Malhotra'!$B$7:$B$300,$B47)</f>
        <v>0</v>
      </c>
      <c r="AI47" s="57" t="str">
        <f aca="false">IF(AND(AH47&gt;0,AJ47&gt;0),AJ47/AH47,"")</f>
        <v/>
      </c>
      <c r="AJ47" s="8" t="n">
        <f aca="false">SUMIFS('Vidushi Malhotra'!$E$7:$E$300,'Vidushi Malhotra'!$B$7:$B$300,$B47)</f>
        <v>0</v>
      </c>
      <c r="AK47" s="8" t="n">
        <f aca="false">SUMIFS('Vidushi Malhotra'!$H$7:$H$300,'Vidushi Malhotra'!$B$7:$B$300,$B47)</f>
        <v>0</v>
      </c>
      <c r="AL47" s="8" t="n">
        <f aca="false">AK47-AJ47</f>
        <v>0</v>
      </c>
      <c r="AM47" s="9" t="str">
        <f aca="false">IF(AJ47&gt;0,AL47/AJ47,"")</f>
        <v/>
      </c>
      <c r="AN47" s="9" t="n">
        <f aca="false">IF(AK$6=0,"",AK47/AK$6)</f>
        <v>0</v>
      </c>
      <c r="AO47" s="56" t="n">
        <f aca="false">SUMIFS('Dr Umesh Choudhry'!$D$7:$D$300,'Dr Umesh Choudhry'!$B$7:$B$300,$B47)</f>
        <v>36000</v>
      </c>
      <c r="AP47" s="57" t="n">
        <f aca="false">IF(AND(AO47&gt;0,AQ47&gt;0),AQ47/AO47,"")</f>
        <v>1</v>
      </c>
      <c r="AQ47" s="8" t="n">
        <f aca="false">SUMIFS('Dr Umesh Choudhry'!$E$7:$E$300,'Dr Umesh Choudhry'!$B$7:$B$300,$B47)</f>
        <v>36000</v>
      </c>
      <c r="AR47" s="8" t="n">
        <f aca="false">SUMIFS('Dr Umesh Choudhry'!$H$7:$H$300,'Dr Umesh Choudhry'!$B$7:$B$300,$B47)</f>
        <v>36000</v>
      </c>
      <c r="AS47" s="8" t="n">
        <f aca="false">AR47-AQ47</f>
        <v>0</v>
      </c>
      <c r="AT47" s="9" t="n">
        <f aca="false">IF(AQ47&gt;0,AS47/AQ47,"")</f>
        <v>0</v>
      </c>
      <c r="AU47" s="9" t="n">
        <f aca="false">IF(AR$6=0,"",AR47/AR$6)</f>
        <v>0.00664044580883799</v>
      </c>
      <c r="AV47" s="56" t="n">
        <f aca="false">SUMIFS(DA!$D$7:$D$300,DA!$B$7:$B$300,$B47)</f>
        <v>0</v>
      </c>
      <c r="AW47" s="57" t="str">
        <f aca="false">IF(AND(AV47&gt;0,AX47&gt;0),AX47/AV47,"")</f>
        <v/>
      </c>
      <c r="AX47" s="8" t="n">
        <f aca="false">SUMIFS(DA!$E$7:$E$300,DA!$B$7:$B$300,$B47)</f>
        <v>0</v>
      </c>
      <c r="AY47" s="8" t="n">
        <f aca="false">SUMIFS(DA!$H$7:$H$300,DA!$B$7:$B$300,$B47)</f>
        <v>0</v>
      </c>
      <c r="AZ47" s="8" t="n">
        <f aca="false">AY47-AX47</f>
        <v>0</v>
      </c>
      <c r="BA47" s="9" t="str">
        <f aca="false">IF(AX47&gt;0,AZ47/AX47,"")</f>
        <v/>
      </c>
      <c r="BB47" s="9" t="n">
        <f aca="false">IF(AY$6=0,"",AY47/AY$6)</f>
        <v>0</v>
      </c>
    </row>
    <row r="48" customFormat="false" ht="15" hidden="false" customHeight="false" outlineLevel="0" collapsed="false">
      <c r="A48" s="5" t="n">
        <v>42</v>
      </c>
      <c r="B48" s="47" t="s">
        <v>120</v>
      </c>
      <c r="C48" s="48" t="n">
        <f aca="false">IFERROR(INDEX(Prices!$C$6:$C$300,MATCH($B48,Prices!$A$6:$A$300,0)),"")</f>
        <v>154.93</v>
      </c>
      <c r="D48" s="49" t="str">
        <f aca="false">IFERROR(INDEX(Prices!$D$6:$D$300,MATCH($B48,Prices!$A$6:$A$300,0)),"")</f>
        <v>Close 22.10.2026 (Screener.in)</v>
      </c>
      <c r="E48" s="6" t="n">
        <f aca="false">(M48&gt;0)+(T48&gt;0)+(AA48&gt;0)+(AH48&gt;0)+(AO48&gt;0)+(AV48&gt;0)</f>
        <v>1</v>
      </c>
      <c r="F48" s="50" t="n">
        <f aca="false">M48+T48+AA48+AH48+AO48+AV48</f>
        <v>230</v>
      </c>
      <c r="G48" s="51" t="n">
        <f aca="false">IF(AND(F48&gt;0,H48&gt;0),H48/F48,"")</f>
        <v>280</v>
      </c>
      <c r="H48" s="52" t="n">
        <f aca="false">O48+V48+AC48+AJ48+AQ48+AX48</f>
        <v>64400</v>
      </c>
      <c r="I48" s="53" t="n">
        <f aca="false">P48+W48+AD48+AK48+AR48+AY48</f>
        <v>35633.9</v>
      </c>
      <c r="J48" s="52" t="n">
        <f aca="false">I48-H48</f>
        <v>-28766.1</v>
      </c>
      <c r="K48" s="54" t="n">
        <f aca="false">IF(H48&gt;0,J48/H48,"")</f>
        <v>-0.446678571428571</v>
      </c>
      <c r="L48" s="55" t="n">
        <f aca="false">IF(I$6=0,"",I48/I$6)</f>
        <v>0.000944389403849842</v>
      </c>
      <c r="M48" s="56" t="n">
        <f aca="false">SUMIFS(Gautam!$D$7:$D$300,Gautam!$B$7:$B$300,$B48)</f>
        <v>0</v>
      </c>
      <c r="N48" s="57" t="str">
        <f aca="false">IF(AND(M48&gt;0,O48&gt;0),O48/M48,"")</f>
        <v/>
      </c>
      <c r="O48" s="8" t="n">
        <f aca="false">SUMIFS(Gautam!$E$7:$E$300,Gautam!$B$7:$B$300,$B48)</f>
        <v>0</v>
      </c>
      <c r="P48" s="8" t="n">
        <f aca="false">SUMIFS(Gautam!$H$7:$H$300,Gautam!$B$7:$B$300,$B48)</f>
        <v>0</v>
      </c>
      <c r="Q48" s="8" t="n">
        <f aca="false">P48-O48</f>
        <v>0</v>
      </c>
      <c r="R48" s="9" t="str">
        <f aca="false">IF(O48&gt;0,Q48/O48,"")</f>
        <v/>
      </c>
      <c r="S48" s="9" t="n">
        <f aca="false">IF(P$6=0,"",P48/P$6)</f>
        <v>0</v>
      </c>
      <c r="T48" s="56" t="n">
        <f aca="false">SUMIFS('Manish Shilpa'!$D$7:$D$300,'Manish Shilpa'!$B$7:$B$300,$B48)</f>
        <v>0</v>
      </c>
      <c r="U48" s="57" t="str">
        <f aca="false">IF(AND(T48&gt;0,V48&gt;0),V48/T48,"")</f>
        <v/>
      </c>
      <c r="V48" s="8" t="n">
        <f aca="false">SUMIFS('Manish Shilpa'!$E$7:$E$300,'Manish Shilpa'!$B$7:$B$300,$B48)</f>
        <v>0</v>
      </c>
      <c r="W48" s="8" t="n">
        <f aca="false">SUMIFS('Manish Shilpa'!$H$7:$H$300,'Manish Shilpa'!$B$7:$B$300,$B48)</f>
        <v>0</v>
      </c>
      <c r="X48" s="8" t="n">
        <f aca="false">W48-V48</f>
        <v>0</v>
      </c>
      <c r="Y48" s="9" t="str">
        <f aca="false">IF(V48&gt;0,X48/V48,"")</f>
        <v/>
      </c>
      <c r="Z48" s="9" t="n">
        <f aca="false">IF(W$6=0,"",W48/W$6)</f>
        <v>0</v>
      </c>
      <c r="AA48" s="56" t="n">
        <f aca="false">SUMIFS('Saloni Mehra'!$D$7:$D$300,'Saloni Mehra'!$B$7:$B$300,$B48)</f>
        <v>0</v>
      </c>
      <c r="AB48" s="57" t="str">
        <f aca="false">IF(AND(AA48&gt;0,AC48&gt;0),AC48/AA48,"")</f>
        <v/>
      </c>
      <c r="AC48" s="8" t="n">
        <f aca="false">SUMIFS('Saloni Mehra'!$E$7:$E$300,'Saloni Mehra'!$B$7:$B$300,$B48)</f>
        <v>0</v>
      </c>
      <c r="AD48" s="8" t="n">
        <f aca="false">SUMIFS('Saloni Mehra'!$H$7:$H$300,'Saloni Mehra'!$B$7:$B$300,$B48)</f>
        <v>0</v>
      </c>
      <c r="AE48" s="8" t="n">
        <f aca="false">AD48-AC48</f>
        <v>0</v>
      </c>
      <c r="AF48" s="9" t="str">
        <f aca="false">IF(AC48&gt;0,AE48/AC48,"")</f>
        <v/>
      </c>
      <c r="AG48" s="9" t="n">
        <f aca="false">IF(AD$6=0,"",AD48/AD$6)</f>
        <v>0</v>
      </c>
      <c r="AH48" s="56" t="n">
        <f aca="false">SUMIFS('Vidushi Malhotra'!$D$7:$D$300,'Vidushi Malhotra'!$B$7:$B$300,$B48)</f>
        <v>0</v>
      </c>
      <c r="AI48" s="57" t="str">
        <f aca="false">IF(AND(AH48&gt;0,AJ48&gt;0),AJ48/AH48,"")</f>
        <v/>
      </c>
      <c r="AJ48" s="8" t="n">
        <f aca="false">SUMIFS('Vidushi Malhotra'!$E$7:$E$300,'Vidushi Malhotra'!$B$7:$B$300,$B48)</f>
        <v>0</v>
      </c>
      <c r="AK48" s="8" t="n">
        <f aca="false">SUMIFS('Vidushi Malhotra'!$H$7:$H$300,'Vidushi Malhotra'!$B$7:$B$300,$B48)</f>
        <v>0</v>
      </c>
      <c r="AL48" s="8" t="n">
        <f aca="false">AK48-AJ48</f>
        <v>0</v>
      </c>
      <c r="AM48" s="9" t="str">
        <f aca="false">IF(AJ48&gt;0,AL48/AJ48,"")</f>
        <v/>
      </c>
      <c r="AN48" s="9" t="n">
        <f aca="false">IF(AK$6=0,"",AK48/AK$6)</f>
        <v>0</v>
      </c>
      <c r="AO48" s="56" t="n">
        <f aca="false">SUMIFS('Dr Umesh Choudhry'!$D$7:$D$300,'Dr Umesh Choudhry'!$B$7:$B$300,$B48)</f>
        <v>0</v>
      </c>
      <c r="AP48" s="57" t="str">
        <f aca="false">IF(AND(AO48&gt;0,AQ48&gt;0),AQ48/AO48,"")</f>
        <v/>
      </c>
      <c r="AQ48" s="8" t="n">
        <f aca="false">SUMIFS('Dr Umesh Choudhry'!$E$7:$E$300,'Dr Umesh Choudhry'!$B$7:$B$300,$B48)</f>
        <v>0</v>
      </c>
      <c r="AR48" s="8" t="n">
        <f aca="false">SUMIFS('Dr Umesh Choudhry'!$H$7:$H$300,'Dr Umesh Choudhry'!$B$7:$B$300,$B48)</f>
        <v>0</v>
      </c>
      <c r="AS48" s="8" t="n">
        <f aca="false">AR48-AQ48</f>
        <v>0</v>
      </c>
      <c r="AT48" s="9" t="str">
        <f aca="false">IF(AQ48&gt;0,AS48/AQ48,"")</f>
        <v/>
      </c>
      <c r="AU48" s="9" t="n">
        <f aca="false">IF(AR$6=0,"",AR48/AR$6)</f>
        <v>0</v>
      </c>
      <c r="AV48" s="56" t="n">
        <f aca="false">SUMIFS(DA!$D$7:$D$300,DA!$B$7:$B$300,$B48)</f>
        <v>230</v>
      </c>
      <c r="AW48" s="57" t="n">
        <f aca="false">IF(AND(AV48&gt;0,AX48&gt;0),AX48/AV48,"")</f>
        <v>280</v>
      </c>
      <c r="AX48" s="8" t="n">
        <f aca="false">SUMIFS(DA!$E$7:$E$300,DA!$B$7:$B$300,$B48)</f>
        <v>64400</v>
      </c>
      <c r="AY48" s="8" t="n">
        <f aca="false">SUMIFS(DA!$H$7:$H$300,DA!$B$7:$B$300,$B48)</f>
        <v>35633.9</v>
      </c>
      <c r="AZ48" s="8" t="n">
        <f aca="false">AY48-AX48</f>
        <v>-28766.1</v>
      </c>
      <c r="BA48" s="9" t="n">
        <f aca="false">IF(AX48&gt;0,AZ48/AX48,"")</f>
        <v>-0.446678571428571</v>
      </c>
      <c r="BB48" s="9" t="n">
        <f aca="false">IF(AY$6=0,"",AY48/AY$6)</f>
        <v>0.00921722736859236</v>
      </c>
    </row>
    <row r="49" customFormat="false" ht="15" hidden="false" customHeight="false" outlineLevel="0" collapsed="false">
      <c r="A49" s="5" t="n">
        <v>43</v>
      </c>
      <c r="B49" s="47" t="s">
        <v>121</v>
      </c>
      <c r="C49" s="48" t="n">
        <f aca="false">IFERROR(INDEX(Prices!$C$6:$C$300,MATCH($B49,Prices!$A$6:$A$300,0)),"")</f>
        <v>860.2</v>
      </c>
      <c r="D49" s="49" t="str">
        <f aca="false">IFERROR(INDEX(Prices!$D$6:$D$300,MATCH($B49,Prices!$A$6:$A$300,0)),"")</f>
        <v>Close 22.10.2026 (Screener.in)</v>
      </c>
      <c r="E49" s="6" t="n">
        <f aca="false">(M49&gt;0)+(T49&gt;0)+(AA49&gt;0)+(AH49&gt;0)+(AO49&gt;0)+(AV49&gt;0)</f>
        <v>1</v>
      </c>
      <c r="F49" s="50" t="n">
        <f aca="false">M49+T49+AA49+AH49+AO49+AV49</f>
        <v>40</v>
      </c>
      <c r="G49" s="51" t="n">
        <f aca="false">IF(AND(F49&gt;0,H49&gt;0),H49/F49,"")</f>
        <v>1038</v>
      </c>
      <c r="H49" s="52" t="n">
        <f aca="false">O49+V49+AC49+AJ49+AQ49+AX49</f>
        <v>41520</v>
      </c>
      <c r="I49" s="53" t="n">
        <f aca="false">P49+W49+AD49+AK49+AR49+AY49</f>
        <v>34408</v>
      </c>
      <c r="J49" s="52" t="n">
        <f aca="false">I49-H49</f>
        <v>-7112</v>
      </c>
      <c r="K49" s="54" t="n">
        <f aca="false">IF(H49&gt;0,J49/H49,"")</f>
        <v>-0.171290944123314</v>
      </c>
      <c r="L49" s="55" t="n">
        <f aca="false">IF(I$6=0,"",I49/I$6)</f>
        <v>0.000911899921357622</v>
      </c>
      <c r="M49" s="56" t="n">
        <f aca="false">SUMIFS(Gautam!$D$7:$D$300,Gautam!$B$7:$B$300,$B49)</f>
        <v>0</v>
      </c>
      <c r="N49" s="57" t="str">
        <f aca="false">IF(AND(M49&gt;0,O49&gt;0),O49/M49,"")</f>
        <v/>
      </c>
      <c r="O49" s="8" t="n">
        <f aca="false">SUMIFS(Gautam!$E$7:$E$300,Gautam!$B$7:$B$300,$B49)</f>
        <v>0</v>
      </c>
      <c r="P49" s="8" t="n">
        <f aca="false">SUMIFS(Gautam!$H$7:$H$300,Gautam!$B$7:$B$300,$B49)</f>
        <v>0</v>
      </c>
      <c r="Q49" s="8" t="n">
        <f aca="false">P49-O49</f>
        <v>0</v>
      </c>
      <c r="R49" s="9" t="str">
        <f aca="false">IF(O49&gt;0,Q49/O49,"")</f>
        <v/>
      </c>
      <c r="S49" s="9" t="n">
        <f aca="false">IF(P$6=0,"",P49/P$6)</f>
        <v>0</v>
      </c>
      <c r="T49" s="56" t="n">
        <f aca="false">SUMIFS('Manish Shilpa'!$D$7:$D$300,'Manish Shilpa'!$B$7:$B$300,$B49)</f>
        <v>0</v>
      </c>
      <c r="U49" s="57" t="str">
        <f aca="false">IF(AND(T49&gt;0,V49&gt;0),V49/T49,"")</f>
        <v/>
      </c>
      <c r="V49" s="8" t="n">
        <f aca="false">SUMIFS('Manish Shilpa'!$E$7:$E$300,'Manish Shilpa'!$B$7:$B$300,$B49)</f>
        <v>0</v>
      </c>
      <c r="W49" s="8" t="n">
        <f aca="false">SUMIFS('Manish Shilpa'!$H$7:$H$300,'Manish Shilpa'!$B$7:$B$300,$B49)</f>
        <v>0</v>
      </c>
      <c r="X49" s="8" t="n">
        <f aca="false">W49-V49</f>
        <v>0</v>
      </c>
      <c r="Y49" s="9" t="str">
        <f aca="false">IF(V49&gt;0,X49/V49,"")</f>
        <v/>
      </c>
      <c r="Z49" s="9" t="n">
        <f aca="false">IF(W$6=0,"",W49/W$6)</f>
        <v>0</v>
      </c>
      <c r="AA49" s="56" t="n">
        <f aca="false">SUMIFS('Saloni Mehra'!$D$7:$D$300,'Saloni Mehra'!$B$7:$B$300,$B49)</f>
        <v>0</v>
      </c>
      <c r="AB49" s="57" t="str">
        <f aca="false">IF(AND(AA49&gt;0,AC49&gt;0),AC49/AA49,"")</f>
        <v/>
      </c>
      <c r="AC49" s="8" t="n">
        <f aca="false">SUMIFS('Saloni Mehra'!$E$7:$E$300,'Saloni Mehra'!$B$7:$B$300,$B49)</f>
        <v>0</v>
      </c>
      <c r="AD49" s="8" t="n">
        <f aca="false">SUMIFS('Saloni Mehra'!$H$7:$H$300,'Saloni Mehra'!$B$7:$B$300,$B49)</f>
        <v>0</v>
      </c>
      <c r="AE49" s="8" t="n">
        <f aca="false">AD49-AC49</f>
        <v>0</v>
      </c>
      <c r="AF49" s="9" t="str">
        <f aca="false">IF(AC49&gt;0,AE49/AC49,"")</f>
        <v/>
      </c>
      <c r="AG49" s="9" t="n">
        <f aca="false">IF(AD$6=0,"",AD49/AD$6)</f>
        <v>0</v>
      </c>
      <c r="AH49" s="56" t="n">
        <f aca="false">SUMIFS('Vidushi Malhotra'!$D$7:$D$300,'Vidushi Malhotra'!$B$7:$B$300,$B49)</f>
        <v>0</v>
      </c>
      <c r="AI49" s="57" t="str">
        <f aca="false">IF(AND(AH49&gt;0,AJ49&gt;0),AJ49/AH49,"")</f>
        <v/>
      </c>
      <c r="AJ49" s="8" t="n">
        <f aca="false">SUMIFS('Vidushi Malhotra'!$E$7:$E$300,'Vidushi Malhotra'!$B$7:$B$300,$B49)</f>
        <v>0</v>
      </c>
      <c r="AK49" s="8" t="n">
        <f aca="false">SUMIFS('Vidushi Malhotra'!$H$7:$H$300,'Vidushi Malhotra'!$B$7:$B$300,$B49)</f>
        <v>0</v>
      </c>
      <c r="AL49" s="8" t="n">
        <f aca="false">AK49-AJ49</f>
        <v>0</v>
      </c>
      <c r="AM49" s="9" t="str">
        <f aca="false">IF(AJ49&gt;0,AL49/AJ49,"")</f>
        <v/>
      </c>
      <c r="AN49" s="9" t="n">
        <f aca="false">IF(AK$6=0,"",AK49/AK$6)</f>
        <v>0</v>
      </c>
      <c r="AO49" s="56" t="n">
        <f aca="false">SUMIFS('Dr Umesh Choudhry'!$D$7:$D$300,'Dr Umesh Choudhry'!$B$7:$B$300,$B49)</f>
        <v>0</v>
      </c>
      <c r="AP49" s="57" t="str">
        <f aca="false">IF(AND(AO49&gt;0,AQ49&gt;0),AQ49/AO49,"")</f>
        <v/>
      </c>
      <c r="AQ49" s="8" t="n">
        <f aca="false">SUMIFS('Dr Umesh Choudhry'!$E$7:$E$300,'Dr Umesh Choudhry'!$B$7:$B$300,$B49)</f>
        <v>0</v>
      </c>
      <c r="AR49" s="8" t="n">
        <f aca="false">SUMIFS('Dr Umesh Choudhry'!$H$7:$H$300,'Dr Umesh Choudhry'!$B$7:$B$300,$B49)</f>
        <v>0</v>
      </c>
      <c r="AS49" s="8" t="n">
        <f aca="false">AR49-AQ49</f>
        <v>0</v>
      </c>
      <c r="AT49" s="9" t="str">
        <f aca="false">IF(AQ49&gt;0,AS49/AQ49,"")</f>
        <v/>
      </c>
      <c r="AU49" s="9" t="n">
        <f aca="false">IF(AR$6=0,"",AR49/AR$6)</f>
        <v>0</v>
      </c>
      <c r="AV49" s="56" t="n">
        <f aca="false">SUMIFS(DA!$D$7:$D$300,DA!$B$7:$B$300,$B49)</f>
        <v>40</v>
      </c>
      <c r="AW49" s="57" t="n">
        <f aca="false">IF(AND(AV49&gt;0,AX49&gt;0),AX49/AV49,"")</f>
        <v>1038</v>
      </c>
      <c r="AX49" s="8" t="n">
        <f aca="false">SUMIFS(DA!$E$7:$E$300,DA!$B$7:$B$300,$B49)</f>
        <v>41520</v>
      </c>
      <c r="AY49" s="8" t="n">
        <f aca="false">SUMIFS(DA!$H$7:$H$300,DA!$B$7:$B$300,$B49)</f>
        <v>34408</v>
      </c>
      <c r="AZ49" s="8" t="n">
        <f aca="false">AY49-AX49</f>
        <v>-7112</v>
      </c>
      <c r="BA49" s="9" t="n">
        <f aca="false">IF(AX49&gt;0,AZ49/AX49,"")</f>
        <v>-0.171290944123314</v>
      </c>
      <c r="BB49" s="9" t="n">
        <f aca="false">IF(AY$6=0,"",AY49/AY$6)</f>
        <v>0.00890013047402967</v>
      </c>
    </row>
    <row r="50" customFormat="false" ht="15" hidden="false" customHeight="false" outlineLevel="0" collapsed="false">
      <c r="A50" s="5" t="n">
        <v>44</v>
      </c>
      <c r="B50" s="47" t="s">
        <v>122</v>
      </c>
      <c r="C50" s="48" t="n">
        <f aca="false">IFERROR(INDEX(Prices!$C$6:$C$300,MATCH($B50,Prices!$A$6:$A$300,0)),"")</f>
        <v>490.05</v>
      </c>
      <c r="D50" s="49" t="str">
        <f aca="false">IFERROR(INDEX(Prices!$D$6:$D$300,MATCH($B50,Prices!$A$6:$A$300,0)),"")</f>
        <v>Close 22.10.2026 (Screener.in)</v>
      </c>
      <c r="E50" s="6" t="n">
        <f aca="false">(M50&gt;0)+(T50&gt;0)+(AA50&gt;0)+(AH50&gt;0)+(AO50&gt;0)+(AV50&gt;0)</f>
        <v>1</v>
      </c>
      <c r="F50" s="50" t="n">
        <f aca="false">M50+T50+AA50+AH50+AO50+AV50</f>
        <v>66</v>
      </c>
      <c r="G50" s="51" t="n">
        <f aca="false">IF(AND(F50&gt;0,H50&gt;0),H50/F50,"")</f>
        <v>658</v>
      </c>
      <c r="H50" s="52" t="n">
        <f aca="false">O50+V50+AC50+AJ50+AQ50+AX50</f>
        <v>43428</v>
      </c>
      <c r="I50" s="53" t="n">
        <f aca="false">P50+W50+AD50+AK50+AR50+AY50</f>
        <v>32343.3</v>
      </c>
      <c r="J50" s="52" t="n">
        <f aca="false">I50-H50</f>
        <v>-11084.7</v>
      </c>
      <c r="K50" s="54" t="n">
        <f aca="false">IF(H50&gt;0,J50/H50,"")</f>
        <v>-0.255243161094225</v>
      </c>
      <c r="L50" s="55" t="n">
        <f aca="false">IF(I$6=0,"",I50/I$6)</f>
        <v>0.000857180095514007</v>
      </c>
      <c r="M50" s="56" t="n">
        <f aca="false">SUMIFS(Gautam!$D$7:$D$300,Gautam!$B$7:$B$300,$B50)</f>
        <v>0</v>
      </c>
      <c r="N50" s="57" t="str">
        <f aca="false">IF(AND(M50&gt;0,O50&gt;0),O50/M50,"")</f>
        <v/>
      </c>
      <c r="O50" s="8" t="n">
        <f aca="false">SUMIFS(Gautam!$E$7:$E$300,Gautam!$B$7:$B$300,$B50)</f>
        <v>0</v>
      </c>
      <c r="P50" s="8" t="n">
        <f aca="false">SUMIFS(Gautam!$H$7:$H$300,Gautam!$B$7:$B$300,$B50)</f>
        <v>0</v>
      </c>
      <c r="Q50" s="8" t="n">
        <f aca="false">P50-O50</f>
        <v>0</v>
      </c>
      <c r="R50" s="9" t="str">
        <f aca="false">IF(O50&gt;0,Q50/O50,"")</f>
        <v/>
      </c>
      <c r="S50" s="9" t="n">
        <f aca="false">IF(P$6=0,"",P50/P$6)</f>
        <v>0</v>
      </c>
      <c r="T50" s="56" t="n">
        <f aca="false">SUMIFS('Manish Shilpa'!$D$7:$D$300,'Manish Shilpa'!$B$7:$B$300,$B50)</f>
        <v>0</v>
      </c>
      <c r="U50" s="57" t="str">
        <f aca="false">IF(AND(T50&gt;0,V50&gt;0),V50/T50,"")</f>
        <v/>
      </c>
      <c r="V50" s="8" t="n">
        <f aca="false">SUMIFS('Manish Shilpa'!$E$7:$E$300,'Manish Shilpa'!$B$7:$B$300,$B50)</f>
        <v>0</v>
      </c>
      <c r="W50" s="8" t="n">
        <f aca="false">SUMIFS('Manish Shilpa'!$H$7:$H$300,'Manish Shilpa'!$B$7:$B$300,$B50)</f>
        <v>0</v>
      </c>
      <c r="X50" s="8" t="n">
        <f aca="false">W50-V50</f>
        <v>0</v>
      </c>
      <c r="Y50" s="9" t="str">
        <f aca="false">IF(V50&gt;0,X50/V50,"")</f>
        <v/>
      </c>
      <c r="Z50" s="9" t="n">
        <f aca="false">IF(W$6=0,"",W50/W$6)</f>
        <v>0</v>
      </c>
      <c r="AA50" s="56" t="n">
        <f aca="false">SUMIFS('Saloni Mehra'!$D$7:$D$300,'Saloni Mehra'!$B$7:$B$300,$B50)</f>
        <v>0</v>
      </c>
      <c r="AB50" s="57" t="str">
        <f aca="false">IF(AND(AA50&gt;0,AC50&gt;0),AC50/AA50,"")</f>
        <v/>
      </c>
      <c r="AC50" s="8" t="n">
        <f aca="false">SUMIFS('Saloni Mehra'!$E$7:$E$300,'Saloni Mehra'!$B$7:$B$300,$B50)</f>
        <v>0</v>
      </c>
      <c r="AD50" s="8" t="n">
        <f aca="false">SUMIFS('Saloni Mehra'!$H$7:$H$300,'Saloni Mehra'!$B$7:$B$300,$B50)</f>
        <v>0</v>
      </c>
      <c r="AE50" s="8" t="n">
        <f aca="false">AD50-AC50</f>
        <v>0</v>
      </c>
      <c r="AF50" s="9" t="str">
        <f aca="false">IF(AC50&gt;0,AE50/AC50,"")</f>
        <v/>
      </c>
      <c r="AG50" s="9" t="n">
        <f aca="false">IF(AD$6=0,"",AD50/AD$6)</f>
        <v>0</v>
      </c>
      <c r="AH50" s="56" t="n">
        <f aca="false">SUMIFS('Vidushi Malhotra'!$D$7:$D$300,'Vidushi Malhotra'!$B$7:$B$300,$B50)</f>
        <v>0</v>
      </c>
      <c r="AI50" s="57" t="str">
        <f aca="false">IF(AND(AH50&gt;0,AJ50&gt;0),AJ50/AH50,"")</f>
        <v/>
      </c>
      <c r="AJ50" s="8" t="n">
        <f aca="false">SUMIFS('Vidushi Malhotra'!$E$7:$E$300,'Vidushi Malhotra'!$B$7:$B$300,$B50)</f>
        <v>0</v>
      </c>
      <c r="AK50" s="8" t="n">
        <f aca="false">SUMIFS('Vidushi Malhotra'!$H$7:$H$300,'Vidushi Malhotra'!$B$7:$B$300,$B50)</f>
        <v>0</v>
      </c>
      <c r="AL50" s="8" t="n">
        <f aca="false">AK50-AJ50</f>
        <v>0</v>
      </c>
      <c r="AM50" s="9" t="str">
        <f aca="false">IF(AJ50&gt;0,AL50/AJ50,"")</f>
        <v/>
      </c>
      <c r="AN50" s="9" t="n">
        <f aca="false">IF(AK$6=0,"",AK50/AK$6)</f>
        <v>0</v>
      </c>
      <c r="AO50" s="56" t="n">
        <f aca="false">SUMIFS('Dr Umesh Choudhry'!$D$7:$D$300,'Dr Umesh Choudhry'!$B$7:$B$300,$B50)</f>
        <v>0</v>
      </c>
      <c r="AP50" s="57" t="str">
        <f aca="false">IF(AND(AO50&gt;0,AQ50&gt;0),AQ50/AO50,"")</f>
        <v/>
      </c>
      <c r="AQ50" s="8" t="n">
        <f aca="false">SUMIFS('Dr Umesh Choudhry'!$E$7:$E$300,'Dr Umesh Choudhry'!$B$7:$B$300,$B50)</f>
        <v>0</v>
      </c>
      <c r="AR50" s="8" t="n">
        <f aca="false">SUMIFS('Dr Umesh Choudhry'!$H$7:$H$300,'Dr Umesh Choudhry'!$B$7:$B$300,$B50)</f>
        <v>0</v>
      </c>
      <c r="AS50" s="8" t="n">
        <f aca="false">AR50-AQ50</f>
        <v>0</v>
      </c>
      <c r="AT50" s="9" t="str">
        <f aca="false">IF(AQ50&gt;0,AS50/AQ50,"")</f>
        <v/>
      </c>
      <c r="AU50" s="9" t="n">
        <f aca="false">IF(AR$6=0,"",AR50/AR$6)</f>
        <v>0</v>
      </c>
      <c r="AV50" s="56" t="n">
        <f aca="false">SUMIFS(DA!$D$7:$D$300,DA!$B$7:$B$300,$B50)</f>
        <v>66</v>
      </c>
      <c r="AW50" s="57" t="n">
        <f aca="false">IF(AND(AV50&gt;0,AX50&gt;0),AX50/AV50,"")</f>
        <v>658</v>
      </c>
      <c r="AX50" s="8" t="n">
        <f aca="false">SUMIFS(DA!$E$7:$E$300,DA!$B$7:$B$300,$B50)</f>
        <v>43428</v>
      </c>
      <c r="AY50" s="8" t="n">
        <f aca="false">SUMIFS(DA!$H$7:$H$300,DA!$B$7:$B$300,$B50)</f>
        <v>32343.3</v>
      </c>
      <c r="AZ50" s="8" t="n">
        <f aca="false">AY50-AX50</f>
        <v>-11084.7</v>
      </c>
      <c r="BA50" s="9" t="n">
        <f aca="false">IF(AX50&gt;0,AZ50/AX50,"")</f>
        <v>-0.255243161094225</v>
      </c>
      <c r="BB50" s="9" t="n">
        <f aca="false">IF(AY$6=0,"",AY50/AY$6)</f>
        <v>0.00836606573938281</v>
      </c>
    </row>
    <row r="51" customFormat="false" ht="15" hidden="false" customHeight="false" outlineLevel="0" collapsed="false">
      <c r="A51" s="5" t="n">
        <v>45</v>
      </c>
      <c r="B51" s="47" t="s">
        <v>123</v>
      </c>
      <c r="C51" s="48" t="n">
        <f aca="false">IFERROR(INDEX(Prices!$C$6:$C$300,MATCH($B51,Prices!$A$6:$A$300,0)),"")</f>
        <v>169.62</v>
      </c>
      <c r="D51" s="49" t="str">
        <f aca="false">IFERROR(INDEX(Prices!$D$6:$D$300,MATCH($B51,Prices!$A$6:$A$300,0)),"")</f>
        <v>Close 22.10.2026 (Screener.in)</v>
      </c>
      <c r="E51" s="6" t="n">
        <f aca="false">(M51&gt;0)+(T51&gt;0)+(AA51&gt;0)+(AH51&gt;0)+(AO51&gt;0)+(AV51&gt;0)</f>
        <v>1</v>
      </c>
      <c r="F51" s="50" t="n">
        <f aca="false">M51+T51+AA51+AH51+AO51+AV51</f>
        <v>187</v>
      </c>
      <c r="G51" s="51" t="n">
        <f aca="false">IF(AND(F51&gt;0,H51&gt;0),H51/F51,"")</f>
        <v>224</v>
      </c>
      <c r="H51" s="52" t="n">
        <f aca="false">O51+V51+AC51+AJ51+AQ51+AX51</f>
        <v>41888</v>
      </c>
      <c r="I51" s="53" t="n">
        <f aca="false">P51+W51+AD51+AK51+AR51+AY51</f>
        <v>31718.94</v>
      </c>
      <c r="J51" s="52" t="n">
        <f aca="false">I51-H51</f>
        <v>-10169.06</v>
      </c>
      <c r="K51" s="54" t="n">
        <f aca="false">IF(H51&gt;0,J51/H51,"")</f>
        <v>-0.242767857142857</v>
      </c>
      <c r="L51" s="55" t="n">
        <f aca="false">IF(I$6=0,"",I51/I$6)</f>
        <v>0.00084063296011239</v>
      </c>
      <c r="M51" s="56" t="n">
        <f aca="false">SUMIFS(Gautam!$D$7:$D$300,Gautam!$B$7:$B$300,$B51)</f>
        <v>0</v>
      </c>
      <c r="N51" s="57" t="str">
        <f aca="false">IF(AND(M51&gt;0,O51&gt;0),O51/M51,"")</f>
        <v/>
      </c>
      <c r="O51" s="8" t="n">
        <f aca="false">SUMIFS(Gautam!$E$7:$E$300,Gautam!$B$7:$B$300,$B51)</f>
        <v>0</v>
      </c>
      <c r="P51" s="8" t="n">
        <f aca="false">SUMIFS(Gautam!$H$7:$H$300,Gautam!$B$7:$B$300,$B51)</f>
        <v>0</v>
      </c>
      <c r="Q51" s="8" t="n">
        <f aca="false">P51-O51</f>
        <v>0</v>
      </c>
      <c r="R51" s="9" t="str">
        <f aca="false">IF(O51&gt;0,Q51/O51,"")</f>
        <v/>
      </c>
      <c r="S51" s="9" t="n">
        <f aca="false">IF(P$6=0,"",P51/P$6)</f>
        <v>0</v>
      </c>
      <c r="T51" s="56" t="n">
        <f aca="false">SUMIFS('Manish Shilpa'!$D$7:$D$300,'Manish Shilpa'!$B$7:$B$300,$B51)</f>
        <v>0</v>
      </c>
      <c r="U51" s="57" t="str">
        <f aca="false">IF(AND(T51&gt;0,V51&gt;0),V51/T51,"")</f>
        <v/>
      </c>
      <c r="V51" s="8" t="n">
        <f aca="false">SUMIFS('Manish Shilpa'!$E$7:$E$300,'Manish Shilpa'!$B$7:$B$300,$B51)</f>
        <v>0</v>
      </c>
      <c r="W51" s="8" t="n">
        <f aca="false">SUMIFS('Manish Shilpa'!$H$7:$H$300,'Manish Shilpa'!$B$7:$B$300,$B51)</f>
        <v>0</v>
      </c>
      <c r="X51" s="8" t="n">
        <f aca="false">W51-V51</f>
        <v>0</v>
      </c>
      <c r="Y51" s="9" t="str">
        <f aca="false">IF(V51&gt;0,X51/V51,"")</f>
        <v/>
      </c>
      <c r="Z51" s="9" t="n">
        <f aca="false">IF(W$6=0,"",W51/W$6)</f>
        <v>0</v>
      </c>
      <c r="AA51" s="56" t="n">
        <f aca="false">SUMIFS('Saloni Mehra'!$D$7:$D$300,'Saloni Mehra'!$B$7:$B$300,$B51)</f>
        <v>0</v>
      </c>
      <c r="AB51" s="57" t="str">
        <f aca="false">IF(AND(AA51&gt;0,AC51&gt;0),AC51/AA51,"")</f>
        <v/>
      </c>
      <c r="AC51" s="8" t="n">
        <f aca="false">SUMIFS('Saloni Mehra'!$E$7:$E$300,'Saloni Mehra'!$B$7:$B$300,$B51)</f>
        <v>0</v>
      </c>
      <c r="AD51" s="8" t="n">
        <f aca="false">SUMIFS('Saloni Mehra'!$H$7:$H$300,'Saloni Mehra'!$B$7:$B$300,$B51)</f>
        <v>0</v>
      </c>
      <c r="AE51" s="8" t="n">
        <f aca="false">AD51-AC51</f>
        <v>0</v>
      </c>
      <c r="AF51" s="9" t="str">
        <f aca="false">IF(AC51&gt;0,AE51/AC51,"")</f>
        <v/>
      </c>
      <c r="AG51" s="9" t="n">
        <f aca="false">IF(AD$6=0,"",AD51/AD$6)</f>
        <v>0</v>
      </c>
      <c r="AH51" s="56" t="n">
        <f aca="false">SUMIFS('Vidushi Malhotra'!$D$7:$D$300,'Vidushi Malhotra'!$B$7:$B$300,$B51)</f>
        <v>0</v>
      </c>
      <c r="AI51" s="57" t="str">
        <f aca="false">IF(AND(AH51&gt;0,AJ51&gt;0),AJ51/AH51,"")</f>
        <v/>
      </c>
      <c r="AJ51" s="8" t="n">
        <f aca="false">SUMIFS('Vidushi Malhotra'!$E$7:$E$300,'Vidushi Malhotra'!$B$7:$B$300,$B51)</f>
        <v>0</v>
      </c>
      <c r="AK51" s="8" t="n">
        <f aca="false">SUMIFS('Vidushi Malhotra'!$H$7:$H$300,'Vidushi Malhotra'!$B$7:$B$300,$B51)</f>
        <v>0</v>
      </c>
      <c r="AL51" s="8" t="n">
        <f aca="false">AK51-AJ51</f>
        <v>0</v>
      </c>
      <c r="AM51" s="9" t="str">
        <f aca="false">IF(AJ51&gt;0,AL51/AJ51,"")</f>
        <v/>
      </c>
      <c r="AN51" s="9" t="n">
        <f aca="false">IF(AK$6=0,"",AK51/AK$6)</f>
        <v>0</v>
      </c>
      <c r="AO51" s="56" t="n">
        <f aca="false">SUMIFS('Dr Umesh Choudhry'!$D$7:$D$300,'Dr Umesh Choudhry'!$B$7:$B$300,$B51)</f>
        <v>0</v>
      </c>
      <c r="AP51" s="57" t="str">
        <f aca="false">IF(AND(AO51&gt;0,AQ51&gt;0),AQ51/AO51,"")</f>
        <v/>
      </c>
      <c r="AQ51" s="8" t="n">
        <f aca="false">SUMIFS('Dr Umesh Choudhry'!$E$7:$E$300,'Dr Umesh Choudhry'!$B$7:$B$300,$B51)</f>
        <v>0</v>
      </c>
      <c r="AR51" s="8" t="n">
        <f aca="false">SUMIFS('Dr Umesh Choudhry'!$H$7:$H$300,'Dr Umesh Choudhry'!$B$7:$B$300,$B51)</f>
        <v>0</v>
      </c>
      <c r="AS51" s="8" t="n">
        <f aca="false">AR51-AQ51</f>
        <v>0</v>
      </c>
      <c r="AT51" s="9" t="str">
        <f aca="false">IF(AQ51&gt;0,AS51/AQ51,"")</f>
        <v/>
      </c>
      <c r="AU51" s="9" t="n">
        <f aca="false">IF(AR$6=0,"",AR51/AR$6)</f>
        <v>0</v>
      </c>
      <c r="AV51" s="56" t="n">
        <f aca="false">SUMIFS(DA!$D$7:$D$300,DA!$B$7:$B$300,$B51)</f>
        <v>187</v>
      </c>
      <c r="AW51" s="57" t="n">
        <f aca="false">IF(AND(AV51&gt;0,AX51&gt;0),AX51/AV51,"")</f>
        <v>224</v>
      </c>
      <c r="AX51" s="8" t="n">
        <f aca="false">SUMIFS(DA!$E$7:$E$300,DA!$B$7:$B$300,$B51)</f>
        <v>41888</v>
      </c>
      <c r="AY51" s="8" t="n">
        <f aca="false">SUMIFS(DA!$H$7:$H$300,DA!$B$7:$B$300,$B51)</f>
        <v>31718.94</v>
      </c>
      <c r="AZ51" s="8" t="n">
        <f aca="false">AY51-AX51</f>
        <v>-10169.06</v>
      </c>
      <c r="BA51" s="9" t="n">
        <f aca="false">IF(AX51&gt;0,AZ51/AX51,"")</f>
        <v>-0.242767857142857</v>
      </c>
      <c r="BB51" s="9" t="n">
        <f aca="false">IF(AY$6=0,"",AY51/AY$6)</f>
        <v>0.00820456592937453</v>
      </c>
    </row>
    <row r="52" customFormat="false" ht="15" hidden="false" customHeight="false" outlineLevel="0" collapsed="false">
      <c r="A52" s="5" t="n">
        <v>46</v>
      </c>
      <c r="B52" s="47" t="s">
        <v>124</v>
      </c>
      <c r="C52" s="48" t="n">
        <f aca="false">IFERROR(INDEX(Prices!$C$6:$C$300,MATCH($B52,Prices!$A$6:$A$300,0)),"")</f>
        <v>29.51</v>
      </c>
      <c r="D52" s="49" t="str">
        <f aca="false">IFERROR(INDEX(Prices!$D$6:$D$300,MATCH($B52,Prices!$A$6:$A$300,0)),"")</f>
        <v>Close 22.10.2026 (Screener.in)</v>
      </c>
      <c r="E52" s="6" t="n">
        <f aca="false">(M52&gt;0)+(T52&gt;0)+(AA52&gt;0)+(AH52&gt;0)+(AO52&gt;0)+(AV52&gt;0)</f>
        <v>1</v>
      </c>
      <c r="F52" s="50" t="n">
        <f aca="false">M52+T52+AA52+AH52+AO52+AV52</f>
        <v>1072</v>
      </c>
      <c r="G52" s="51" t="n">
        <f aca="false">IF(AND(F52&gt;0,H52&gt;0),H52/F52,"")</f>
        <v>43</v>
      </c>
      <c r="H52" s="52" t="n">
        <f aca="false">O52+V52+AC52+AJ52+AQ52+AX52</f>
        <v>46096</v>
      </c>
      <c r="I52" s="53" t="n">
        <f aca="false">P52+W52+AD52+AK52+AR52+AY52</f>
        <v>31634.72</v>
      </c>
      <c r="J52" s="52" t="n">
        <f aca="false">I52-H52</f>
        <v>-14461.28</v>
      </c>
      <c r="K52" s="54" t="n">
        <f aca="false">IF(H52&gt;0,J52/H52,"")</f>
        <v>-0.313720930232558</v>
      </c>
      <c r="L52" s="55" t="n">
        <f aca="false">IF(I$6=0,"",I52/I$6)</f>
        <v>0.000838400914908463</v>
      </c>
      <c r="M52" s="56" t="n">
        <f aca="false">SUMIFS(Gautam!$D$7:$D$300,Gautam!$B$7:$B$300,$B52)</f>
        <v>0</v>
      </c>
      <c r="N52" s="57" t="str">
        <f aca="false">IF(AND(M52&gt;0,O52&gt;0),O52/M52,"")</f>
        <v/>
      </c>
      <c r="O52" s="8" t="n">
        <f aca="false">SUMIFS(Gautam!$E$7:$E$300,Gautam!$B$7:$B$300,$B52)</f>
        <v>0</v>
      </c>
      <c r="P52" s="8" t="n">
        <f aca="false">SUMIFS(Gautam!$H$7:$H$300,Gautam!$B$7:$B$300,$B52)</f>
        <v>0</v>
      </c>
      <c r="Q52" s="8" t="n">
        <f aca="false">P52-O52</f>
        <v>0</v>
      </c>
      <c r="R52" s="9" t="str">
        <f aca="false">IF(O52&gt;0,Q52/O52,"")</f>
        <v/>
      </c>
      <c r="S52" s="9" t="n">
        <f aca="false">IF(P$6=0,"",P52/P$6)</f>
        <v>0</v>
      </c>
      <c r="T52" s="56" t="n">
        <f aca="false">SUMIFS('Manish Shilpa'!$D$7:$D$300,'Manish Shilpa'!$B$7:$B$300,$B52)</f>
        <v>0</v>
      </c>
      <c r="U52" s="57" t="str">
        <f aca="false">IF(AND(T52&gt;0,V52&gt;0),V52/T52,"")</f>
        <v/>
      </c>
      <c r="V52" s="8" t="n">
        <f aca="false">SUMIFS('Manish Shilpa'!$E$7:$E$300,'Manish Shilpa'!$B$7:$B$300,$B52)</f>
        <v>0</v>
      </c>
      <c r="W52" s="8" t="n">
        <f aca="false">SUMIFS('Manish Shilpa'!$H$7:$H$300,'Manish Shilpa'!$B$7:$B$300,$B52)</f>
        <v>0</v>
      </c>
      <c r="X52" s="8" t="n">
        <f aca="false">W52-V52</f>
        <v>0</v>
      </c>
      <c r="Y52" s="9" t="str">
        <f aca="false">IF(V52&gt;0,X52/V52,"")</f>
        <v/>
      </c>
      <c r="Z52" s="9" t="n">
        <f aca="false">IF(W$6=0,"",W52/W$6)</f>
        <v>0</v>
      </c>
      <c r="AA52" s="56" t="n">
        <f aca="false">SUMIFS('Saloni Mehra'!$D$7:$D$300,'Saloni Mehra'!$B$7:$B$300,$B52)</f>
        <v>0</v>
      </c>
      <c r="AB52" s="57" t="str">
        <f aca="false">IF(AND(AA52&gt;0,AC52&gt;0),AC52/AA52,"")</f>
        <v/>
      </c>
      <c r="AC52" s="8" t="n">
        <f aca="false">SUMIFS('Saloni Mehra'!$E$7:$E$300,'Saloni Mehra'!$B$7:$B$300,$B52)</f>
        <v>0</v>
      </c>
      <c r="AD52" s="8" t="n">
        <f aca="false">SUMIFS('Saloni Mehra'!$H$7:$H$300,'Saloni Mehra'!$B$7:$B$300,$B52)</f>
        <v>0</v>
      </c>
      <c r="AE52" s="8" t="n">
        <f aca="false">AD52-AC52</f>
        <v>0</v>
      </c>
      <c r="AF52" s="9" t="str">
        <f aca="false">IF(AC52&gt;0,AE52/AC52,"")</f>
        <v/>
      </c>
      <c r="AG52" s="9" t="n">
        <f aca="false">IF(AD$6=0,"",AD52/AD$6)</f>
        <v>0</v>
      </c>
      <c r="AH52" s="56" t="n">
        <f aca="false">SUMIFS('Vidushi Malhotra'!$D$7:$D$300,'Vidushi Malhotra'!$B$7:$B$300,$B52)</f>
        <v>0</v>
      </c>
      <c r="AI52" s="57" t="str">
        <f aca="false">IF(AND(AH52&gt;0,AJ52&gt;0),AJ52/AH52,"")</f>
        <v/>
      </c>
      <c r="AJ52" s="8" t="n">
        <f aca="false">SUMIFS('Vidushi Malhotra'!$E$7:$E$300,'Vidushi Malhotra'!$B$7:$B$300,$B52)</f>
        <v>0</v>
      </c>
      <c r="AK52" s="8" t="n">
        <f aca="false">SUMIFS('Vidushi Malhotra'!$H$7:$H$300,'Vidushi Malhotra'!$B$7:$B$300,$B52)</f>
        <v>0</v>
      </c>
      <c r="AL52" s="8" t="n">
        <f aca="false">AK52-AJ52</f>
        <v>0</v>
      </c>
      <c r="AM52" s="9" t="str">
        <f aca="false">IF(AJ52&gt;0,AL52/AJ52,"")</f>
        <v/>
      </c>
      <c r="AN52" s="9" t="n">
        <f aca="false">IF(AK$6=0,"",AK52/AK$6)</f>
        <v>0</v>
      </c>
      <c r="AO52" s="56" t="n">
        <f aca="false">SUMIFS('Dr Umesh Choudhry'!$D$7:$D$300,'Dr Umesh Choudhry'!$B$7:$B$300,$B52)</f>
        <v>0</v>
      </c>
      <c r="AP52" s="57" t="str">
        <f aca="false">IF(AND(AO52&gt;0,AQ52&gt;0),AQ52/AO52,"")</f>
        <v/>
      </c>
      <c r="AQ52" s="8" t="n">
        <f aca="false">SUMIFS('Dr Umesh Choudhry'!$E$7:$E$300,'Dr Umesh Choudhry'!$B$7:$B$300,$B52)</f>
        <v>0</v>
      </c>
      <c r="AR52" s="8" t="n">
        <f aca="false">SUMIFS('Dr Umesh Choudhry'!$H$7:$H$300,'Dr Umesh Choudhry'!$B$7:$B$300,$B52)</f>
        <v>0</v>
      </c>
      <c r="AS52" s="8" t="n">
        <f aca="false">AR52-AQ52</f>
        <v>0</v>
      </c>
      <c r="AT52" s="9" t="str">
        <f aca="false">IF(AQ52&gt;0,AS52/AQ52,"")</f>
        <v/>
      </c>
      <c r="AU52" s="9" t="n">
        <f aca="false">IF(AR$6=0,"",AR52/AR$6)</f>
        <v>0</v>
      </c>
      <c r="AV52" s="56" t="n">
        <f aca="false">SUMIFS(DA!$D$7:$D$300,DA!$B$7:$B$300,$B52)</f>
        <v>1072</v>
      </c>
      <c r="AW52" s="57" t="n">
        <f aca="false">IF(AND(AV52&gt;0,AX52&gt;0),AX52/AV52,"")</f>
        <v>43</v>
      </c>
      <c r="AX52" s="8" t="n">
        <f aca="false">SUMIFS(DA!$E$7:$E$300,DA!$B$7:$B$300,$B52)</f>
        <v>46096</v>
      </c>
      <c r="AY52" s="8" t="n">
        <f aca="false">SUMIFS(DA!$H$7:$H$300,DA!$B$7:$B$300,$B52)</f>
        <v>31634.72</v>
      </c>
      <c r="AZ52" s="8" t="n">
        <f aca="false">AY52-AX52</f>
        <v>-14461.28</v>
      </c>
      <c r="BA52" s="9" t="n">
        <f aca="false">IF(AX52&gt;0,AZ52/AX52,"")</f>
        <v>-0.313720930232558</v>
      </c>
      <c r="BB52" s="9" t="n">
        <f aca="false">IF(AY$6=0,"",AY52/AY$6)</f>
        <v>0.00818278119941281</v>
      </c>
    </row>
    <row r="53" customFormat="false" ht="15" hidden="false" customHeight="false" outlineLevel="0" collapsed="false">
      <c r="A53" s="5" t="n">
        <v>47</v>
      </c>
      <c r="B53" s="47" t="s">
        <v>125</v>
      </c>
      <c r="C53" s="48" t="n">
        <f aca="false">IFERROR(INDEX(Prices!$C$6:$C$300,MATCH($B53,Prices!$A$6:$A$300,0)),"")</f>
        <v>877.029411764706</v>
      </c>
      <c r="D53" s="49" t="str">
        <f aca="false">IFERROR(INDEX(Prices!$D$6:$D$300,MATCH($B53,Prices!$A$6:$A$300,0)),"")</f>
        <v>Manish Shilpa stmt – live 23.10</v>
      </c>
      <c r="E53" s="6" t="n">
        <f aca="false">(M53&gt;0)+(T53&gt;0)+(AA53&gt;0)+(AH53&gt;0)+(AO53&gt;0)+(AV53&gt;0)</f>
        <v>1</v>
      </c>
      <c r="F53" s="50" t="n">
        <f aca="false">M53+T53+AA53+AH53+AO53+AV53</f>
        <v>34</v>
      </c>
      <c r="G53" s="51" t="n">
        <f aca="false">IF(AND(F53&gt;0,H53&gt;0),H53/F53,"")</f>
        <v>438.911764705882</v>
      </c>
      <c r="H53" s="52" t="n">
        <f aca="false">O53+V53+AC53+AJ53+AQ53+AX53</f>
        <v>14923</v>
      </c>
      <c r="I53" s="53" t="n">
        <f aca="false">P53+W53+AD53+AK53+AR53+AY53</f>
        <v>29819</v>
      </c>
      <c r="J53" s="52" t="n">
        <f aca="false">I53-H53</f>
        <v>14896</v>
      </c>
      <c r="K53" s="54" t="n">
        <f aca="false">IF(H53&gt;0,J53/H53,"")</f>
        <v>0.998190712323259</v>
      </c>
      <c r="L53" s="55" t="n">
        <f aca="false">IF(I$6=0,"",I53/I$6)</f>
        <v>0.000790279695273277</v>
      </c>
      <c r="M53" s="56" t="n">
        <f aca="false">SUMIFS(Gautam!$D$7:$D$300,Gautam!$B$7:$B$300,$B53)</f>
        <v>0</v>
      </c>
      <c r="N53" s="57" t="str">
        <f aca="false">IF(AND(M53&gt;0,O53&gt;0),O53/M53,"")</f>
        <v/>
      </c>
      <c r="O53" s="8" t="n">
        <f aca="false">SUMIFS(Gautam!$E$7:$E$300,Gautam!$B$7:$B$300,$B53)</f>
        <v>0</v>
      </c>
      <c r="P53" s="8" t="n">
        <f aca="false">SUMIFS(Gautam!$H$7:$H$300,Gautam!$B$7:$B$300,$B53)</f>
        <v>0</v>
      </c>
      <c r="Q53" s="8" t="n">
        <f aca="false">P53-O53</f>
        <v>0</v>
      </c>
      <c r="R53" s="9" t="str">
        <f aca="false">IF(O53&gt;0,Q53/O53,"")</f>
        <v/>
      </c>
      <c r="S53" s="9" t="n">
        <f aca="false">IF(P$6=0,"",P53/P$6)</f>
        <v>0</v>
      </c>
      <c r="T53" s="56" t="n">
        <f aca="false">SUMIFS('Manish Shilpa'!$D$7:$D$300,'Manish Shilpa'!$B$7:$B$300,$B53)</f>
        <v>34</v>
      </c>
      <c r="U53" s="57" t="n">
        <f aca="false">IF(AND(T53&gt;0,V53&gt;0),V53/T53,"")</f>
        <v>438.911764705882</v>
      </c>
      <c r="V53" s="8" t="n">
        <f aca="false">SUMIFS('Manish Shilpa'!$E$7:$E$300,'Manish Shilpa'!$B$7:$B$300,$B53)</f>
        <v>14923</v>
      </c>
      <c r="W53" s="8" t="n">
        <f aca="false">SUMIFS('Manish Shilpa'!$H$7:$H$300,'Manish Shilpa'!$B$7:$B$300,$B53)</f>
        <v>29819</v>
      </c>
      <c r="X53" s="8" t="n">
        <f aca="false">W53-V53</f>
        <v>14896</v>
      </c>
      <c r="Y53" s="9" t="n">
        <f aca="false">IF(V53&gt;0,X53/V53,"")</f>
        <v>0.998190712323259</v>
      </c>
      <c r="Z53" s="9" t="n">
        <f aca="false">IF(W$6=0,"",W53/W$6)</f>
        <v>0.00252150050391282</v>
      </c>
      <c r="AA53" s="56" t="n">
        <f aca="false">SUMIFS('Saloni Mehra'!$D$7:$D$300,'Saloni Mehra'!$B$7:$B$300,$B53)</f>
        <v>0</v>
      </c>
      <c r="AB53" s="57" t="str">
        <f aca="false">IF(AND(AA53&gt;0,AC53&gt;0),AC53/AA53,"")</f>
        <v/>
      </c>
      <c r="AC53" s="8" t="n">
        <f aca="false">SUMIFS('Saloni Mehra'!$E$7:$E$300,'Saloni Mehra'!$B$7:$B$300,$B53)</f>
        <v>0</v>
      </c>
      <c r="AD53" s="8" t="n">
        <f aca="false">SUMIFS('Saloni Mehra'!$H$7:$H$300,'Saloni Mehra'!$B$7:$B$300,$B53)</f>
        <v>0</v>
      </c>
      <c r="AE53" s="8" t="n">
        <f aca="false">AD53-AC53</f>
        <v>0</v>
      </c>
      <c r="AF53" s="9" t="str">
        <f aca="false">IF(AC53&gt;0,AE53/AC53,"")</f>
        <v/>
      </c>
      <c r="AG53" s="9" t="n">
        <f aca="false">IF(AD$6=0,"",AD53/AD$6)</f>
        <v>0</v>
      </c>
      <c r="AH53" s="56" t="n">
        <f aca="false">SUMIFS('Vidushi Malhotra'!$D$7:$D$300,'Vidushi Malhotra'!$B$7:$B$300,$B53)</f>
        <v>0</v>
      </c>
      <c r="AI53" s="57" t="str">
        <f aca="false">IF(AND(AH53&gt;0,AJ53&gt;0),AJ53/AH53,"")</f>
        <v/>
      </c>
      <c r="AJ53" s="8" t="n">
        <f aca="false">SUMIFS('Vidushi Malhotra'!$E$7:$E$300,'Vidushi Malhotra'!$B$7:$B$300,$B53)</f>
        <v>0</v>
      </c>
      <c r="AK53" s="8" t="n">
        <f aca="false">SUMIFS('Vidushi Malhotra'!$H$7:$H$300,'Vidushi Malhotra'!$B$7:$B$300,$B53)</f>
        <v>0</v>
      </c>
      <c r="AL53" s="8" t="n">
        <f aca="false">AK53-AJ53</f>
        <v>0</v>
      </c>
      <c r="AM53" s="9" t="str">
        <f aca="false">IF(AJ53&gt;0,AL53/AJ53,"")</f>
        <v/>
      </c>
      <c r="AN53" s="9" t="n">
        <f aca="false">IF(AK$6=0,"",AK53/AK$6)</f>
        <v>0</v>
      </c>
      <c r="AO53" s="56" t="n">
        <f aca="false">SUMIFS('Dr Umesh Choudhry'!$D$7:$D$300,'Dr Umesh Choudhry'!$B$7:$B$300,$B53)</f>
        <v>0</v>
      </c>
      <c r="AP53" s="57" t="str">
        <f aca="false">IF(AND(AO53&gt;0,AQ53&gt;0),AQ53/AO53,"")</f>
        <v/>
      </c>
      <c r="AQ53" s="8" t="n">
        <f aca="false">SUMIFS('Dr Umesh Choudhry'!$E$7:$E$300,'Dr Umesh Choudhry'!$B$7:$B$300,$B53)</f>
        <v>0</v>
      </c>
      <c r="AR53" s="8" t="n">
        <f aca="false">SUMIFS('Dr Umesh Choudhry'!$H$7:$H$300,'Dr Umesh Choudhry'!$B$7:$B$300,$B53)</f>
        <v>0</v>
      </c>
      <c r="AS53" s="8" t="n">
        <f aca="false">AR53-AQ53</f>
        <v>0</v>
      </c>
      <c r="AT53" s="9" t="str">
        <f aca="false">IF(AQ53&gt;0,AS53/AQ53,"")</f>
        <v/>
      </c>
      <c r="AU53" s="9" t="n">
        <f aca="false">IF(AR$6=0,"",AR53/AR$6)</f>
        <v>0</v>
      </c>
      <c r="AV53" s="56" t="n">
        <f aca="false">SUMIFS(DA!$D$7:$D$300,DA!$B$7:$B$300,$B53)</f>
        <v>0</v>
      </c>
      <c r="AW53" s="57" t="str">
        <f aca="false">IF(AND(AV53&gt;0,AX53&gt;0),AX53/AV53,"")</f>
        <v/>
      </c>
      <c r="AX53" s="8" t="n">
        <f aca="false">SUMIFS(DA!$E$7:$E$300,DA!$B$7:$B$300,$B53)</f>
        <v>0</v>
      </c>
      <c r="AY53" s="8" t="n">
        <f aca="false">SUMIFS(DA!$H$7:$H$300,DA!$B$7:$B$300,$B53)</f>
        <v>0</v>
      </c>
      <c r="AZ53" s="8" t="n">
        <f aca="false">AY53-AX53</f>
        <v>0</v>
      </c>
      <c r="BA53" s="9" t="str">
        <f aca="false">IF(AX53&gt;0,AZ53/AX53,"")</f>
        <v/>
      </c>
      <c r="BB53" s="9" t="n">
        <f aca="false">IF(AY$6=0,"",AY53/AY$6)</f>
        <v>0</v>
      </c>
    </row>
    <row r="54" customFormat="false" ht="15" hidden="false" customHeight="false" outlineLevel="0" collapsed="false">
      <c r="A54" s="5" t="n">
        <v>48</v>
      </c>
      <c r="B54" s="47" t="s">
        <v>126</v>
      </c>
      <c r="C54" s="48" t="n">
        <f aca="false">IFERROR(INDEX(Prices!$C$6:$C$300,MATCH($B54,Prices!$A$6:$A$300,0)),"")</f>
        <v>1518.6</v>
      </c>
      <c r="D54" s="49" t="str">
        <f aca="false">IFERROR(INDEX(Prices!$D$6:$D$300,MATCH($B54,Prices!$A$6:$A$300,0)),"")</f>
        <v>Close 22.10.2026 (Screener.in)</v>
      </c>
      <c r="E54" s="6" t="n">
        <f aca="false">(M54&gt;0)+(T54&gt;0)+(AA54&gt;0)+(AH54&gt;0)+(AO54&gt;0)+(AV54&gt;0)</f>
        <v>1</v>
      </c>
      <c r="F54" s="50" t="n">
        <f aca="false">M54+T54+AA54+AH54+AO54+AV54</f>
        <v>19</v>
      </c>
      <c r="G54" s="51" t="n">
        <f aca="false">IF(AND(F54&gt;0,H54&gt;0),H54/F54,"")</f>
        <v>1417</v>
      </c>
      <c r="H54" s="52" t="n">
        <f aca="false">O54+V54+AC54+AJ54+AQ54+AX54</f>
        <v>26923</v>
      </c>
      <c r="I54" s="53" t="n">
        <f aca="false">P54+W54+AD54+AK54+AR54+AY54</f>
        <v>28853.4</v>
      </c>
      <c r="J54" s="52" t="n">
        <f aca="false">I54-H54</f>
        <v>1930.4</v>
      </c>
      <c r="K54" s="54" t="n">
        <f aca="false">IF(H54&gt;0,J54/H54,"")</f>
        <v>0.0717007762879322</v>
      </c>
      <c r="L54" s="55" t="n">
        <f aca="false">IF(I$6=0,"",I54/I$6)</f>
        <v>0.00076468882791502</v>
      </c>
      <c r="M54" s="56" t="n">
        <f aca="false">SUMIFS(Gautam!$D$7:$D$300,Gautam!$B$7:$B$300,$B54)</f>
        <v>0</v>
      </c>
      <c r="N54" s="57" t="str">
        <f aca="false">IF(AND(M54&gt;0,O54&gt;0),O54/M54,"")</f>
        <v/>
      </c>
      <c r="O54" s="8" t="n">
        <f aca="false">SUMIFS(Gautam!$E$7:$E$300,Gautam!$B$7:$B$300,$B54)</f>
        <v>0</v>
      </c>
      <c r="P54" s="8" t="n">
        <f aca="false">SUMIFS(Gautam!$H$7:$H$300,Gautam!$B$7:$B$300,$B54)</f>
        <v>0</v>
      </c>
      <c r="Q54" s="8" t="n">
        <f aca="false">P54-O54</f>
        <v>0</v>
      </c>
      <c r="R54" s="9" t="str">
        <f aca="false">IF(O54&gt;0,Q54/O54,"")</f>
        <v/>
      </c>
      <c r="S54" s="9" t="n">
        <f aca="false">IF(P$6=0,"",P54/P$6)</f>
        <v>0</v>
      </c>
      <c r="T54" s="56" t="n">
        <f aca="false">SUMIFS('Manish Shilpa'!$D$7:$D$300,'Manish Shilpa'!$B$7:$B$300,$B54)</f>
        <v>0</v>
      </c>
      <c r="U54" s="57" t="str">
        <f aca="false">IF(AND(T54&gt;0,V54&gt;0),V54/T54,"")</f>
        <v/>
      </c>
      <c r="V54" s="8" t="n">
        <f aca="false">SUMIFS('Manish Shilpa'!$E$7:$E$300,'Manish Shilpa'!$B$7:$B$300,$B54)</f>
        <v>0</v>
      </c>
      <c r="W54" s="8" t="n">
        <f aca="false">SUMIFS('Manish Shilpa'!$H$7:$H$300,'Manish Shilpa'!$B$7:$B$300,$B54)</f>
        <v>0</v>
      </c>
      <c r="X54" s="8" t="n">
        <f aca="false">W54-V54</f>
        <v>0</v>
      </c>
      <c r="Y54" s="9" t="str">
        <f aca="false">IF(V54&gt;0,X54/V54,"")</f>
        <v/>
      </c>
      <c r="Z54" s="9" t="n">
        <f aca="false">IF(W$6=0,"",W54/W$6)</f>
        <v>0</v>
      </c>
      <c r="AA54" s="56" t="n">
        <f aca="false">SUMIFS('Saloni Mehra'!$D$7:$D$300,'Saloni Mehra'!$B$7:$B$300,$B54)</f>
        <v>0</v>
      </c>
      <c r="AB54" s="57" t="str">
        <f aca="false">IF(AND(AA54&gt;0,AC54&gt;0),AC54/AA54,"")</f>
        <v/>
      </c>
      <c r="AC54" s="8" t="n">
        <f aca="false">SUMIFS('Saloni Mehra'!$E$7:$E$300,'Saloni Mehra'!$B$7:$B$300,$B54)</f>
        <v>0</v>
      </c>
      <c r="AD54" s="8" t="n">
        <f aca="false">SUMIFS('Saloni Mehra'!$H$7:$H$300,'Saloni Mehra'!$B$7:$B$300,$B54)</f>
        <v>0</v>
      </c>
      <c r="AE54" s="8" t="n">
        <f aca="false">AD54-AC54</f>
        <v>0</v>
      </c>
      <c r="AF54" s="9" t="str">
        <f aca="false">IF(AC54&gt;0,AE54/AC54,"")</f>
        <v/>
      </c>
      <c r="AG54" s="9" t="n">
        <f aca="false">IF(AD$6=0,"",AD54/AD$6)</f>
        <v>0</v>
      </c>
      <c r="AH54" s="56" t="n">
        <f aca="false">SUMIFS('Vidushi Malhotra'!$D$7:$D$300,'Vidushi Malhotra'!$B$7:$B$300,$B54)</f>
        <v>0</v>
      </c>
      <c r="AI54" s="57" t="str">
        <f aca="false">IF(AND(AH54&gt;0,AJ54&gt;0),AJ54/AH54,"")</f>
        <v/>
      </c>
      <c r="AJ54" s="8" t="n">
        <f aca="false">SUMIFS('Vidushi Malhotra'!$E$7:$E$300,'Vidushi Malhotra'!$B$7:$B$300,$B54)</f>
        <v>0</v>
      </c>
      <c r="AK54" s="8" t="n">
        <f aca="false">SUMIFS('Vidushi Malhotra'!$H$7:$H$300,'Vidushi Malhotra'!$B$7:$B$300,$B54)</f>
        <v>0</v>
      </c>
      <c r="AL54" s="8" t="n">
        <f aca="false">AK54-AJ54</f>
        <v>0</v>
      </c>
      <c r="AM54" s="9" t="str">
        <f aca="false">IF(AJ54&gt;0,AL54/AJ54,"")</f>
        <v/>
      </c>
      <c r="AN54" s="9" t="n">
        <f aca="false">IF(AK$6=0,"",AK54/AK$6)</f>
        <v>0</v>
      </c>
      <c r="AO54" s="56" t="n">
        <f aca="false">SUMIFS('Dr Umesh Choudhry'!$D$7:$D$300,'Dr Umesh Choudhry'!$B$7:$B$300,$B54)</f>
        <v>0</v>
      </c>
      <c r="AP54" s="57" t="str">
        <f aca="false">IF(AND(AO54&gt;0,AQ54&gt;0),AQ54/AO54,"")</f>
        <v/>
      </c>
      <c r="AQ54" s="8" t="n">
        <f aca="false">SUMIFS('Dr Umesh Choudhry'!$E$7:$E$300,'Dr Umesh Choudhry'!$B$7:$B$300,$B54)</f>
        <v>0</v>
      </c>
      <c r="AR54" s="8" t="n">
        <f aca="false">SUMIFS('Dr Umesh Choudhry'!$H$7:$H$300,'Dr Umesh Choudhry'!$B$7:$B$300,$B54)</f>
        <v>0</v>
      </c>
      <c r="AS54" s="8" t="n">
        <f aca="false">AR54-AQ54</f>
        <v>0</v>
      </c>
      <c r="AT54" s="9" t="str">
        <f aca="false">IF(AQ54&gt;0,AS54/AQ54,"")</f>
        <v/>
      </c>
      <c r="AU54" s="9" t="n">
        <f aca="false">IF(AR$6=0,"",AR54/AR$6)</f>
        <v>0</v>
      </c>
      <c r="AV54" s="56" t="n">
        <f aca="false">SUMIFS(DA!$D$7:$D$300,DA!$B$7:$B$300,$B54)</f>
        <v>19</v>
      </c>
      <c r="AW54" s="57" t="n">
        <f aca="false">IF(AND(AV54&gt;0,AX54&gt;0),AX54/AV54,"")</f>
        <v>1417</v>
      </c>
      <c r="AX54" s="8" t="n">
        <f aca="false">SUMIFS(DA!$E$7:$E$300,DA!$B$7:$B$300,$B54)</f>
        <v>26923</v>
      </c>
      <c r="AY54" s="8" t="n">
        <f aca="false">SUMIFS(DA!$H$7:$H$300,DA!$B$7:$B$300,$B54)</f>
        <v>28853.4</v>
      </c>
      <c r="AZ54" s="8" t="n">
        <f aca="false">AY54-AX54</f>
        <v>1930.4</v>
      </c>
      <c r="BA54" s="9" t="n">
        <f aca="false">IF(AX54&gt;0,AZ54/AX54,"")</f>
        <v>0.0717007762879322</v>
      </c>
      <c r="BB54" s="9" t="n">
        <f aca="false">IF(AY$6=0,"",AY54/AY$6)</f>
        <v>0.00746335226166495</v>
      </c>
    </row>
    <row r="55" customFormat="false" ht="15" hidden="false" customHeight="false" outlineLevel="0" collapsed="false">
      <c r="A55" s="5" t="n">
        <v>49</v>
      </c>
      <c r="B55" s="47" t="s">
        <v>127</v>
      </c>
      <c r="C55" s="48" t="n">
        <f aca="false">IFERROR(INDEX(Prices!$C$6:$C$300,MATCH($B55,Prices!$A$6:$A$300,0)),"")</f>
        <v>218.13</v>
      </c>
      <c r="D55" s="49" t="str">
        <f aca="false">IFERROR(INDEX(Prices!$D$6:$D$300,MATCH($B55,Prices!$A$6:$A$300,0)),"")</f>
        <v>Close 22.10.2026 (Screener.in)</v>
      </c>
      <c r="E55" s="6" t="n">
        <f aca="false">(M55&gt;0)+(T55&gt;0)+(AA55&gt;0)+(AH55&gt;0)+(AO55&gt;0)+(AV55&gt;0)</f>
        <v>1</v>
      </c>
      <c r="F55" s="50" t="n">
        <f aca="false">M55+T55+AA55+AH55+AO55+AV55</f>
        <v>110</v>
      </c>
      <c r="G55" s="51" t="n">
        <f aca="false">IF(AND(F55&gt;0,H55&gt;0),H55/F55,"")</f>
        <v>391</v>
      </c>
      <c r="H55" s="52" t="n">
        <f aca="false">O55+V55+AC55+AJ55+AQ55+AX55</f>
        <v>43010</v>
      </c>
      <c r="I55" s="53" t="n">
        <f aca="false">P55+W55+AD55+AK55+AR55+AY55</f>
        <v>23994.3</v>
      </c>
      <c r="J55" s="52" t="n">
        <f aca="false">I55-H55</f>
        <v>-19015.7</v>
      </c>
      <c r="K55" s="54" t="n">
        <f aca="false">IF(H55&gt;0,J55/H55,"")</f>
        <v>-0.442122762148338</v>
      </c>
      <c r="L55" s="55" t="n">
        <f aca="false">IF(I$6=0,"",I55/I$6)</f>
        <v>0.000635910261655173</v>
      </c>
      <c r="M55" s="56" t="n">
        <f aca="false">SUMIFS(Gautam!$D$7:$D$300,Gautam!$B$7:$B$300,$B55)</f>
        <v>0</v>
      </c>
      <c r="N55" s="57" t="str">
        <f aca="false">IF(AND(M55&gt;0,O55&gt;0),O55/M55,"")</f>
        <v/>
      </c>
      <c r="O55" s="8" t="n">
        <f aca="false">SUMIFS(Gautam!$E$7:$E$300,Gautam!$B$7:$B$300,$B55)</f>
        <v>0</v>
      </c>
      <c r="P55" s="8" t="n">
        <f aca="false">SUMIFS(Gautam!$H$7:$H$300,Gautam!$B$7:$B$300,$B55)</f>
        <v>0</v>
      </c>
      <c r="Q55" s="8" t="n">
        <f aca="false">P55-O55</f>
        <v>0</v>
      </c>
      <c r="R55" s="9" t="str">
        <f aca="false">IF(O55&gt;0,Q55/O55,"")</f>
        <v/>
      </c>
      <c r="S55" s="9" t="n">
        <f aca="false">IF(P$6=0,"",P55/P$6)</f>
        <v>0</v>
      </c>
      <c r="T55" s="56" t="n">
        <f aca="false">SUMIFS('Manish Shilpa'!$D$7:$D$300,'Manish Shilpa'!$B$7:$B$300,$B55)</f>
        <v>0</v>
      </c>
      <c r="U55" s="57" t="str">
        <f aca="false">IF(AND(T55&gt;0,V55&gt;0),V55/T55,"")</f>
        <v/>
      </c>
      <c r="V55" s="8" t="n">
        <f aca="false">SUMIFS('Manish Shilpa'!$E$7:$E$300,'Manish Shilpa'!$B$7:$B$300,$B55)</f>
        <v>0</v>
      </c>
      <c r="W55" s="8" t="n">
        <f aca="false">SUMIFS('Manish Shilpa'!$H$7:$H$300,'Manish Shilpa'!$B$7:$B$300,$B55)</f>
        <v>0</v>
      </c>
      <c r="X55" s="8" t="n">
        <f aca="false">W55-V55</f>
        <v>0</v>
      </c>
      <c r="Y55" s="9" t="str">
        <f aca="false">IF(V55&gt;0,X55/V55,"")</f>
        <v/>
      </c>
      <c r="Z55" s="9" t="n">
        <f aca="false">IF(W$6=0,"",W55/W$6)</f>
        <v>0</v>
      </c>
      <c r="AA55" s="56" t="n">
        <f aca="false">SUMIFS('Saloni Mehra'!$D$7:$D$300,'Saloni Mehra'!$B$7:$B$300,$B55)</f>
        <v>0</v>
      </c>
      <c r="AB55" s="57" t="str">
        <f aca="false">IF(AND(AA55&gt;0,AC55&gt;0),AC55/AA55,"")</f>
        <v/>
      </c>
      <c r="AC55" s="8" t="n">
        <f aca="false">SUMIFS('Saloni Mehra'!$E$7:$E$300,'Saloni Mehra'!$B$7:$B$300,$B55)</f>
        <v>0</v>
      </c>
      <c r="AD55" s="8" t="n">
        <f aca="false">SUMIFS('Saloni Mehra'!$H$7:$H$300,'Saloni Mehra'!$B$7:$B$300,$B55)</f>
        <v>0</v>
      </c>
      <c r="AE55" s="8" t="n">
        <f aca="false">AD55-AC55</f>
        <v>0</v>
      </c>
      <c r="AF55" s="9" t="str">
        <f aca="false">IF(AC55&gt;0,AE55/AC55,"")</f>
        <v/>
      </c>
      <c r="AG55" s="9" t="n">
        <f aca="false">IF(AD$6=0,"",AD55/AD$6)</f>
        <v>0</v>
      </c>
      <c r="AH55" s="56" t="n">
        <f aca="false">SUMIFS('Vidushi Malhotra'!$D$7:$D$300,'Vidushi Malhotra'!$B$7:$B$300,$B55)</f>
        <v>0</v>
      </c>
      <c r="AI55" s="57" t="str">
        <f aca="false">IF(AND(AH55&gt;0,AJ55&gt;0),AJ55/AH55,"")</f>
        <v/>
      </c>
      <c r="AJ55" s="8" t="n">
        <f aca="false">SUMIFS('Vidushi Malhotra'!$E$7:$E$300,'Vidushi Malhotra'!$B$7:$B$300,$B55)</f>
        <v>0</v>
      </c>
      <c r="AK55" s="8" t="n">
        <f aca="false">SUMIFS('Vidushi Malhotra'!$H$7:$H$300,'Vidushi Malhotra'!$B$7:$B$300,$B55)</f>
        <v>0</v>
      </c>
      <c r="AL55" s="8" t="n">
        <f aca="false">AK55-AJ55</f>
        <v>0</v>
      </c>
      <c r="AM55" s="9" t="str">
        <f aca="false">IF(AJ55&gt;0,AL55/AJ55,"")</f>
        <v/>
      </c>
      <c r="AN55" s="9" t="n">
        <f aca="false">IF(AK$6=0,"",AK55/AK$6)</f>
        <v>0</v>
      </c>
      <c r="AO55" s="56" t="n">
        <f aca="false">SUMIFS('Dr Umesh Choudhry'!$D$7:$D$300,'Dr Umesh Choudhry'!$B$7:$B$300,$B55)</f>
        <v>0</v>
      </c>
      <c r="AP55" s="57" t="str">
        <f aca="false">IF(AND(AO55&gt;0,AQ55&gt;0),AQ55/AO55,"")</f>
        <v/>
      </c>
      <c r="AQ55" s="8" t="n">
        <f aca="false">SUMIFS('Dr Umesh Choudhry'!$E$7:$E$300,'Dr Umesh Choudhry'!$B$7:$B$300,$B55)</f>
        <v>0</v>
      </c>
      <c r="AR55" s="8" t="n">
        <f aca="false">SUMIFS('Dr Umesh Choudhry'!$H$7:$H$300,'Dr Umesh Choudhry'!$B$7:$B$300,$B55)</f>
        <v>0</v>
      </c>
      <c r="AS55" s="8" t="n">
        <f aca="false">AR55-AQ55</f>
        <v>0</v>
      </c>
      <c r="AT55" s="9" t="str">
        <f aca="false">IF(AQ55&gt;0,AS55/AQ55,"")</f>
        <v/>
      </c>
      <c r="AU55" s="9" t="n">
        <f aca="false">IF(AR$6=0,"",AR55/AR$6)</f>
        <v>0</v>
      </c>
      <c r="AV55" s="56" t="n">
        <f aca="false">SUMIFS(DA!$D$7:$D$300,DA!$B$7:$B$300,$B55)</f>
        <v>110</v>
      </c>
      <c r="AW55" s="57" t="n">
        <f aca="false">IF(AND(AV55&gt;0,AX55&gt;0),AX55/AV55,"")</f>
        <v>391</v>
      </c>
      <c r="AX55" s="8" t="n">
        <f aca="false">SUMIFS(DA!$E$7:$E$300,DA!$B$7:$B$300,$B55)</f>
        <v>43010</v>
      </c>
      <c r="AY55" s="8" t="n">
        <f aca="false">SUMIFS(DA!$H$7:$H$300,DA!$B$7:$B$300,$B55)</f>
        <v>23994.3</v>
      </c>
      <c r="AZ55" s="8" t="n">
        <f aca="false">AY55-AX55</f>
        <v>-19015.7</v>
      </c>
      <c r="BA55" s="9" t="n">
        <f aca="false">IF(AX55&gt;0,AZ55/AX55,"")</f>
        <v>-0.442122762148338</v>
      </c>
      <c r="BB55" s="9" t="n">
        <f aca="false">IF(AY$6=0,"",AY55/AY$6)</f>
        <v>0.00620647525671385</v>
      </c>
    </row>
    <row r="56" customFormat="false" ht="15" hidden="false" customHeight="false" outlineLevel="0" collapsed="false">
      <c r="A56" s="5" t="n">
        <v>50</v>
      </c>
      <c r="B56" s="47" t="s">
        <v>128</v>
      </c>
      <c r="C56" s="48" t="n">
        <f aca="false">IFERROR(INDEX(Prices!$C$6:$C$300,MATCH($B56,Prices!$A$6:$A$300,0)),"")</f>
        <v>77</v>
      </c>
      <c r="D56" s="49" t="str">
        <f aca="false">IFERROR(INDEX(Prices!$D$6:$D$300,MATCH($B56,Prices!$A$6:$A$300,0)),"")</f>
        <v>Close 22.10.2026 (Screener.in)</v>
      </c>
      <c r="E56" s="6" t="n">
        <f aca="false">(M56&gt;0)+(T56&gt;0)+(AA56&gt;0)+(AH56&gt;0)+(AO56&gt;0)+(AV56&gt;0)</f>
        <v>1</v>
      </c>
      <c r="F56" s="50" t="n">
        <f aca="false">M56+T56+AA56+AH56+AO56+AV56</f>
        <v>302</v>
      </c>
      <c r="G56" s="51" t="n">
        <f aca="false">IF(AND(F56&gt;0,H56&gt;0),H56/F56,"")</f>
        <v>159</v>
      </c>
      <c r="H56" s="52" t="n">
        <f aca="false">O56+V56+AC56+AJ56+AQ56+AX56</f>
        <v>48018</v>
      </c>
      <c r="I56" s="53" t="n">
        <f aca="false">P56+W56+AD56+AK56+AR56+AY56</f>
        <v>23254</v>
      </c>
      <c r="J56" s="52" t="n">
        <f aca="false">I56-H56</f>
        <v>-24764</v>
      </c>
      <c r="K56" s="54" t="n">
        <f aca="false">IF(H56&gt;0,J56/H56,"")</f>
        <v>-0.515723270440252</v>
      </c>
      <c r="L56" s="55" t="n">
        <f aca="false">IF(I$6=0,"",I56/I$6)</f>
        <v>0.000616290419996807</v>
      </c>
      <c r="M56" s="56" t="n">
        <f aca="false">SUMIFS(Gautam!$D$7:$D$300,Gautam!$B$7:$B$300,$B56)</f>
        <v>0</v>
      </c>
      <c r="N56" s="57" t="str">
        <f aca="false">IF(AND(M56&gt;0,O56&gt;0),O56/M56,"")</f>
        <v/>
      </c>
      <c r="O56" s="8" t="n">
        <f aca="false">SUMIFS(Gautam!$E$7:$E$300,Gautam!$B$7:$B$300,$B56)</f>
        <v>0</v>
      </c>
      <c r="P56" s="8" t="n">
        <f aca="false">SUMIFS(Gautam!$H$7:$H$300,Gautam!$B$7:$B$300,$B56)</f>
        <v>0</v>
      </c>
      <c r="Q56" s="8" t="n">
        <f aca="false">P56-O56</f>
        <v>0</v>
      </c>
      <c r="R56" s="9" t="str">
        <f aca="false">IF(O56&gt;0,Q56/O56,"")</f>
        <v/>
      </c>
      <c r="S56" s="9" t="n">
        <f aca="false">IF(P$6=0,"",P56/P$6)</f>
        <v>0</v>
      </c>
      <c r="T56" s="56" t="n">
        <f aca="false">SUMIFS('Manish Shilpa'!$D$7:$D$300,'Manish Shilpa'!$B$7:$B$300,$B56)</f>
        <v>0</v>
      </c>
      <c r="U56" s="57" t="str">
        <f aca="false">IF(AND(T56&gt;0,V56&gt;0),V56/T56,"")</f>
        <v/>
      </c>
      <c r="V56" s="8" t="n">
        <f aca="false">SUMIFS('Manish Shilpa'!$E$7:$E$300,'Manish Shilpa'!$B$7:$B$300,$B56)</f>
        <v>0</v>
      </c>
      <c r="W56" s="8" t="n">
        <f aca="false">SUMIFS('Manish Shilpa'!$H$7:$H$300,'Manish Shilpa'!$B$7:$B$300,$B56)</f>
        <v>0</v>
      </c>
      <c r="X56" s="8" t="n">
        <f aca="false">W56-V56</f>
        <v>0</v>
      </c>
      <c r="Y56" s="9" t="str">
        <f aca="false">IF(V56&gt;0,X56/V56,"")</f>
        <v/>
      </c>
      <c r="Z56" s="9" t="n">
        <f aca="false">IF(W$6=0,"",W56/W$6)</f>
        <v>0</v>
      </c>
      <c r="AA56" s="56" t="n">
        <f aca="false">SUMIFS('Saloni Mehra'!$D$7:$D$300,'Saloni Mehra'!$B$7:$B$300,$B56)</f>
        <v>0</v>
      </c>
      <c r="AB56" s="57" t="str">
        <f aca="false">IF(AND(AA56&gt;0,AC56&gt;0),AC56/AA56,"")</f>
        <v/>
      </c>
      <c r="AC56" s="8" t="n">
        <f aca="false">SUMIFS('Saloni Mehra'!$E$7:$E$300,'Saloni Mehra'!$B$7:$B$300,$B56)</f>
        <v>0</v>
      </c>
      <c r="AD56" s="8" t="n">
        <f aca="false">SUMIFS('Saloni Mehra'!$H$7:$H$300,'Saloni Mehra'!$B$7:$B$300,$B56)</f>
        <v>0</v>
      </c>
      <c r="AE56" s="8" t="n">
        <f aca="false">AD56-AC56</f>
        <v>0</v>
      </c>
      <c r="AF56" s="9" t="str">
        <f aca="false">IF(AC56&gt;0,AE56/AC56,"")</f>
        <v/>
      </c>
      <c r="AG56" s="9" t="n">
        <f aca="false">IF(AD$6=0,"",AD56/AD$6)</f>
        <v>0</v>
      </c>
      <c r="AH56" s="56" t="n">
        <f aca="false">SUMIFS('Vidushi Malhotra'!$D$7:$D$300,'Vidushi Malhotra'!$B$7:$B$300,$B56)</f>
        <v>0</v>
      </c>
      <c r="AI56" s="57" t="str">
        <f aca="false">IF(AND(AH56&gt;0,AJ56&gt;0),AJ56/AH56,"")</f>
        <v/>
      </c>
      <c r="AJ56" s="8" t="n">
        <f aca="false">SUMIFS('Vidushi Malhotra'!$E$7:$E$300,'Vidushi Malhotra'!$B$7:$B$300,$B56)</f>
        <v>0</v>
      </c>
      <c r="AK56" s="8" t="n">
        <f aca="false">SUMIFS('Vidushi Malhotra'!$H$7:$H$300,'Vidushi Malhotra'!$B$7:$B$300,$B56)</f>
        <v>0</v>
      </c>
      <c r="AL56" s="8" t="n">
        <f aca="false">AK56-AJ56</f>
        <v>0</v>
      </c>
      <c r="AM56" s="9" t="str">
        <f aca="false">IF(AJ56&gt;0,AL56/AJ56,"")</f>
        <v/>
      </c>
      <c r="AN56" s="9" t="n">
        <f aca="false">IF(AK$6=0,"",AK56/AK$6)</f>
        <v>0</v>
      </c>
      <c r="AO56" s="56" t="n">
        <f aca="false">SUMIFS('Dr Umesh Choudhry'!$D$7:$D$300,'Dr Umesh Choudhry'!$B$7:$B$300,$B56)</f>
        <v>0</v>
      </c>
      <c r="AP56" s="57" t="str">
        <f aca="false">IF(AND(AO56&gt;0,AQ56&gt;0),AQ56/AO56,"")</f>
        <v/>
      </c>
      <c r="AQ56" s="8" t="n">
        <f aca="false">SUMIFS('Dr Umesh Choudhry'!$E$7:$E$300,'Dr Umesh Choudhry'!$B$7:$B$300,$B56)</f>
        <v>0</v>
      </c>
      <c r="AR56" s="8" t="n">
        <f aca="false">SUMIFS('Dr Umesh Choudhry'!$H$7:$H$300,'Dr Umesh Choudhry'!$B$7:$B$300,$B56)</f>
        <v>0</v>
      </c>
      <c r="AS56" s="8" t="n">
        <f aca="false">AR56-AQ56</f>
        <v>0</v>
      </c>
      <c r="AT56" s="9" t="str">
        <f aca="false">IF(AQ56&gt;0,AS56/AQ56,"")</f>
        <v/>
      </c>
      <c r="AU56" s="9" t="n">
        <f aca="false">IF(AR$6=0,"",AR56/AR$6)</f>
        <v>0</v>
      </c>
      <c r="AV56" s="56" t="n">
        <f aca="false">SUMIFS(DA!$D$7:$D$300,DA!$B$7:$B$300,$B56)</f>
        <v>302</v>
      </c>
      <c r="AW56" s="57" t="n">
        <f aca="false">IF(AND(AV56&gt;0,AX56&gt;0),AX56/AV56,"")</f>
        <v>159</v>
      </c>
      <c r="AX56" s="8" t="n">
        <f aca="false">SUMIFS(DA!$E$7:$E$300,DA!$B$7:$B$300,$B56)</f>
        <v>48018</v>
      </c>
      <c r="AY56" s="8" t="n">
        <f aca="false">SUMIFS(DA!$H$7:$H$300,DA!$B$7:$B$300,$B56)</f>
        <v>23254</v>
      </c>
      <c r="AZ56" s="8" t="n">
        <f aca="false">AY56-AX56</f>
        <v>-24764</v>
      </c>
      <c r="BA56" s="9" t="n">
        <f aca="false">IF(AX56&gt;0,AZ56/AX56,"")</f>
        <v>-0.515723270440252</v>
      </c>
      <c r="BB56" s="9" t="n">
        <f aca="false">IF(AY$6=0,"",AY56/AY$6)</f>
        <v>0.00601498587663003</v>
      </c>
    </row>
    <row r="57" customFormat="false" ht="15" hidden="false" customHeight="false" outlineLevel="0" collapsed="false">
      <c r="A57" s="5" t="n">
        <v>51</v>
      </c>
      <c r="B57" s="47" t="s">
        <v>129</v>
      </c>
      <c r="C57" s="48" t="n">
        <f aca="false">IFERROR(INDEX(Prices!$C$6:$C$300,MATCH($B57,Prices!$A$6:$A$300,0)),"")</f>
        <v>140.01</v>
      </c>
      <c r="D57" s="49" t="str">
        <f aca="false">IFERROR(INDEX(Prices!$D$6:$D$300,MATCH($B57,Prices!$A$6:$A$300,0)),"")</f>
        <v>Close 22.10.2026 (Screener.in)</v>
      </c>
      <c r="E57" s="6" t="n">
        <f aca="false">(M57&gt;0)+(T57&gt;0)+(AA57&gt;0)+(AH57&gt;0)+(AO57&gt;0)+(AV57&gt;0)</f>
        <v>1</v>
      </c>
      <c r="F57" s="50" t="n">
        <f aca="false">M57+T57+AA57+AH57+AO57+AV57</f>
        <v>166</v>
      </c>
      <c r="G57" s="51" t="n">
        <f aca="false">IF(AND(F57&gt;0,H57&gt;0),H57/F57,"")</f>
        <v>204</v>
      </c>
      <c r="H57" s="52" t="n">
        <f aca="false">O57+V57+AC57+AJ57+AQ57+AX57</f>
        <v>33864</v>
      </c>
      <c r="I57" s="53" t="n">
        <f aca="false">P57+W57+AD57+AK57+AR57+AY57</f>
        <v>23241.66</v>
      </c>
      <c r="J57" s="52" t="n">
        <f aca="false">I57-H57</f>
        <v>-10622.34</v>
      </c>
      <c r="K57" s="54" t="n">
        <f aca="false">IF(H57&gt;0,J57/H57,"")</f>
        <v>-0.313676470588235</v>
      </c>
      <c r="L57" s="55" t="n">
        <f aca="false">IF(I$6=0,"",I57/I$6)</f>
        <v>0.000615963378464909</v>
      </c>
      <c r="M57" s="56" t="n">
        <f aca="false">SUMIFS(Gautam!$D$7:$D$300,Gautam!$B$7:$B$300,$B57)</f>
        <v>0</v>
      </c>
      <c r="N57" s="57" t="str">
        <f aca="false">IF(AND(M57&gt;0,O57&gt;0),O57/M57,"")</f>
        <v/>
      </c>
      <c r="O57" s="8" t="n">
        <f aca="false">SUMIFS(Gautam!$E$7:$E$300,Gautam!$B$7:$B$300,$B57)</f>
        <v>0</v>
      </c>
      <c r="P57" s="8" t="n">
        <f aca="false">SUMIFS(Gautam!$H$7:$H$300,Gautam!$B$7:$B$300,$B57)</f>
        <v>0</v>
      </c>
      <c r="Q57" s="8" t="n">
        <f aca="false">P57-O57</f>
        <v>0</v>
      </c>
      <c r="R57" s="9" t="str">
        <f aca="false">IF(O57&gt;0,Q57/O57,"")</f>
        <v/>
      </c>
      <c r="S57" s="9" t="n">
        <f aca="false">IF(P$6=0,"",P57/P$6)</f>
        <v>0</v>
      </c>
      <c r="T57" s="56" t="n">
        <f aca="false">SUMIFS('Manish Shilpa'!$D$7:$D$300,'Manish Shilpa'!$B$7:$B$300,$B57)</f>
        <v>0</v>
      </c>
      <c r="U57" s="57" t="str">
        <f aca="false">IF(AND(T57&gt;0,V57&gt;0),V57/T57,"")</f>
        <v/>
      </c>
      <c r="V57" s="8" t="n">
        <f aca="false">SUMIFS('Manish Shilpa'!$E$7:$E$300,'Manish Shilpa'!$B$7:$B$300,$B57)</f>
        <v>0</v>
      </c>
      <c r="W57" s="8" t="n">
        <f aca="false">SUMIFS('Manish Shilpa'!$H$7:$H$300,'Manish Shilpa'!$B$7:$B$300,$B57)</f>
        <v>0</v>
      </c>
      <c r="X57" s="8" t="n">
        <f aca="false">W57-V57</f>
        <v>0</v>
      </c>
      <c r="Y57" s="9" t="str">
        <f aca="false">IF(V57&gt;0,X57/V57,"")</f>
        <v/>
      </c>
      <c r="Z57" s="9" t="n">
        <f aca="false">IF(W$6=0,"",W57/W$6)</f>
        <v>0</v>
      </c>
      <c r="AA57" s="56" t="n">
        <f aca="false">SUMIFS('Saloni Mehra'!$D$7:$D$300,'Saloni Mehra'!$B$7:$B$300,$B57)</f>
        <v>0</v>
      </c>
      <c r="AB57" s="57" t="str">
        <f aca="false">IF(AND(AA57&gt;0,AC57&gt;0),AC57/AA57,"")</f>
        <v/>
      </c>
      <c r="AC57" s="8" t="n">
        <f aca="false">SUMIFS('Saloni Mehra'!$E$7:$E$300,'Saloni Mehra'!$B$7:$B$300,$B57)</f>
        <v>0</v>
      </c>
      <c r="AD57" s="8" t="n">
        <f aca="false">SUMIFS('Saloni Mehra'!$H$7:$H$300,'Saloni Mehra'!$B$7:$B$300,$B57)</f>
        <v>0</v>
      </c>
      <c r="AE57" s="8" t="n">
        <f aca="false">AD57-AC57</f>
        <v>0</v>
      </c>
      <c r="AF57" s="9" t="str">
        <f aca="false">IF(AC57&gt;0,AE57/AC57,"")</f>
        <v/>
      </c>
      <c r="AG57" s="9" t="n">
        <f aca="false">IF(AD$6=0,"",AD57/AD$6)</f>
        <v>0</v>
      </c>
      <c r="AH57" s="56" t="n">
        <f aca="false">SUMIFS('Vidushi Malhotra'!$D$7:$D$300,'Vidushi Malhotra'!$B$7:$B$300,$B57)</f>
        <v>0</v>
      </c>
      <c r="AI57" s="57" t="str">
        <f aca="false">IF(AND(AH57&gt;0,AJ57&gt;0),AJ57/AH57,"")</f>
        <v/>
      </c>
      <c r="AJ57" s="8" t="n">
        <f aca="false">SUMIFS('Vidushi Malhotra'!$E$7:$E$300,'Vidushi Malhotra'!$B$7:$B$300,$B57)</f>
        <v>0</v>
      </c>
      <c r="AK57" s="8" t="n">
        <f aca="false">SUMIFS('Vidushi Malhotra'!$H$7:$H$300,'Vidushi Malhotra'!$B$7:$B$300,$B57)</f>
        <v>0</v>
      </c>
      <c r="AL57" s="8" t="n">
        <f aca="false">AK57-AJ57</f>
        <v>0</v>
      </c>
      <c r="AM57" s="9" t="str">
        <f aca="false">IF(AJ57&gt;0,AL57/AJ57,"")</f>
        <v/>
      </c>
      <c r="AN57" s="9" t="n">
        <f aca="false">IF(AK$6=0,"",AK57/AK$6)</f>
        <v>0</v>
      </c>
      <c r="AO57" s="56" t="n">
        <f aca="false">SUMIFS('Dr Umesh Choudhry'!$D$7:$D$300,'Dr Umesh Choudhry'!$B$7:$B$300,$B57)</f>
        <v>0</v>
      </c>
      <c r="AP57" s="57" t="str">
        <f aca="false">IF(AND(AO57&gt;0,AQ57&gt;0),AQ57/AO57,"")</f>
        <v/>
      </c>
      <c r="AQ57" s="8" t="n">
        <f aca="false">SUMIFS('Dr Umesh Choudhry'!$E$7:$E$300,'Dr Umesh Choudhry'!$B$7:$B$300,$B57)</f>
        <v>0</v>
      </c>
      <c r="AR57" s="8" t="n">
        <f aca="false">SUMIFS('Dr Umesh Choudhry'!$H$7:$H$300,'Dr Umesh Choudhry'!$B$7:$B$300,$B57)</f>
        <v>0</v>
      </c>
      <c r="AS57" s="8" t="n">
        <f aca="false">AR57-AQ57</f>
        <v>0</v>
      </c>
      <c r="AT57" s="9" t="str">
        <f aca="false">IF(AQ57&gt;0,AS57/AQ57,"")</f>
        <v/>
      </c>
      <c r="AU57" s="9" t="n">
        <f aca="false">IF(AR$6=0,"",AR57/AR$6)</f>
        <v>0</v>
      </c>
      <c r="AV57" s="56" t="n">
        <f aca="false">SUMIFS(DA!$D$7:$D$300,DA!$B$7:$B$300,$B57)</f>
        <v>166</v>
      </c>
      <c r="AW57" s="57" t="n">
        <f aca="false">IF(AND(AV57&gt;0,AX57&gt;0),AX57/AV57,"")</f>
        <v>204</v>
      </c>
      <c r="AX57" s="8" t="n">
        <f aca="false">SUMIFS(DA!$E$7:$E$300,DA!$B$7:$B$300,$B57)</f>
        <v>33864</v>
      </c>
      <c r="AY57" s="8" t="n">
        <f aca="false">SUMIFS(DA!$H$7:$H$300,DA!$B$7:$B$300,$B57)</f>
        <v>23241.66</v>
      </c>
      <c r="AZ57" s="8" t="n">
        <f aca="false">AY57-AX57</f>
        <v>-10622.34</v>
      </c>
      <c r="BA57" s="9" t="n">
        <f aca="false">IF(AX57&gt;0,AZ57/AX57,"")</f>
        <v>-0.313676470588235</v>
      </c>
      <c r="BB57" s="9" t="n">
        <f aca="false">IF(AY$6=0,"",AY57/AY$6)</f>
        <v>0.00601179395585435</v>
      </c>
    </row>
    <row r="58" customFormat="false" ht="15" hidden="false" customHeight="false" outlineLevel="0" collapsed="false">
      <c r="A58" s="5" t="n">
        <v>52</v>
      </c>
      <c r="B58" s="47" t="s">
        <v>130</v>
      </c>
      <c r="C58" s="48" t="n">
        <f aca="false">IFERROR(INDEX(Prices!$C$6:$C$300,MATCH($B58,Prices!$A$6:$A$300,0)),"")</f>
        <v>196.09</v>
      </c>
      <c r="D58" s="49" t="str">
        <f aca="false">IFERROR(INDEX(Prices!$D$6:$D$300,MATCH($B58,Prices!$A$6:$A$300,0)),"")</f>
        <v>Close 22.10.2026 (Screener.in)</v>
      </c>
      <c r="E58" s="6" t="n">
        <f aca="false">(M58&gt;0)+(T58&gt;0)+(AA58&gt;0)+(AH58&gt;0)+(AO58&gt;0)+(AV58&gt;0)</f>
        <v>1</v>
      </c>
      <c r="F58" s="50" t="n">
        <f aca="false">M58+T58+AA58+AH58+AO58+AV58</f>
        <v>116</v>
      </c>
      <c r="G58" s="51" t="n">
        <f aca="false">IF(AND(F58&gt;0,H58&gt;0),H58/F58,"")</f>
        <v>256</v>
      </c>
      <c r="H58" s="52" t="n">
        <f aca="false">O58+V58+AC58+AJ58+AQ58+AX58</f>
        <v>29696</v>
      </c>
      <c r="I58" s="53" t="n">
        <f aca="false">P58+W58+AD58+AK58+AR58+AY58</f>
        <v>22746.44</v>
      </c>
      <c r="J58" s="52" t="n">
        <f aca="false">I58-H58</f>
        <v>-6949.56</v>
      </c>
      <c r="K58" s="54" t="n">
        <f aca="false">IF(H58&gt;0,J58/H58,"")</f>
        <v>-0.2340234375</v>
      </c>
      <c r="L58" s="55" t="n">
        <f aca="false">IF(I$6=0,"",I58/I$6)</f>
        <v>0.000602838783049461</v>
      </c>
      <c r="M58" s="56" t="n">
        <f aca="false">SUMIFS(Gautam!$D$7:$D$300,Gautam!$B$7:$B$300,$B58)</f>
        <v>0</v>
      </c>
      <c r="N58" s="57" t="str">
        <f aca="false">IF(AND(M58&gt;0,O58&gt;0),O58/M58,"")</f>
        <v/>
      </c>
      <c r="O58" s="8" t="n">
        <f aca="false">SUMIFS(Gautam!$E$7:$E$300,Gautam!$B$7:$B$300,$B58)</f>
        <v>0</v>
      </c>
      <c r="P58" s="8" t="n">
        <f aca="false">SUMIFS(Gautam!$H$7:$H$300,Gautam!$B$7:$B$300,$B58)</f>
        <v>0</v>
      </c>
      <c r="Q58" s="8" t="n">
        <f aca="false">P58-O58</f>
        <v>0</v>
      </c>
      <c r="R58" s="9" t="str">
        <f aca="false">IF(O58&gt;0,Q58/O58,"")</f>
        <v/>
      </c>
      <c r="S58" s="9" t="n">
        <f aca="false">IF(P$6=0,"",P58/P$6)</f>
        <v>0</v>
      </c>
      <c r="T58" s="56" t="n">
        <f aca="false">SUMIFS('Manish Shilpa'!$D$7:$D$300,'Manish Shilpa'!$B$7:$B$300,$B58)</f>
        <v>0</v>
      </c>
      <c r="U58" s="57" t="str">
        <f aca="false">IF(AND(T58&gt;0,V58&gt;0),V58/T58,"")</f>
        <v/>
      </c>
      <c r="V58" s="8" t="n">
        <f aca="false">SUMIFS('Manish Shilpa'!$E$7:$E$300,'Manish Shilpa'!$B$7:$B$300,$B58)</f>
        <v>0</v>
      </c>
      <c r="W58" s="8" t="n">
        <f aca="false">SUMIFS('Manish Shilpa'!$H$7:$H$300,'Manish Shilpa'!$B$7:$B$300,$B58)</f>
        <v>0</v>
      </c>
      <c r="X58" s="8" t="n">
        <f aca="false">W58-V58</f>
        <v>0</v>
      </c>
      <c r="Y58" s="9" t="str">
        <f aca="false">IF(V58&gt;0,X58/V58,"")</f>
        <v/>
      </c>
      <c r="Z58" s="9" t="n">
        <f aca="false">IF(W$6=0,"",W58/W$6)</f>
        <v>0</v>
      </c>
      <c r="AA58" s="56" t="n">
        <f aca="false">SUMIFS('Saloni Mehra'!$D$7:$D$300,'Saloni Mehra'!$B$7:$B$300,$B58)</f>
        <v>0</v>
      </c>
      <c r="AB58" s="57" t="str">
        <f aca="false">IF(AND(AA58&gt;0,AC58&gt;0),AC58/AA58,"")</f>
        <v/>
      </c>
      <c r="AC58" s="8" t="n">
        <f aca="false">SUMIFS('Saloni Mehra'!$E$7:$E$300,'Saloni Mehra'!$B$7:$B$300,$B58)</f>
        <v>0</v>
      </c>
      <c r="AD58" s="8" t="n">
        <f aca="false">SUMIFS('Saloni Mehra'!$H$7:$H$300,'Saloni Mehra'!$B$7:$B$300,$B58)</f>
        <v>0</v>
      </c>
      <c r="AE58" s="8" t="n">
        <f aca="false">AD58-AC58</f>
        <v>0</v>
      </c>
      <c r="AF58" s="9" t="str">
        <f aca="false">IF(AC58&gt;0,AE58/AC58,"")</f>
        <v/>
      </c>
      <c r="AG58" s="9" t="n">
        <f aca="false">IF(AD$6=0,"",AD58/AD$6)</f>
        <v>0</v>
      </c>
      <c r="AH58" s="56" t="n">
        <f aca="false">SUMIFS('Vidushi Malhotra'!$D$7:$D$300,'Vidushi Malhotra'!$B$7:$B$300,$B58)</f>
        <v>0</v>
      </c>
      <c r="AI58" s="57" t="str">
        <f aca="false">IF(AND(AH58&gt;0,AJ58&gt;0),AJ58/AH58,"")</f>
        <v/>
      </c>
      <c r="AJ58" s="8" t="n">
        <f aca="false">SUMIFS('Vidushi Malhotra'!$E$7:$E$300,'Vidushi Malhotra'!$B$7:$B$300,$B58)</f>
        <v>0</v>
      </c>
      <c r="AK58" s="8" t="n">
        <f aca="false">SUMIFS('Vidushi Malhotra'!$H$7:$H$300,'Vidushi Malhotra'!$B$7:$B$300,$B58)</f>
        <v>0</v>
      </c>
      <c r="AL58" s="8" t="n">
        <f aca="false">AK58-AJ58</f>
        <v>0</v>
      </c>
      <c r="AM58" s="9" t="str">
        <f aca="false">IF(AJ58&gt;0,AL58/AJ58,"")</f>
        <v/>
      </c>
      <c r="AN58" s="9" t="n">
        <f aca="false">IF(AK$6=0,"",AK58/AK$6)</f>
        <v>0</v>
      </c>
      <c r="AO58" s="56" t="n">
        <f aca="false">SUMIFS('Dr Umesh Choudhry'!$D$7:$D$300,'Dr Umesh Choudhry'!$B$7:$B$300,$B58)</f>
        <v>0</v>
      </c>
      <c r="AP58" s="57" t="str">
        <f aca="false">IF(AND(AO58&gt;0,AQ58&gt;0),AQ58/AO58,"")</f>
        <v/>
      </c>
      <c r="AQ58" s="8" t="n">
        <f aca="false">SUMIFS('Dr Umesh Choudhry'!$E$7:$E$300,'Dr Umesh Choudhry'!$B$7:$B$300,$B58)</f>
        <v>0</v>
      </c>
      <c r="AR58" s="8" t="n">
        <f aca="false">SUMIFS('Dr Umesh Choudhry'!$H$7:$H$300,'Dr Umesh Choudhry'!$B$7:$B$300,$B58)</f>
        <v>0</v>
      </c>
      <c r="AS58" s="8" t="n">
        <f aca="false">AR58-AQ58</f>
        <v>0</v>
      </c>
      <c r="AT58" s="9" t="str">
        <f aca="false">IF(AQ58&gt;0,AS58/AQ58,"")</f>
        <v/>
      </c>
      <c r="AU58" s="9" t="n">
        <f aca="false">IF(AR$6=0,"",AR58/AR$6)</f>
        <v>0</v>
      </c>
      <c r="AV58" s="56" t="n">
        <f aca="false">SUMIFS(DA!$D$7:$D$300,DA!$B$7:$B$300,$B58)</f>
        <v>116</v>
      </c>
      <c r="AW58" s="57" t="n">
        <f aca="false">IF(AND(AV58&gt;0,AX58&gt;0),AX58/AV58,"")</f>
        <v>256</v>
      </c>
      <c r="AX58" s="8" t="n">
        <f aca="false">SUMIFS(DA!$E$7:$E$300,DA!$B$7:$B$300,$B58)</f>
        <v>29696</v>
      </c>
      <c r="AY58" s="8" t="n">
        <f aca="false">SUMIFS(DA!$H$7:$H$300,DA!$B$7:$B$300,$B58)</f>
        <v>22746.44</v>
      </c>
      <c r="AZ58" s="8" t="n">
        <f aca="false">AY58-AX58</f>
        <v>-6949.56</v>
      </c>
      <c r="BA58" s="9" t="n">
        <f aca="false">IF(AX58&gt;0,AZ58/AX58,"")</f>
        <v>-0.2340234375</v>
      </c>
      <c r="BB58" s="9" t="n">
        <f aca="false">IF(AY$6=0,"",AY58/AY$6)</f>
        <v>0.00588369808822621</v>
      </c>
    </row>
    <row r="59" customFormat="false" ht="15" hidden="false" customHeight="false" outlineLevel="0" collapsed="false">
      <c r="A59" s="5" t="n">
        <v>53</v>
      </c>
      <c r="B59" s="47" t="s">
        <v>131</v>
      </c>
      <c r="C59" s="48" t="n">
        <f aca="false">IFERROR(INDEX(Prices!$C$6:$C$300,MATCH($B59,Prices!$A$6:$A$300,0)),"")</f>
        <v>669.2</v>
      </c>
      <c r="D59" s="49" t="str">
        <f aca="false">IFERROR(INDEX(Prices!$D$6:$D$300,MATCH($B59,Prices!$A$6:$A$300,0)),"")</f>
        <v>Close 22.10.2026 (Screener.in)</v>
      </c>
      <c r="E59" s="6" t="n">
        <f aca="false">(M59&gt;0)+(T59&gt;0)+(AA59&gt;0)+(AH59&gt;0)+(AO59&gt;0)+(AV59&gt;0)</f>
        <v>1</v>
      </c>
      <c r="F59" s="50" t="n">
        <f aca="false">M59+T59+AA59+AH59+AO59+AV59</f>
        <v>33</v>
      </c>
      <c r="G59" s="51" t="n">
        <f aca="false">IF(AND(F59&gt;0,H59&gt;0),H59/F59,"")</f>
        <v>821</v>
      </c>
      <c r="H59" s="52" t="n">
        <f aca="false">O59+V59+AC59+AJ59+AQ59+AX59</f>
        <v>27093</v>
      </c>
      <c r="I59" s="53" t="n">
        <f aca="false">P59+W59+AD59+AK59+AR59+AY59</f>
        <v>22083.6</v>
      </c>
      <c r="J59" s="52" t="n">
        <f aca="false">I59-H59</f>
        <v>-5009.4</v>
      </c>
      <c r="K59" s="54" t="n">
        <f aca="false">IF(H59&gt;0,J59/H59,"")</f>
        <v>-0.18489646772229</v>
      </c>
      <c r="L59" s="55" t="n">
        <f aca="false">IF(I$6=0,"",I59/I$6)</f>
        <v>0.000585271829321471</v>
      </c>
      <c r="M59" s="56" t="n">
        <f aca="false">SUMIFS(Gautam!$D$7:$D$300,Gautam!$B$7:$B$300,$B59)</f>
        <v>0</v>
      </c>
      <c r="N59" s="57" t="str">
        <f aca="false">IF(AND(M59&gt;0,O59&gt;0),O59/M59,"")</f>
        <v/>
      </c>
      <c r="O59" s="8" t="n">
        <f aca="false">SUMIFS(Gautam!$E$7:$E$300,Gautam!$B$7:$B$300,$B59)</f>
        <v>0</v>
      </c>
      <c r="P59" s="8" t="n">
        <f aca="false">SUMIFS(Gautam!$H$7:$H$300,Gautam!$B$7:$B$300,$B59)</f>
        <v>0</v>
      </c>
      <c r="Q59" s="8" t="n">
        <f aca="false">P59-O59</f>
        <v>0</v>
      </c>
      <c r="R59" s="9" t="str">
        <f aca="false">IF(O59&gt;0,Q59/O59,"")</f>
        <v/>
      </c>
      <c r="S59" s="9" t="n">
        <f aca="false">IF(P$6=0,"",P59/P$6)</f>
        <v>0</v>
      </c>
      <c r="T59" s="56" t="n">
        <f aca="false">SUMIFS('Manish Shilpa'!$D$7:$D$300,'Manish Shilpa'!$B$7:$B$300,$B59)</f>
        <v>0</v>
      </c>
      <c r="U59" s="57" t="str">
        <f aca="false">IF(AND(T59&gt;0,V59&gt;0),V59/T59,"")</f>
        <v/>
      </c>
      <c r="V59" s="8" t="n">
        <f aca="false">SUMIFS('Manish Shilpa'!$E$7:$E$300,'Manish Shilpa'!$B$7:$B$300,$B59)</f>
        <v>0</v>
      </c>
      <c r="W59" s="8" t="n">
        <f aca="false">SUMIFS('Manish Shilpa'!$H$7:$H$300,'Manish Shilpa'!$B$7:$B$300,$B59)</f>
        <v>0</v>
      </c>
      <c r="X59" s="8" t="n">
        <f aca="false">W59-V59</f>
        <v>0</v>
      </c>
      <c r="Y59" s="9" t="str">
        <f aca="false">IF(V59&gt;0,X59/V59,"")</f>
        <v/>
      </c>
      <c r="Z59" s="9" t="n">
        <f aca="false">IF(W$6=0,"",W59/W$6)</f>
        <v>0</v>
      </c>
      <c r="AA59" s="56" t="n">
        <f aca="false">SUMIFS('Saloni Mehra'!$D$7:$D$300,'Saloni Mehra'!$B$7:$B$300,$B59)</f>
        <v>0</v>
      </c>
      <c r="AB59" s="57" t="str">
        <f aca="false">IF(AND(AA59&gt;0,AC59&gt;0),AC59/AA59,"")</f>
        <v/>
      </c>
      <c r="AC59" s="8" t="n">
        <f aca="false">SUMIFS('Saloni Mehra'!$E$7:$E$300,'Saloni Mehra'!$B$7:$B$300,$B59)</f>
        <v>0</v>
      </c>
      <c r="AD59" s="8" t="n">
        <f aca="false">SUMIFS('Saloni Mehra'!$H$7:$H$300,'Saloni Mehra'!$B$7:$B$300,$B59)</f>
        <v>0</v>
      </c>
      <c r="AE59" s="8" t="n">
        <f aca="false">AD59-AC59</f>
        <v>0</v>
      </c>
      <c r="AF59" s="9" t="str">
        <f aca="false">IF(AC59&gt;0,AE59/AC59,"")</f>
        <v/>
      </c>
      <c r="AG59" s="9" t="n">
        <f aca="false">IF(AD$6=0,"",AD59/AD$6)</f>
        <v>0</v>
      </c>
      <c r="AH59" s="56" t="n">
        <f aca="false">SUMIFS('Vidushi Malhotra'!$D$7:$D$300,'Vidushi Malhotra'!$B$7:$B$300,$B59)</f>
        <v>0</v>
      </c>
      <c r="AI59" s="57" t="str">
        <f aca="false">IF(AND(AH59&gt;0,AJ59&gt;0),AJ59/AH59,"")</f>
        <v/>
      </c>
      <c r="AJ59" s="8" t="n">
        <f aca="false">SUMIFS('Vidushi Malhotra'!$E$7:$E$300,'Vidushi Malhotra'!$B$7:$B$300,$B59)</f>
        <v>0</v>
      </c>
      <c r="AK59" s="8" t="n">
        <f aca="false">SUMIFS('Vidushi Malhotra'!$H$7:$H$300,'Vidushi Malhotra'!$B$7:$B$300,$B59)</f>
        <v>0</v>
      </c>
      <c r="AL59" s="8" t="n">
        <f aca="false">AK59-AJ59</f>
        <v>0</v>
      </c>
      <c r="AM59" s="9" t="str">
        <f aca="false">IF(AJ59&gt;0,AL59/AJ59,"")</f>
        <v/>
      </c>
      <c r="AN59" s="9" t="n">
        <f aca="false">IF(AK$6=0,"",AK59/AK$6)</f>
        <v>0</v>
      </c>
      <c r="AO59" s="56" t="n">
        <f aca="false">SUMIFS('Dr Umesh Choudhry'!$D$7:$D$300,'Dr Umesh Choudhry'!$B$7:$B$300,$B59)</f>
        <v>0</v>
      </c>
      <c r="AP59" s="57" t="str">
        <f aca="false">IF(AND(AO59&gt;0,AQ59&gt;0),AQ59/AO59,"")</f>
        <v/>
      </c>
      <c r="AQ59" s="8" t="n">
        <f aca="false">SUMIFS('Dr Umesh Choudhry'!$E$7:$E$300,'Dr Umesh Choudhry'!$B$7:$B$300,$B59)</f>
        <v>0</v>
      </c>
      <c r="AR59" s="8" t="n">
        <f aca="false">SUMIFS('Dr Umesh Choudhry'!$H$7:$H$300,'Dr Umesh Choudhry'!$B$7:$B$300,$B59)</f>
        <v>0</v>
      </c>
      <c r="AS59" s="8" t="n">
        <f aca="false">AR59-AQ59</f>
        <v>0</v>
      </c>
      <c r="AT59" s="9" t="str">
        <f aca="false">IF(AQ59&gt;0,AS59/AQ59,"")</f>
        <v/>
      </c>
      <c r="AU59" s="9" t="n">
        <f aca="false">IF(AR$6=0,"",AR59/AR$6)</f>
        <v>0</v>
      </c>
      <c r="AV59" s="56" t="n">
        <f aca="false">SUMIFS(DA!$D$7:$D$300,DA!$B$7:$B$300,$B59)</f>
        <v>33</v>
      </c>
      <c r="AW59" s="57" t="n">
        <f aca="false">IF(AND(AV59&gt;0,AX59&gt;0),AX59/AV59,"")</f>
        <v>821</v>
      </c>
      <c r="AX59" s="8" t="n">
        <f aca="false">SUMIFS(DA!$E$7:$E$300,DA!$B$7:$B$300,$B59)</f>
        <v>27093</v>
      </c>
      <c r="AY59" s="8" t="n">
        <f aca="false">SUMIFS(DA!$H$7:$H$300,DA!$B$7:$B$300,$B59)</f>
        <v>22083.6</v>
      </c>
      <c r="AZ59" s="8" t="n">
        <f aca="false">AY59-AX59</f>
        <v>-5009.4</v>
      </c>
      <c r="BA59" s="9" t="n">
        <f aca="false">IF(AX59&gt;0,AZ59/AX59,"")</f>
        <v>-0.18489646772229</v>
      </c>
      <c r="BB59" s="9" t="n">
        <f aca="false">IF(AY$6=0,"",AY59/AY$6)</f>
        <v>0.00571224486562083</v>
      </c>
    </row>
    <row r="60" customFormat="false" ht="15" hidden="false" customHeight="false" outlineLevel="0" collapsed="false">
      <c r="A60" s="5" t="n">
        <v>54</v>
      </c>
      <c r="B60" s="47" t="s">
        <v>132</v>
      </c>
      <c r="C60" s="48" t="n">
        <f aca="false">IFERROR(INDEX(Prices!$C$6:$C$300,MATCH($B60,Prices!$A$6:$A$300,0)),"")</f>
        <v>54.58</v>
      </c>
      <c r="D60" s="49" t="str">
        <f aca="false">IFERROR(INDEX(Prices!$D$6:$D$300,MATCH($B60,Prices!$A$6:$A$300,0)),"")</f>
        <v>Close 22.10.2026 (Screener.in)</v>
      </c>
      <c r="E60" s="6" t="n">
        <f aca="false">(M60&gt;0)+(T60&gt;0)+(AA60&gt;0)+(AH60&gt;0)+(AO60&gt;0)+(AV60&gt;0)</f>
        <v>1</v>
      </c>
      <c r="F60" s="50" t="n">
        <f aca="false">M60+T60+AA60+AH60+AO60+AV60</f>
        <v>380</v>
      </c>
      <c r="G60" s="51" t="n">
        <f aca="false">IF(AND(F60&gt;0,H60&gt;0),H60/F60,"")</f>
        <v>49</v>
      </c>
      <c r="H60" s="52" t="n">
        <f aca="false">O60+V60+AC60+AJ60+AQ60+AX60</f>
        <v>18620</v>
      </c>
      <c r="I60" s="53" t="n">
        <f aca="false">P60+W60+AD60+AK60+AR60+AY60</f>
        <v>20740.4</v>
      </c>
      <c r="J60" s="52" t="n">
        <f aca="false">I60-H60</f>
        <v>2120.4</v>
      </c>
      <c r="K60" s="54" t="n">
        <f aca="false">IF(H60&gt;0,J60/H60,"")</f>
        <v>0.113877551020408</v>
      </c>
      <c r="L60" s="55" t="n">
        <f aca="false">IF(I$6=0,"",I60/I$6)</f>
        <v>0.00054967359709735</v>
      </c>
      <c r="M60" s="56" t="n">
        <f aca="false">SUMIFS(Gautam!$D$7:$D$300,Gautam!$B$7:$B$300,$B60)</f>
        <v>0</v>
      </c>
      <c r="N60" s="57" t="str">
        <f aca="false">IF(AND(M60&gt;0,O60&gt;0),O60/M60,"")</f>
        <v/>
      </c>
      <c r="O60" s="8" t="n">
        <f aca="false">SUMIFS(Gautam!$E$7:$E$300,Gautam!$B$7:$B$300,$B60)</f>
        <v>0</v>
      </c>
      <c r="P60" s="8" t="n">
        <f aca="false">SUMIFS(Gautam!$H$7:$H$300,Gautam!$B$7:$B$300,$B60)</f>
        <v>0</v>
      </c>
      <c r="Q60" s="8" t="n">
        <f aca="false">P60-O60</f>
        <v>0</v>
      </c>
      <c r="R60" s="9" t="str">
        <f aca="false">IF(O60&gt;0,Q60/O60,"")</f>
        <v/>
      </c>
      <c r="S60" s="9" t="n">
        <f aca="false">IF(P$6=0,"",P60/P$6)</f>
        <v>0</v>
      </c>
      <c r="T60" s="56" t="n">
        <f aca="false">SUMIFS('Manish Shilpa'!$D$7:$D$300,'Manish Shilpa'!$B$7:$B$300,$B60)</f>
        <v>0</v>
      </c>
      <c r="U60" s="57" t="str">
        <f aca="false">IF(AND(T60&gt;0,V60&gt;0),V60/T60,"")</f>
        <v/>
      </c>
      <c r="V60" s="8" t="n">
        <f aca="false">SUMIFS('Manish Shilpa'!$E$7:$E$300,'Manish Shilpa'!$B$7:$B$300,$B60)</f>
        <v>0</v>
      </c>
      <c r="W60" s="8" t="n">
        <f aca="false">SUMIFS('Manish Shilpa'!$H$7:$H$300,'Manish Shilpa'!$B$7:$B$300,$B60)</f>
        <v>0</v>
      </c>
      <c r="X60" s="8" t="n">
        <f aca="false">W60-V60</f>
        <v>0</v>
      </c>
      <c r="Y60" s="9" t="str">
        <f aca="false">IF(V60&gt;0,X60/V60,"")</f>
        <v/>
      </c>
      <c r="Z60" s="9" t="n">
        <f aca="false">IF(W$6=0,"",W60/W$6)</f>
        <v>0</v>
      </c>
      <c r="AA60" s="56" t="n">
        <f aca="false">SUMIFS('Saloni Mehra'!$D$7:$D$300,'Saloni Mehra'!$B$7:$B$300,$B60)</f>
        <v>0</v>
      </c>
      <c r="AB60" s="57" t="str">
        <f aca="false">IF(AND(AA60&gt;0,AC60&gt;0),AC60/AA60,"")</f>
        <v/>
      </c>
      <c r="AC60" s="8" t="n">
        <f aca="false">SUMIFS('Saloni Mehra'!$E$7:$E$300,'Saloni Mehra'!$B$7:$B$300,$B60)</f>
        <v>0</v>
      </c>
      <c r="AD60" s="8" t="n">
        <f aca="false">SUMIFS('Saloni Mehra'!$H$7:$H$300,'Saloni Mehra'!$B$7:$B$300,$B60)</f>
        <v>0</v>
      </c>
      <c r="AE60" s="8" t="n">
        <f aca="false">AD60-AC60</f>
        <v>0</v>
      </c>
      <c r="AF60" s="9" t="str">
        <f aca="false">IF(AC60&gt;0,AE60/AC60,"")</f>
        <v/>
      </c>
      <c r="AG60" s="9" t="n">
        <f aca="false">IF(AD$6=0,"",AD60/AD$6)</f>
        <v>0</v>
      </c>
      <c r="AH60" s="56" t="n">
        <f aca="false">SUMIFS('Vidushi Malhotra'!$D$7:$D$300,'Vidushi Malhotra'!$B$7:$B$300,$B60)</f>
        <v>0</v>
      </c>
      <c r="AI60" s="57" t="str">
        <f aca="false">IF(AND(AH60&gt;0,AJ60&gt;0),AJ60/AH60,"")</f>
        <v/>
      </c>
      <c r="AJ60" s="8" t="n">
        <f aca="false">SUMIFS('Vidushi Malhotra'!$E$7:$E$300,'Vidushi Malhotra'!$B$7:$B$300,$B60)</f>
        <v>0</v>
      </c>
      <c r="AK60" s="8" t="n">
        <f aca="false">SUMIFS('Vidushi Malhotra'!$H$7:$H$300,'Vidushi Malhotra'!$B$7:$B$300,$B60)</f>
        <v>0</v>
      </c>
      <c r="AL60" s="8" t="n">
        <f aca="false">AK60-AJ60</f>
        <v>0</v>
      </c>
      <c r="AM60" s="9" t="str">
        <f aca="false">IF(AJ60&gt;0,AL60/AJ60,"")</f>
        <v/>
      </c>
      <c r="AN60" s="9" t="n">
        <f aca="false">IF(AK$6=0,"",AK60/AK$6)</f>
        <v>0</v>
      </c>
      <c r="AO60" s="56" t="n">
        <f aca="false">SUMIFS('Dr Umesh Choudhry'!$D$7:$D$300,'Dr Umesh Choudhry'!$B$7:$B$300,$B60)</f>
        <v>0</v>
      </c>
      <c r="AP60" s="57" t="str">
        <f aca="false">IF(AND(AO60&gt;0,AQ60&gt;0),AQ60/AO60,"")</f>
        <v/>
      </c>
      <c r="AQ60" s="8" t="n">
        <f aca="false">SUMIFS('Dr Umesh Choudhry'!$E$7:$E$300,'Dr Umesh Choudhry'!$B$7:$B$300,$B60)</f>
        <v>0</v>
      </c>
      <c r="AR60" s="8" t="n">
        <f aca="false">SUMIFS('Dr Umesh Choudhry'!$H$7:$H$300,'Dr Umesh Choudhry'!$B$7:$B$300,$B60)</f>
        <v>0</v>
      </c>
      <c r="AS60" s="8" t="n">
        <f aca="false">AR60-AQ60</f>
        <v>0</v>
      </c>
      <c r="AT60" s="9" t="str">
        <f aca="false">IF(AQ60&gt;0,AS60/AQ60,"")</f>
        <v/>
      </c>
      <c r="AU60" s="9" t="n">
        <f aca="false">IF(AR$6=0,"",AR60/AR$6)</f>
        <v>0</v>
      </c>
      <c r="AV60" s="56" t="n">
        <f aca="false">SUMIFS(DA!$D$7:$D$300,DA!$B$7:$B$300,$B60)</f>
        <v>380</v>
      </c>
      <c r="AW60" s="57" t="n">
        <f aca="false">IF(AND(AV60&gt;0,AX60&gt;0),AX60/AV60,"")</f>
        <v>49</v>
      </c>
      <c r="AX60" s="8" t="n">
        <f aca="false">SUMIFS(DA!$E$7:$E$300,DA!$B$7:$B$300,$B60)</f>
        <v>18620</v>
      </c>
      <c r="AY60" s="8" t="n">
        <f aca="false">SUMIFS(DA!$H$7:$H$300,DA!$B$7:$B$300,$B60)</f>
        <v>20740.4</v>
      </c>
      <c r="AZ60" s="8" t="n">
        <f aca="false">AY60-AX60</f>
        <v>2120.4</v>
      </c>
      <c r="BA60" s="9" t="n">
        <f aca="false">IF(AX60&gt;0,AZ60/AX60,"")</f>
        <v>0.113877551020408</v>
      </c>
      <c r="BB60" s="9" t="n">
        <f aca="false">IF(AY$6=0,"",AY60/AY$6)</f>
        <v>0.00536480661716941</v>
      </c>
    </row>
    <row r="61" customFormat="false" ht="15" hidden="false" customHeight="false" outlineLevel="0" collapsed="false">
      <c r="A61" s="5" t="n">
        <v>55</v>
      </c>
      <c r="B61" s="47" t="s">
        <v>133</v>
      </c>
      <c r="C61" s="48" t="n">
        <f aca="false">IFERROR(INDEX(Prices!$C$6:$C$300,MATCH($B61,Prices!$A$6:$A$300,0)),"")</f>
        <v>84.35</v>
      </c>
      <c r="D61" s="49" t="str">
        <f aca="false">IFERROR(INDEX(Prices!$D$6:$D$300,MATCH($B61,Prices!$A$6:$A$300,0)),"")</f>
        <v>Close 22.10.2026 (Screener.in)</v>
      </c>
      <c r="E61" s="6" t="n">
        <f aca="false">(M61&gt;0)+(T61&gt;0)+(AA61&gt;0)+(AH61&gt;0)+(AO61&gt;0)+(AV61&gt;0)</f>
        <v>1</v>
      </c>
      <c r="F61" s="50" t="n">
        <f aca="false">M61+T61+AA61+AH61+AO61+AV61</f>
        <v>245</v>
      </c>
      <c r="G61" s="51" t="n">
        <f aca="false">IF(AND(F61&gt;0,H61&gt;0),H61/F61,"")</f>
        <v>111</v>
      </c>
      <c r="H61" s="52" t="n">
        <f aca="false">O61+V61+AC61+AJ61+AQ61+AX61</f>
        <v>27195</v>
      </c>
      <c r="I61" s="53" t="n">
        <f aca="false">P61+W61+AD61+AK61+AR61+AY61</f>
        <v>20665.75</v>
      </c>
      <c r="J61" s="52" t="n">
        <f aca="false">I61-H61</f>
        <v>-6529.25</v>
      </c>
      <c r="K61" s="54" t="n">
        <f aca="false">IF(H61&gt;0,J61/H61,"")</f>
        <v>-0.24009009009009</v>
      </c>
      <c r="L61" s="55" t="n">
        <f aca="false">IF(I$6=0,"",I61/I$6)</f>
        <v>0.000547695181347253</v>
      </c>
      <c r="M61" s="56" t="n">
        <f aca="false">SUMIFS(Gautam!$D$7:$D$300,Gautam!$B$7:$B$300,$B61)</f>
        <v>0</v>
      </c>
      <c r="N61" s="57" t="str">
        <f aca="false">IF(AND(M61&gt;0,O61&gt;0),O61/M61,"")</f>
        <v/>
      </c>
      <c r="O61" s="8" t="n">
        <f aca="false">SUMIFS(Gautam!$E$7:$E$300,Gautam!$B$7:$B$300,$B61)</f>
        <v>0</v>
      </c>
      <c r="P61" s="8" t="n">
        <f aca="false">SUMIFS(Gautam!$H$7:$H$300,Gautam!$B$7:$B$300,$B61)</f>
        <v>0</v>
      </c>
      <c r="Q61" s="8" t="n">
        <f aca="false">P61-O61</f>
        <v>0</v>
      </c>
      <c r="R61" s="9" t="str">
        <f aca="false">IF(O61&gt;0,Q61/O61,"")</f>
        <v/>
      </c>
      <c r="S61" s="9" t="n">
        <f aca="false">IF(P$6=0,"",P61/P$6)</f>
        <v>0</v>
      </c>
      <c r="T61" s="56" t="n">
        <f aca="false">SUMIFS('Manish Shilpa'!$D$7:$D$300,'Manish Shilpa'!$B$7:$B$300,$B61)</f>
        <v>0</v>
      </c>
      <c r="U61" s="57" t="str">
        <f aca="false">IF(AND(T61&gt;0,V61&gt;0),V61/T61,"")</f>
        <v/>
      </c>
      <c r="V61" s="8" t="n">
        <f aca="false">SUMIFS('Manish Shilpa'!$E$7:$E$300,'Manish Shilpa'!$B$7:$B$300,$B61)</f>
        <v>0</v>
      </c>
      <c r="W61" s="8" t="n">
        <f aca="false">SUMIFS('Manish Shilpa'!$H$7:$H$300,'Manish Shilpa'!$B$7:$B$300,$B61)</f>
        <v>0</v>
      </c>
      <c r="X61" s="8" t="n">
        <f aca="false">W61-V61</f>
        <v>0</v>
      </c>
      <c r="Y61" s="9" t="str">
        <f aca="false">IF(V61&gt;0,X61/V61,"")</f>
        <v/>
      </c>
      <c r="Z61" s="9" t="n">
        <f aca="false">IF(W$6=0,"",W61/W$6)</f>
        <v>0</v>
      </c>
      <c r="AA61" s="56" t="n">
        <f aca="false">SUMIFS('Saloni Mehra'!$D$7:$D$300,'Saloni Mehra'!$B$7:$B$300,$B61)</f>
        <v>0</v>
      </c>
      <c r="AB61" s="57" t="str">
        <f aca="false">IF(AND(AA61&gt;0,AC61&gt;0),AC61/AA61,"")</f>
        <v/>
      </c>
      <c r="AC61" s="8" t="n">
        <f aca="false">SUMIFS('Saloni Mehra'!$E$7:$E$300,'Saloni Mehra'!$B$7:$B$300,$B61)</f>
        <v>0</v>
      </c>
      <c r="AD61" s="8" t="n">
        <f aca="false">SUMIFS('Saloni Mehra'!$H$7:$H$300,'Saloni Mehra'!$B$7:$B$300,$B61)</f>
        <v>0</v>
      </c>
      <c r="AE61" s="8" t="n">
        <f aca="false">AD61-AC61</f>
        <v>0</v>
      </c>
      <c r="AF61" s="9" t="str">
        <f aca="false">IF(AC61&gt;0,AE61/AC61,"")</f>
        <v/>
      </c>
      <c r="AG61" s="9" t="n">
        <f aca="false">IF(AD$6=0,"",AD61/AD$6)</f>
        <v>0</v>
      </c>
      <c r="AH61" s="56" t="n">
        <f aca="false">SUMIFS('Vidushi Malhotra'!$D$7:$D$300,'Vidushi Malhotra'!$B$7:$B$300,$B61)</f>
        <v>0</v>
      </c>
      <c r="AI61" s="57" t="str">
        <f aca="false">IF(AND(AH61&gt;0,AJ61&gt;0),AJ61/AH61,"")</f>
        <v/>
      </c>
      <c r="AJ61" s="8" t="n">
        <f aca="false">SUMIFS('Vidushi Malhotra'!$E$7:$E$300,'Vidushi Malhotra'!$B$7:$B$300,$B61)</f>
        <v>0</v>
      </c>
      <c r="AK61" s="8" t="n">
        <f aca="false">SUMIFS('Vidushi Malhotra'!$H$7:$H$300,'Vidushi Malhotra'!$B$7:$B$300,$B61)</f>
        <v>0</v>
      </c>
      <c r="AL61" s="8" t="n">
        <f aca="false">AK61-AJ61</f>
        <v>0</v>
      </c>
      <c r="AM61" s="9" t="str">
        <f aca="false">IF(AJ61&gt;0,AL61/AJ61,"")</f>
        <v/>
      </c>
      <c r="AN61" s="9" t="n">
        <f aca="false">IF(AK$6=0,"",AK61/AK$6)</f>
        <v>0</v>
      </c>
      <c r="AO61" s="56" t="n">
        <f aca="false">SUMIFS('Dr Umesh Choudhry'!$D$7:$D$300,'Dr Umesh Choudhry'!$B$7:$B$300,$B61)</f>
        <v>0</v>
      </c>
      <c r="AP61" s="57" t="str">
        <f aca="false">IF(AND(AO61&gt;0,AQ61&gt;0),AQ61/AO61,"")</f>
        <v/>
      </c>
      <c r="AQ61" s="8" t="n">
        <f aca="false">SUMIFS('Dr Umesh Choudhry'!$E$7:$E$300,'Dr Umesh Choudhry'!$B$7:$B$300,$B61)</f>
        <v>0</v>
      </c>
      <c r="AR61" s="8" t="n">
        <f aca="false">SUMIFS('Dr Umesh Choudhry'!$H$7:$H$300,'Dr Umesh Choudhry'!$B$7:$B$300,$B61)</f>
        <v>0</v>
      </c>
      <c r="AS61" s="8" t="n">
        <f aca="false">AR61-AQ61</f>
        <v>0</v>
      </c>
      <c r="AT61" s="9" t="str">
        <f aca="false">IF(AQ61&gt;0,AS61/AQ61,"")</f>
        <v/>
      </c>
      <c r="AU61" s="9" t="n">
        <f aca="false">IF(AR$6=0,"",AR61/AR$6)</f>
        <v>0</v>
      </c>
      <c r="AV61" s="56" t="n">
        <f aca="false">SUMIFS(DA!$D$7:$D$300,DA!$B$7:$B$300,$B61)</f>
        <v>245</v>
      </c>
      <c r="AW61" s="57" t="n">
        <f aca="false">IF(AND(AV61&gt;0,AX61&gt;0),AX61/AV61,"")</f>
        <v>111</v>
      </c>
      <c r="AX61" s="8" t="n">
        <f aca="false">SUMIFS(DA!$E$7:$E$300,DA!$B$7:$B$300,$B61)</f>
        <v>27195</v>
      </c>
      <c r="AY61" s="8" t="n">
        <f aca="false">SUMIFS(DA!$H$7:$H$300,DA!$B$7:$B$300,$B61)</f>
        <v>20665.75</v>
      </c>
      <c r="AZ61" s="8" t="n">
        <f aca="false">AY61-AX61</f>
        <v>-6529.25</v>
      </c>
      <c r="BA61" s="9" t="n">
        <f aca="false">IF(AX61&gt;0,AZ61/AX61,"")</f>
        <v>-0.24009009009009</v>
      </c>
      <c r="BB61" s="9" t="n">
        <f aca="false">IF(AY$6=0,"",AY61/AY$6)</f>
        <v>0.00534549730712854</v>
      </c>
    </row>
    <row r="62" customFormat="false" ht="15" hidden="false" customHeight="false" outlineLevel="0" collapsed="false">
      <c r="A62" s="5" t="n">
        <v>56</v>
      </c>
      <c r="B62" s="47" t="s">
        <v>134</v>
      </c>
      <c r="C62" s="48" t="n">
        <f aca="false">IFERROR(INDEX(Prices!$C$6:$C$300,MATCH($B62,Prices!$A$6:$A$300,0)),"")</f>
        <v>557.1</v>
      </c>
      <c r="D62" s="49" t="str">
        <f aca="false">IFERROR(INDEX(Prices!$D$6:$D$300,MATCH($B62,Prices!$A$6:$A$300,0)),"")</f>
        <v>Close 22.10.2026 (Screener.in)</v>
      </c>
      <c r="E62" s="6" t="n">
        <f aca="false">(M62&gt;0)+(T62&gt;0)+(AA62&gt;0)+(AH62&gt;0)+(AO62&gt;0)+(AV62&gt;0)</f>
        <v>1</v>
      </c>
      <c r="F62" s="50" t="n">
        <f aca="false">M62+T62+AA62+AH62+AO62+AV62</f>
        <v>35</v>
      </c>
      <c r="G62" s="51" t="n">
        <f aca="false">IF(AND(F62&gt;0,H62&gt;0),H62/F62,"")</f>
        <v>706</v>
      </c>
      <c r="H62" s="52" t="n">
        <f aca="false">O62+V62+AC62+AJ62+AQ62+AX62</f>
        <v>24710</v>
      </c>
      <c r="I62" s="53" t="n">
        <f aca="false">P62+W62+AD62+AK62+AR62+AY62</f>
        <v>19498.5</v>
      </c>
      <c r="J62" s="52" t="n">
        <f aca="false">I62-H62</f>
        <v>-5211.5</v>
      </c>
      <c r="K62" s="54" t="n">
        <f aca="false">IF(H62&gt;0,J62/H62,"")</f>
        <v>-0.210906515580737</v>
      </c>
      <c r="L62" s="55" t="n">
        <f aca="false">IF(I$6=0,"",I62/I$6)</f>
        <v>0.000516760073720983</v>
      </c>
      <c r="M62" s="56" t="n">
        <f aca="false">SUMIFS(Gautam!$D$7:$D$300,Gautam!$B$7:$B$300,$B62)</f>
        <v>0</v>
      </c>
      <c r="N62" s="57" t="str">
        <f aca="false">IF(AND(M62&gt;0,O62&gt;0),O62/M62,"")</f>
        <v/>
      </c>
      <c r="O62" s="8" t="n">
        <f aca="false">SUMIFS(Gautam!$E$7:$E$300,Gautam!$B$7:$B$300,$B62)</f>
        <v>0</v>
      </c>
      <c r="P62" s="8" t="n">
        <f aca="false">SUMIFS(Gautam!$H$7:$H$300,Gautam!$B$7:$B$300,$B62)</f>
        <v>0</v>
      </c>
      <c r="Q62" s="8" t="n">
        <f aca="false">P62-O62</f>
        <v>0</v>
      </c>
      <c r="R62" s="9" t="str">
        <f aca="false">IF(O62&gt;0,Q62/O62,"")</f>
        <v/>
      </c>
      <c r="S62" s="9" t="n">
        <f aca="false">IF(P$6=0,"",P62/P$6)</f>
        <v>0</v>
      </c>
      <c r="T62" s="56" t="n">
        <f aca="false">SUMIFS('Manish Shilpa'!$D$7:$D$300,'Manish Shilpa'!$B$7:$B$300,$B62)</f>
        <v>0</v>
      </c>
      <c r="U62" s="57" t="str">
        <f aca="false">IF(AND(T62&gt;0,V62&gt;0),V62/T62,"")</f>
        <v/>
      </c>
      <c r="V62" s="8" t="n">
        <f aca="false">SUMIFS('Manish Shilpa'!$E$7:$E$300,'Manish Shilpa'!$B$7:$B$300,$B62)</f>
        <v>0</v>
      </c>
      <c r="W62" s="8" t="n">
        <f aca="false">SUMIFS('Manish Shilpa'!$H$7:$H$300,'Manish Shilpa'!$B$7:$B$300,$B62)</f>
        <v>0</v>
      </c>
      <c r="X62" s="8" t="n">
        <f aca="false">W62-V62</f>
        <v>0</v>
      </c>
      <c r="Y62" s="9" t="str">
        <f aca="false">IF(V62&gt;0,X62/V62,"")</f>
        <v/>
      </c>
      <c r="Z62" s="9" t="n">
        <f aca="false">IF(W$6=0,"",W62/W$6)</f>
        <v>0</v>
      </c>
      <c r="AA62" s="56" t="n">
        <f aca="false">SUMIFS('Saloni Mehra'!$D$7:$D$300,'Saloni Mehra'!$B$7:$B$300,$B62)</f>
        <v>0</v>
      </c>
      <c r="AB62" s="57" t="str">
        <f aca="false">IF(AND(AA62&gt;0,AC62&gt;0),AC62/AA62,"")</f>
        <v/>
      </c>
      <c r="AC62" s="8" t="n">
        <f aca="false">SUMIFS('Saloni Mehra'!$E$7:$E$300,'Saloni Mehra'!$B$7:$B$300,$B62)</f>
        <v>0</v>
      </c>
      <c r="AD62" s="8" t="n">
        <f aca="false">SUMIFS('Saloni Mehra'!$H$7:$H$300,'Saloni Mehra'!$B$7:$B$300,$B62)</f>
        <v>0</v>
      </c>
      <c r="AE62" s="8" t="n">
        <f aca="false">AD62-AC62</f>
        <v>0</v>
      </c>
      <c r="AF62" s="9" t="str">
        <f aca="false">IF(AC62&gt;0,AE62/AC62,"")</f>
        <v/>
      </c>
      <c r="AG62" s="9" t="n">
        <f aca="false">IF(AD$6=0,"",AD62/AD$6)</f>
        <v>0</v>
      </c>
      <c r="AH62" s="56" t="n">
        <f aca="false">SUMIFS('Vidushi Malhotra'!$D$7:$D$300,'Vidushi Malhotra'!$B$7:$B$300,$B62)</f>
        <v>0</v>
      </c>
      <c r="AI62" s="57" t="str">
        <f aca="false">IF(AND(AH62&gt;0,AJ62&gt;0),AJ62/AH62,"")</f>
        <v/>
      </c>
      <c r="AJ62" s="8" t="n">
        <f aca="false">SUMIFS('Vidushi Malhotra'!$E$7:$E$300,'Vidushi Malhotra'!$B$7:$B$300,$B62)</f>
        <v>0</v>
      </c>
      <c r="AK62" s="8" t="n">
        <f aca="false">SUMIFS('Vidushi Malhotra'!$H$7:$H$300,'Vidushi Malhotra'!$B$7:$B$300,$B62)</f>
        <v>0</v>
      </c>
      <c r="AL62" s="8" t="n">
        <f aca="false">AK62-AJ62</f>
        <v>0</v>
      </c>
      <c r="AM62" s="9" t="str">
        <f aca="false">IF(AJ62&gt;0,AL62/AJ62,"")</f>
        <v/>
      </c>
      <c r="AN62" s="9" t="n">
        <f aca="false">IF(AK$6=0,"",AK62/AK$6)</f>
        <v>0</v>
      </c>
      <c r="AO62" s="56" t="n">
        <f aca="false">SUMIFS('Dr Umesh Choudhry'!$D$7:$D$300,'Dr Umesh Choudhry'!$B$7:$B$300,$B62)</f>
        <v>0</v>
      </c>
      <c r="AP62" s="57" t="str">
        <f aca="false">IF(AND(AO62&gt;0,AQ62&gt;0),AQ62/AO62,"")</f>
        <v/>
      </c>
      <c r="AQ62" s="8" t="n">
        <f aca="false">SUMIFS('Dr Umesh Choudhry'!$E$7:$E$300,'Dr Umesh Choudhry'!$B$7:$B$300,$B62)</f>
        <v>0</v>
      </c>
      <c r="AR62" s="8" t="n">
        <f aca="false">SUMIFS('Dr Umesh Choudhry'!$H$7:$H$300,'Dr Umesh Choudhry'!$B$7:$B$300,$B62)</f>
        <v>0</v>
      </c>
      <c r="AS62" s="8" t="n">
        <f aca="false">AR62-AQ62</f>
        <v>0</v>
      </c>
      <c r="AT62" s="9" t="str">
        <f aca="false">IF(AQ62&gt;0,AS62/AQ62,"")</f>
        <v/>
      </c>
      <c r="AU62" s="9" t="n">
        <f aca="false">IF(AR$6=0,"",AR62/AR$6)</f>
        <v>0</v>
      </c>
      <c r="AV62" s="56" t="n">
        <f aca="false">SUMIFS(DA!$D$7:$D$300,DA!$B$7:$B$300,$B62)</f>
        <v>35</v>
      </c>
      <c r="AW62" s="57" t="n">
        <f aca="false">IF(AND(AV62&gt;0,AX62&gt;0),AX62/AV62,"")</f>
        <v>706</v>
      </c>
      <c r="AX62" s="8" t="n">
        <f aca="false">SUMIFS(DA!$E$7:$E$300,DA!$B$7:$B$300,$B62)</f>
        <v>24710</v>
      </c>
      <c r="AY62" s="8" t="n">
        <f aca="false">SUMIFS(DA!$H$7:$H$300,DA!$B$7:$B$300,$B62)</f>
        <v>19498.5</v>
      </c>
      <c r="AZ62" s="8" t="n">
        <f aca="false">AY62-AX62</f>
        <v>-5211.5</v>
      </c>
      <c r="BA62" s="9" t="n">
        <f aca="false">IF(AX62&gt;0,AZ62/AX62,"")</f>
        <v>-0.210906515580737</v>
      </c>
      <c r="BB62" s="9" t="n">
        <f aca="false">IF(AY$6=0,"",AY62/AY$6)</f>
        <v>0.00504357108951022</v>
      </c>
    </row>
    <row r="63" customFormat="false" ht="15" hidden="false" customHeight="false" outlineLevel="0" collapsed="false">
      <c r="A63" s="5" t="n">
        <v>57</v>
      </c>
      <c r="B63" s="47" t="s">
        <v>135</v>
      </c>
      <c r="C63" s="48" t="n">
        <f aca="false">IFERROR(INDEX(Prices!$C$6:$C$300,MATCH($B63,Prices!$A$6:$A$300,0)),"")</f>
        <v>581.3</v>
      </c>
      <c r="D63" s="49" t="str">
        <f aca="false">IFERROR(INDEX(Prices!$D$6:$D$300,MATCH($B63,Prices!$A$6:$A$300,0)),"")</f>
        <v>Close 22.10.2026 (Screener.in)</v>
      </c>
      <c r="E63" s="6" t="n">
        <f aca="false">(M63&gt;0)+(T63&gt;0)+(AA63&gt;0)+(AH63&gt;0)+(AO63&gt;0)+(AV63&gt;0)</f>
        <v>1</v>
      </c>
      <c r="F63" s="50" t="n">
        <f aca="false">M63+T63+AA63+AH63+AO63+AV63</f>
        <v>33</v>
      </c>
      <c r="G63" s="51" t="n">
        <f aca="false">IF(AND(F63&gt;0,H63&gt;0),H63/F63,"")</f>
        <v>1230.36363636364</v>
      </c>
      <c r="H63" s="52" t="n">
        <f aca="false">O63+V63+AC63+AJ63+AQ63+AX63</f>
        <v>40602</v>
      </c>
      <c r="I63" s="53" t="n">
        <f aca="false">P63+W63+AD63+AK63+AR63+AY63</f>
        <v>19182.9</v>
      </c>
      <c r="J63" s="52" t="n">
        <f aca="false">I63-H63</f>
        <v>-21419.1</v>
      </c>
      <c r="K63" s="54" t="n">
        <f aca="false">IF(H63&gt;0,J63/H63,"")</f>
        <v>-0.527538052312694</v>
      </c>
      <c r="L63" s="55" t="n">
        <f aca="false">IF(I$6=0,"",I63/I$6)</f>
        <v>0.000508395867281188</v>
      </c>
      <c r="M63" s="56" t="n">
        <f aca="false">SUMIFS(Gautam!$D$7:$D$300,Gautam!$B$7:$B$300,$B63)</f>
        <v>0</v>
      </c>
      <c r="N63" s="57" t="str">
        <f aca="false">IF(AND(M63&gt;0,O63&gt;0),O63/M63,"")</f>
        <v/>
      </c>
      <c r="O63" s="8" t="n">
        <f aca="false">SUMIFS(Gautam!$E$7:$E$300,Gautam!$B$7:$B$300,$B63)</f>
        <v>0</v>
      </c>
      <c r="P63" s="8" t="n">
        <f aca="false">SUMIFS(Gautam!$H$7:$H$300,Gautam!$B$7:$B$300,$B63)</f>
        <v>0</v>
      </c>
      <c r="Q63" s="8" t="n">
        <f aca="false">P63-O63</f>
        <v>0</v>
      </c>
      <c r="R63" s="9" t="str">
        <f aca="false">IF(O63&gt;0,Q63/O63,"")</f>
        <v/>
      </c>
      <c r="S63" s="9" t="n">
        <f aca="false">IF(P$6=0,"",P63/P$6)</f>
        <v>0</v>
      </c>
      <c r="T63" s="56" t="n">
        <f aca="false">SUMIFS('Manish Shilpa'!$D$7:$D$300,'Manish Shilpa'!$B$7:$B$300,$B63)</f>
        <v>33</v>
      </c>
      <c r="U63" s="57" t="n">
        <f aca="false">IF(AND(T63&gt;0,V63&gt;0),V63/T63,"")</f>
        <v>1230.36363636364</v>
      </c>
      <c r="V63" s="8" t="n">
        <f aca="false">SUMIFS('Manish Shilpa'!$E$7:$E$300,'Manish Shilpa'!$B$7:$B$300,$B63)</f>
        <v>40602</v>
      </c>
      <c r="W63" s="8" t="n">
        <f aca="false">SUMIFS('Manish Shilpa'!$H$7:$H$300,'Manish Shilpa'!$B$7:$B$300,$B63)</f>
        <v>19182.9</v>
      </c>
      <c r="X63" s="8" t="n">
        <f aca="false">W63-V63</f>
        <v>-21419.1</v>
      </c>
      <c r="Y63" s="9" t="n">
        <f aca="false">IF(V63&gt;0,X63/V63,"")</f>
        <v>-0.527538052312694</v>
      </c>
      <c r="Z63" s="9" t="n">
        <f aca="false">IF(W$6=0,"",W63/W$6)</f>
        <v>0.00162210979632144</v>
      </c>
      <c r="AA63" s="56" t="n">
        <f aca="false">SUMIFS('Saloni Mehra'!$D$7:$D$300,'Saloni Mehra'!$B$7:$B$300,$B63)</f>
        <v>0</v>
      </c>
      <c r="AB63" s="57" t="str">
        <f aca="false">IF(AND(AA63&gt;0,AC63&gt;0),AC63/AA63,"")</f>
        <v/>
      </c>
      <c r="AC63" s="8" t="n">
        <f aca="false">SUMIFS('Saloni Mehra'!$E$7:$E$300,'Saloni Mehra'!$B$7:$B$300,$B63)</f>
        <v>0</v>
      </c>
      <c r="AD63" s="8" t="n">
        <f aca="false">SUMIFS('Saloni Mehra'!$H$7:$H$300,'Saloni Mehra'!$B$7:$B$300,$B63)</f>
        <v>0</v>
      </c>
      <c r="AE63" s="8" t="n">
        <f aca="false">AD63-AC63</f>
        <v>0</v>
      </c>
      <c r="AF63" s="9" t="str">
        <f aca="false">IF(AC63&gt;0,AE63/AC63,"")</f>
        <v/>
      </c>
      <c r="AG63" s="9" t="n">
        <f aca="false">IF(AD$6=0,"",AD63/AD$6)</f>
        <v>0</v>
      </c>
      <c r="AH63" s="56" t="n">
        <f aca="false">SUMIFS('Vidushi Malhotra'!$D$7:$D$300,'Vidushi Malhotra'!$B$7:$B$300,$B63)</f>
        <v>0</v>
      </c>
      <c r="AI63" s="57" t="str">
        <f aca="false">IF(AND(AH63&gt;0,AJ63&gt;0),AJ63/AH63,"")</f>
        <v/>
      </c>
      <c r="AJ63" s="8" t="n">
        <f aca="false">SUMIFS('Vidushi Malhotra'!$E$7:$E$300,'Vidushi Malhotra'!$B$7:$B$300,$B63)</f>
        <v>0</v>
      </c>
      <c r="AK63" s="8" t="n">
        <f aca="false">SUMIFS('Vidushi Malhotra'!$H$7:$H$300,'Vidushi Malhotra'!$B$7:$B$300,$B63)</f>
        <v>0</v>
      </c>
      <c r="AL63" s="8" t="n">
        <f aca="false">AK63-AJ63</f>
        <v>0</v>
      </c>
      <c r="AM63" s="9" t="str">
        <f aca="false">IF(AJ63&gt;0,AL63/AJ63,"")</f>
        <v/>
      </c>
      <c r="AN63" s="9" t="n">
        <f aca="false">IF(AK$6=0,"",AK63/AK$6)</f>
        <v>0</v>
      </c>
      <c r="AO63" s="56" t="n">
        <f aca="false">SUMIFS('Dr Umesh Choudhry'!$D$7:$D$300,'Dr Umesh Choudhry'!$B$7:$B$300,$B63)</f>
        <v>0</v>
      </c>
      <c r="AP63" s="57" t="str">
        <f aca="false">IF(AND(AO63&gt;0,AQ63&gt;0),AQ63/AO63,"")</f>
        <v/>
      </c>
      <c r="AQ63" s="8" t="n">
        <f aca="false">SUMIFS('Dr Umesh Choudhry'!$E$7:$E$300,'Dr Umesh Choudhry'!$B$7:$B$300,$B63)</f>
        <v>0</v>
      </c>
      <c r="AR63" s="8" t="n">
        <f aca="false">SUMIFS('Dr Umesh Choudhry'!$H$7:$H$300,'Dr Umesh Choudhry'!$B$7:$B$300,$B63)</f>
        <v>0</v>
      </c>
      <c r="AS63" s="8" t="n">
        <f aca="false">AR63-AQ63</f>
        <v>0</v>
      </c>
      <c r="AT63" s="9" t="str">
        <f aca="false">IF(AQ63&gt;0,AS63/AQ63,"")</f>
        <v/>
      </c>
      <c r="AU63" s="9" t="n">
        <f aca="false">IF(AR$6=0,"",AR63/AR$6)</f>
        <v>0</v>
      </c>
      <c r="AV63" s="56" t="n">
        <f aca="false">SUMIFS(DA!$D$7:$D$300,DA!$B$7:$B$300,$B63)</f>
        <v>0</v>
      </c>
      <c r="AW63" s="57" t="str">
        <f aca="false">IF(AND(AV63&gt;0,AX63&gt;0),AX63/AV63,"")</f>
        <v/>
      </c>
      <c r="AX63" s="8" t="n">
        <f aca="false">SUMIFS(DA!$E$7:$E$300,DA!$B$7:$B$300,$B63)</f>
        <v>0</v>
      </c>
      <c r="AY63" s="8" t="n">
        <f aca="false">SUMIFS(DA!$H$7:$H$300,DA!$B$7:$B$300,$B63)</f>
        <v>0</v>
      </c>
      <c r="AZ63" s="8" t="n">
        <f aca="false">AY63-AX63</f>
        <v>0</v>
      </c>
      <c r="BA63" s="9" t="str">
        <f aca="false">IF(AX63&gt;0,AZ63/AX63,"")</f>
        <v/>
      </c>
      <c r="BB63" s="9" t="n">
        <f aca="false">IF(AY$6=0,"",AY63/AY$6)</f>
        <v>0</v>
      </c>
    </row>
    <row r="64" customFormat="false" ht="15" hidden="false" customHeight="false" outlineLevel="0" collapsed="false">
      <c r="A64" s="5" t="n">
        <v>58</v>
      </c>
      <c r="B64" s="47" t="s">
        <v>136</v>
      </c>
      <c r="C64" s="48" t="n">
        <f aca="false">IFERROR(INDEX(Prices!$C$6:$C$300,MATCH($B64,Prices!$A$6:$A$300,0)),"")</f>
        <v>372.5</v>
      </c>
      <c r="D64" s="49" t="str">
        <f aca="false">IFERROR(INDEX(Prices!$D$6:$D$300,MATCH($B64,Prices!$A$6:$A$300,0)),"")</f>
        <v>Close 22.10.2026 (Screener.in)</v>
      </c>
      <c r="E64" s="6" t="n">
        <f aca="false">(M64&gt;0)+(T64&gt;0)+(AA64&gt;0)+(AH64&gt;0)+(AO64&gt;0)+(AV64&gt;0)</f>
        <v>1</v>
      </c>
      <c r="F64" s="50" t="n">
        <f aca="false">M64+T64+AA64+AH64+AO64+AV64</f>
        <v>51</v>
      </c>
      <c r="G64" s="51" t="n">
        <f aca="false">IF(AND(F64&gt;0,H64&gt;0),H64/F64,"")</f>
        <v>604</v>
      </c>
      <c r="H64" s="52" t="n">
        <f aca="false">O64+V64+AC64+AJ64+AQ64+AX64</f>
        <v>30804</v>
      </c>
      <c r="I64" s="53" t="n">
        <f aca="false">P64+W64+AD64+AK64+AR64+AY64</f>
        <v>18997.5</v>
      </c>
      <c r="J64" s="52" t="n">
        <f aca="false">I64-H64</f>
        <v>-11806.5</v>
      </c>
      <c r="K64" s="54" t="n">
        <f aca="false">IF(H64&gt;0,J64/H64,"")</f>
        <v>-0.383278145695364</v>
      </c>
      <c r="L64" s="55" t="n">
        <f aca="false">IF(I$6=0,"",I64/I$6)</f>
        <v>0.000503482293536137</v>
      </c>
      <c r="M64" s="56" t="n">
        <f aca="false">SUMIFS(Gautam!$D$7:$D$300,Gautam!$B$7:$B$300,$B64)</f>
        <v>0</v>
      </c>
      <c r="N64" s="57" t="str">
        <f aca="false">IF(AND(M64&gt;0,O64&gt;0),O64/M64,"")</f>
        <v/>
      </c>
      <c r="O64" s="8" t="n">
        <f aca="false">SUMIFS(Gautam!$E$7:$E$300,Gautam!$B$7:$B$300,$B64)</f>
        <v>0</v>
      </c>
      <c r="P64" s="8" t="n">
        <f aca="false">SUMIFS(Gautam!$H$7:$H$300,Gautam!$B$7:$B$300,$B64)</f>
        <v>0</v>
      </c>
      <c r="Q64" s="8" t="n">
        <f aca="false">P64-O64</f>
        <v>0</v>
      </c>
      <c r="R64" s="9" t="str">
        <f aca="false">IF(O64&gt;0,Q64/O64,"")</f>
        <v/>
      </c>
      <c r="S64" s="9" t="n">
        <f aca="false">IF(P$6=0,"",P64/P$6)</f>
        <v>0</v>
      </c>
      <c r="T64" s="56" t="n">
        <f aca="false">SUMIFS('Manish Shilpa'!$D$7:$D$300,'Manish Shilpa'!$B$7:$B$300,$B64)</f>
        <v>0</v>
      </c>
      <c r="U64" s="57" t="str">
        <f aca="false">IF(AND(T64&gt;0,V64&gt;0),V64/T64,"")</f>
        <v/>
      </c>
      <c r="V64" s="8" t="n">
        <f aca="false">SUMIFS('Manish Shilpa'!$E$7:$E$300,'Manish Shilpa'!$B$7:$B$300,$B64)</f>
        <v>0</v>
      </c>
      <c r="W64" s="8" t="n">
        <f aca="false">SUMIFS('Manish Shilpa'!$H$7:$H$300,'Manish Shilpa'!$B$7:$B$300,$B64)</f>
        <v>0</v>
      </c>
      <c r="X64" s="8" t="n">
        <f aca="false">W64-V64</f>
        <v>0</v>
      </c>
      <c r="Y64" s="9" t="str">
        <f aca="false">IF(V64&gt;0,X64/V64,"")</f>
        <v/>
      </c>
      <c r="Z64" s="9" t="n">
        <f aca="false">IF(W$6=0,"",W64/W$6)</f>
        <v>0</v>
      </c>
      <c r="AA64" s="56" t="n">
        <f aca="false">SUMIFS('Saloni Mehra'!$D$7:$D$300,'Saloni Mehra'!$B$7:$B$300,$B64)</f>
        <v>0</v>
      </c>
      <c r="AB64" s="57" t="str">
        <f aca="false">IF(AND(AA64&gt;0,AC64&gt;0),AC64/AA64,"")</f>
        <v/>
      </c>
      <c r="AC64" s="8" t="n">
        <f aca="false">SUMIFS('Saloni Mehra'!$E$7:$E$300,'Saloni Mehra'!$B$7:$B$300,$B64)</f>
        <v>0</v>
      </c>
      <c r="AD64" s="8" t="n">
        <f aca="false">SUMIFS('Saloni Mehra'!$H$7:$H$300,'Saloni Mehra'!$B$7:$B$300,$B64)</f>
        <v>0</v>
      </c>
      <c r="AE64" s="8" t="n">
        <f aca="false">AD64-AC64</f>
        <v>0</v>
      </c>
      <c r="AF64" s="9" t="str">
        <f aca="false">IF(AC64&gt;0,AE64/AC64,"")</f>
        <v/>
      </c>
      <c r="AG64" s="9" t="n">
        <f aca="false">IF(AD$6=0,"",AD64/AD$6)</f>
        <v>0</v>
      </c>
      <c r="AH64" s="56" t="n">
        <f aca="false">SUMIFS('Vidushi Malhotra'!$D$7:$D$300,'Vidushi Malhotra'!$B$7:$B$300,$B64)</f>
        <v>0</v>
      </c>
      <c r="AI64" s="57" t="str">
        <f aca="false">IF(AND(AH64&gt;0,AJ64&gt;0),AJ64/AH64,"")</f>
        <v/>
      </c>
      <c r="AJ64" s="8" t="n">
        <f aca="false">SUMIFS('Vidushi Malhotra'!$E$7:$E$300,'Vidushi Malhotra'!$B$7:$B$300,$B64)</f>
        <v>0</v>
      </c>
      <c r="AK64" s="8" t="n">
        <f aca="false">SUMIFS('Vidushi Malhotra'!$H$7:$H$300,'Vidushi Malhotra'!$B$7:$B$300,$B64)</f>
        <v>0</v>
      </c>
      <c r="AL64" s="8" t="n">
        <f aca="false">AK64-AJ64</f>
        <v>0</v>
      </c>
      <c r="AM64" s="9" t="str">
        <f aca="false">IF(AJ64&gt;0,AL64/AJ64,"")</f>
        <v/>
      </c>
      <c r="AN64" s="9" t="n">
        <f aca="false">IF(AK$6=0,"",AK64/AK$6)</f>
        <v>0</v>
      </c>
      <c r="AO64" s="56" t="n">
        <f aca="false">SUMIFS('Dr Umesh Choudhry'!$D$7:$D$300,'Dr Umesh Choudhry'!$B$7:$B$300,$B64)</f>
        <v>0</v>
      </c>
      <c r="AP64" s="57" t="str">
        <f aca="false">IF(AND(AO64&gt;0,AQ64&gt;0),AQ64/AO64,"")</f>
        <v/>
      </c>
      <c r="AQ64" s="8" t="n">
        <f aca="false">SUMIFS('Dr Umesh Choudhry'!$E$7:$E$300,'Dr Umesh Choudhry'!$B$7:$B$300,$B64)</f>
        <v>0</v>
      </c>
      <c r="AR64" s="8" t="n">
        <f aca="false">SUMIFS('Dr Umesh Choudhry'!$H$7:$H$300,'Dr Umesh Choudhry'!$B$7:$B$300,$B64)</f>
        <v>0</v>
      </c>
      <c r="AS64" s="8" t="n">
        <f aca="false">AR64-AQ64</f>
        <v>0</v>
      </c>
      <c r="AT64" s="9" t="str">
        <f aca="false">IF(AQ64&gt;0,AS64/AQ64,"")</f>
        <v/>
      </c>
      <c r="AU64" s="9" t="n">
        <f aca="false">IF(AR$6=0,"",AR64/AR$6)</f>
        <v>0</v>
      </c>
      <c r="AV64" s="56" t="n">
        <f aca="false">SUMIFS(DA!$D$7:$D$300,DA!$B$7:$B$300,$B64)</f>
        <v>51</v>
      </c>
      <c r="AW64" s="57" t="n">
        <f aca="false">IF(AND(AV64&gt;0,AX64&gt;0),AX64/AV64,"")</f>
        <v>604</v>
      </c>
      <c r="AX64" s="8" t="n">
        <f aca="false">SUMIFS(DA!$E$7:$E$300,DA!$B$7:$B$300,$B64)</f>
        <v>30804</v>
      </c>
      <c r="AY64" s="8" t="n">
        <f aca="false">SUMIFS(DA!$H$7:$H$300,DA!$B$7:$B$300,$B64)</f>
        <v>18997.5</v>
      </c>
      <c r="AZ64" s="8" t="n">
        <f aca="false">AY64-AX64</f>
        <v>-11806.5</v>
      </c>
      <c r="BA64" s="9" t="n">
        <f aca="false">IF(AX64&gt;0,AZ64/AX64,"")</f>
        <v>-0.383278145695364</v>
      </c>
      <c r="BB64" s="9" t="n">
        <f aca="false">IF(AY$6=0,"",AY64/AY$6)</f>
        <v>0.00491398014067597</v>
      </c>
    </row>
    <row r="65" customFormat="false" ht="15" hidden="false" customHeight="false" outlineLevel="0" collapsed="false">
      <c r="A65" s="5" t="n">
        <v>59</v>
      </c>
      <c r="B65" s="47" t="s">
        <v>137</v>
      </c>
      <c r="C65" s="48" t="n">
        <f aca="false">IFERROR(INDEX(Prices!$C$6:$C$300,MATCH($B65,Prices!$A$6:$A$300,0)),"")</f>
        <v>151.77</v>
      </c>
      <c r="D65" s="49" t="str">
        <f aca="false">IFERROR(INDEX(Prices!$D$6:$D$300,MATCH($B65,Prices!$A$6:$A$300,0)),"")</f>
        <v>Close 22.10.2026 (Screener.in)</v>
      </c>
      <c r="E65" s="6" t="n">
        <f aca="false">(M65&gt;0)+(T65&gt;0)+(AA65&gt;0)+(AH65&gt;0)+(AO65&gt;0)+(AV65&gt;0)</f>
        <v>1</v>
      </c>
      <c r="F65" s="50" t="n">
        <f aca="false">M65+T65+AA65+AH65+AO65+AV65</f>
        <v>124</v>
      </c>
      <c r="G65" s="51" t="n">
        <f aca="false">IF(AND(F65&gt;0,H65&gt;0),H65/F65,"")</f>
        <v>226</v>
      </c>
      <c r="H65" s="52" t="n">
        <f aca="false">O65+V65+AC65+AJ65+AQ65+AX65</f>
        <v>28024</v>
      </c>
      <c r="I65" s="53" t="n">
        <f aca="false">P65+W65+AD65+AK65+AR65+AY65</f>
        <v>18819.48</v>
      </c>
      <c r="J65" s="52" t="n">
        <f aca="false">I65-H65</f>
        <v>-9204.52</v>
      </c>
      <c r="K65" s="54" t="n">
        <f aca="false">IF(H65&gt;0,J65/H65,"")</f>
        <v>-0.328451327433628</v>
      </c>
      <c r="L65" s="55" t="n">
        <f aca="false">IF(I$6=0,"",I65/I$6)</f>
        <v>0.0004987643086489</v>
      </c>
      <c r="M65" s="56" t="n">
        <f aca="false">SUMIFS(Gautam!$D$7:$D$300,Gautam!$B$7:$B$300,$B65)</f>
        <v>0</v>
      </c>
      <c r="N65" s="57" t="str">
        <f aca="false">IF(AND(M65&gt;0,O65&gt;0),O65/M65,"")</f>
        <v/>
      </c>
      <c r="O65" s="8" t="n">
        <f aca="false">SUMIFS(Gautam!$E$7:$E$300,Gautam!$B$7:$B$300,$B65)</f>
        <v>0</v>
      </c>
      <c r="P65" s="8" t="n">
        <f aca="false">SUMIFS(Gautam!$H$7:$H$300,Gautam!$B$7:$B$300,$B65)</f>
        <v>0</v>
      </c>
      <c r="Q65" s="8" t="n">
        <f aca="false">P65-O65</f>
        <v>0</v>
      </c>
      <c r="R65" s="9" t="str">
        <f aca="false">IF(O65&gt;0,Q65/O65,"")</f>
        <v/>
      </c>
      <c r="S65" s="9" t="n">
        <f aca="false">IF(P$6=0,"",P65/P$6)</f>
        <v>0</v>
      </c>
      <c r="T65" s="56" t="n">
        <f aca="false">SUMIFS('Manish Shilpa'!$D$7:$D$300,'Manish Shilpa'!$B$7:$B$300,$B65)</f>
        <v>0</v>
      </c>
      <c r="U65" s="57" t="str">
        <f aca="false">IF(AND(T65&gt;0,V65&gt;0),V65/T65,"")</f>
        <v/>
      </c>
      <c r="V65" s="8" t="n">
        <f aca="false">SUMIFS('Manish Shilpa'!$E$7:$E$300,'Manish Shilpa'!$B$7:$B$300,$B65)</f>
        <v>0</v>
      </c>
      <c r="W65" s="8" t="n">
        <f aca="false">SUMIFS('Manish Shilpa'!$H$7:$H$300,'Manish Shilpa'!$B$7:$B$300,$B65)</f>
        <v>0</v>
      </c>
      <c r="X65" s="8" t="n">
        <f aca="false">W65-V65</f>
        <v>0</v>
      </c>
      <c r="Y65" s="9" t="str">
        <f aca="false">IF(V65&gt;0,X65/V65,"")</f>
        <v/>
      </c>
      <c r="Z65" s="9" t="n">
        <f aca="false">IF(W$6=0,"",W65/W$6)</f>
        <v>0</v>
      </c>
      <c r="AA65" s="56" t="n">
        <f aca="false">SUMIFS('Saloni Mehra'!$D$7:$D$300,'Saloni Mehra'!$B$7:$B$300,$B65)</f>
        <v>0</v>
      </c>
      <c r="AB65" s="57" t="str">
        <f aca="false">IF(AND(AA65&gt;0,AC65&gt;0),AC65/AA65,"")</f>
        <v/>
      </c>
      <c r="AC65" s="8" t="n">
        <f aca="false">SUMIFS('Saloni Mehra'!$E$7:$E$300,'Saloni Mehra'!$B$7:$B$300,$B65)</f>
        <v>0</v>
      </c>
      <c r="AD65" s="8" t="n">
        <f aca="false">SUMIFS('Saloni Mehra'!$H$7:$H$300,'Saloni Mehra'!$B$7:$B$300,$B65)</f>
        <v>0</v>
      </c>
      <c r="AE65" s="8" t="n">
        <f aca="false">AD65-AC65</f>
        <v>0</v>
      </c>
      <c r="AF65" s="9" t="str">
        <f aca="false">IF(AC65&gt;0,AE65/AC65,"")</f>
        <v/>
      </c>
      <c r="AG65" s="9" t="n">
        <f aca="false">IF(AD$6=0,"",AD65/AD$6)</f>
        <v>0</v>
      </c>
      <c r="AH65" s="56" t="n">
        <f aca="false">SUMIFS('Vidushi Malhotra'!$D$7:$D$300,'Vidushi Malhotra'!$B$7:$B$300,$B65)</f>
        <v>0</v>
      </c>
      <c r="AI65" s="57" t="str">
        <f aca="false">IF(AND(AH65&gt;0,AJ65&gt;0),AJ65/AH65,"")</f>
        <v/>
      </c>
      <c r="AJ65" s="8" t="n">
        <f aca="false">SUMIFS('Vidushi Malhotra'!$E$7:$E$300,'Vidushi Malhotra'!$B$7:$B$300,$B65)</f>
        <v>0</v>
      </c>
      <c r="AK65" s="8" t="n">
        <f aca="false">SUMIFS('Vidushi Malhotra'!$H$7:$H$300,'Vidushi Malhotra'!$B$7:$B$300,$B65)</f>
        <v>0</v>
      </c>
      <c r="AL65" s="8" t="n">
        <f aca="false">AK65-AJ65</f>
        <v>0</v>
      </c>
      <c r="AM65" s="9" t="str">
        <f aca="false">IF(AJ65&gt;0,AL65/AJ65,"")</f>
        <v/>
      </c>
      <c r="AN65" s="9" t="n">
        <f aca="false">IF(AK$6=0,"",AK65/AK$6)</f>
        <v>0</v>
      </c>
      <c r="AO65" s="56" t="n">
        <f aca="false">SUMIFS('Dr Umesh Choudhry'!$D$7:$D$300,'Dr Umesh Choudhry'!$B$7:$B$300,$B65)</f>
        <v>0</v>
      </c>
      <c r="AP65" s="57" t="str">
        <f aca="false">IF(AND(AO65&gt;0,AQ65&gt;0),AQ65/AO65,"")</f>
        <v/>
      </c>
      <c r="AQ65" s="8" t="n">
        <f aca="false">SUMIFS('Dr Umesh Choudhry'!$E$7:$E$300,'Dr Umesh Choudhry'!$B$7:$B$300,$B65)</f>
        <v>0</v>
      </c>
      <c r="AR65" s="8" t="n">
        <f aca="false">SUMIFS('Dr Umesh Choudhry'!$H$7:$H$300,'Dr Umesh Choudhry'!$B$7:$B$300,$B65)</f>
        <v>0</v>
      </c>
      <c r="AS65" s="8" t="n">
        <f aca="false">AR65-AQ65</f>
        <v>0</v>
      </c>
      <c r="AT65" s="9" t="str">
        <f aca="false">IF(AQ65&gt;0,AS65/AQ65,"")</f>
        <v/>
      </c>
      <c r="AU65" s="9" t="n">
        <f aca="false">IF(AR$6=0,"",AR65/AR$6)</f>
        <v>0</v>
      </c>
      <c r="AV65" s="56" t="n">
        <f aca="false">SUMIFS(DA!$D$7:$D$300,DA!$B$7:$B$300,$B65)</f>
        <v>124</v>
      </c>
      <c r="AW65" s="57" t="n">
        <f aca="false">IF(AND(AV65&gt;0,AX65&gt;0),AX65/AV65,"")</f>
        <v>226</v>
      </c>
      <c r="AX65" s="8" t="n">
        <f aca="false">SUMIFS(DA!$E$7:$E$300,DA!$B$7:$B$300,$B65)</f>
        <v>28024</v>
      </c>
      <c r="AY65" s="8" t="n">
        <f aca="false">SUMIFS(DA!$H$7:$H$300,DA!$B$7:$B$300,$B65)</f>
        <v>18819.48</v>
      </c>
      <c r="AZ65" s="8" t="n">
        <f aca="false">AY65-AX65</f>
        <v>-9204.52</v>
      </c>
      <c r="BA65" s="9" t="n">
        <f aca="false">IF(AX65&gt;0,AZ65/AX65,"")</f>
        <v>-0.328451327433628</v>
      </c>
      <c r="BB65" s="9" t="n">
        <f aca="false">IF(AY$6=0,"",AY65/AY$6)</f>
        <v>0.004867932674186</v>
      </c>
    </row>
    <row r="66" customFormat="false" ht="15" hidden="false" customHeight="false" outlineLevel="0" collapsed="false">
      <c r="A66" s="5" t="n">
        <v>60</v>
      </c>
      <c r="B66" s="47" t="s">
        <v>138</v>
      </c>
      <c r="C66" s="48" t="n">
        <f aca="false">IFERROR(INDEX(Prices!$C$6:$C$300,MATCH($B66,Prices!$A$6:$A$300,0)),"")</f>
        <v>363</v>
      </c>
      <c r="D66" s="49" t="str">
        <f aca="false">IFERROR(INDEX(Prices!$D$6:$D$300,MATCH($B66,Prices!$A$6:$A$300,0)),"")</f>
        <v>Close 22.10.2026 (Screener.in)</v>
      </c>
      <c r="E66" s="6" t="n">
        <f aca="false">(M66&gt;0)+(T66&gt;0)+(AA66&gt;0)+(AH66&gt;0)+(AO66&gt;0)+(AV66&gt;0)</f>
        <v>1</v>
      </c>
      <c r="F66" s="50" t="n">
        <f aca="false">M66+T66+AA66+AH66+AO66+AV66</f>
        <v>49</v>
      </c>
      <c r="G66" s="51" t="n">
        <f aca="false">IF(AND(F66&gt;0,H66&gt;0),H66/F66,"")</f>
        <v>527</v>
      </c>
      <c r="H66" s="52" t="n">
        <f aca="false">O66+V66+AC66+AJ66+AQ66+AX66</f>
        <v>25823</v>
      </c>
      <c r="I66" s="53" t="n">
        <f aca="false">P66+W66+AD66+AK66+AR66+AY66</f>
        <v>17787</v>
      </c>
      <c r="J66" s="52" t="n">
        <f aca="false">I66-H66</f>
        <v>-8036</v>
      </c>
      <c r="K66" s="54" t="n">
        <f aca="false">IF(H66&gt;0,J66/H66,"")</f>
        <v>-0.311195445920304</v>
      </c>
      <c r="L66" s="55" t="n">
        <f aca="false">IF(I$6=0,"",I66/I$6)</f>
        <v>0.000471400950394909</v>
      </c>
      <c r="M66" s="56" t="n">
        <f aca="false">SUMIFS(Gautam!$D$7:$D$300,Gautam!$B$7:$B$300,$B66)</f>
        <v>0</v>
      </c>
      <c r="N66" s="57" t="str">
        <f aca="false">IF(AND(M66&gt;0,O66&gt;0),O66/M66,"")</f>
        <v/>
      </c>
      <c r="O66" s="8" t="n">
        <f aca="false">SUMIFS(Gautam!$E$7:$E$300,Gautam!$B$7:$B$300,$B66)</f>
        <v>0</v>
      </c>
      <c r="P66" s="8" t="n">
        <f aca="false">SUMIFS(Gautam!$H$7:$H$300,Gautam!$B$7:$B$300,$B66)</f>
        <v>0</v>
      </c>
      <c r="Q66" s="8" t="n">
        <f aca="false">P66-O66</f>
        <v>0</v>
      </c>
      <c r="R66" s="9" t="str">
        <f aca="false">IF(O66&gt;0,Q66/O66,"")</f>
        <v/>
      </c>
      <c r="S66" s="9" t="n">
        <f aca="false">IF(P$6=0,"",P66/P$6)</f>
        <v>0</v>
      </c>
      <c r="T66" s="56" t="n">
        <f aca="false">SUMIFS('Manish Shilpa'!$D$7:$D$300,'Manish Shilpa'!$B$7:$B$300,$B66)</f>
        <v>0</v>
      </c>
      <c r="U66" s="57" t="str">
        <f aca="false">IF(AND(T66&gt;0,V66&gt;0),V66/T66,"")</f>
        <v/>
      </c>
      <c r="V66" s="8" t="n">
        <f aca="false">SUMIFS('Manish Shilpa'!$E$7:$E$300,'Manish Shilpa'!$B$7:$B$300,$B66)</f>
        <v>0</v>
      </c>
      <c r="W66" s="8" t="n">
        <f aca="false">SUMIFS('Manish Shilpa'!$H$7:$H$300,'Manish Shilpa'!$B$7:$B$300,$B66)</f>
        <v>0</v>
      </c>
      <c r="X66" s="8" t="n">
        <f aca="false">W66-V66</f>
        <v>0</v>
      </c>
      <c r="Y66" s="9" t="str">
        <f aca="false">IF(V66&gt;0,X66/V66,"")</f>
        <v/>
      </c>
      <c r="Z66" s="9" t="n">
        <f aca="false">IF(W$6=0,"",W66/W$6)</f>
        <v>0</v>
      </c>
      <c r="AA66" s="56" t="n">
        <f aca="false">SUMIFS('Saloni Mehra'!$D$7:$D$300,'Saloni Mehra'!$B$7:$B$300,$B66)</f>
        <v>0</v>
      </c>
      <c r="AB66" s="57" t="str">
        <f aca="false">IF(AND(AA66&gt;0,AC66&gt;0),AC66/AA66,"")</f>
        <v/>
      </c>
      <c r="AC66" s="8" t="n">
        <f aca="false">SUMIFS('Saloni Mehra'!$E$7:$E$300,'Saloni Mehra'!$B$7:$B$300,$B66)</f>
        <v>0</v>
      </c>
      <c r="AD66" s="8" t="n">
        <f aca="false">SUMIFS('Saloni Mehra'!$H$7:$H$300,'Saloni Mehra'!$B$7:$B$300,$B66)</f>
        <v>0</v>
      </c>
      <c r="AE66" s="8" t="n">
        <f aca="false">AD66-AC66</f>
        <v>0</v>
      </c>
      <c r="AF66" s="9" t="str">
        <f aca="false">IF(AC66&gt;0,AE66/AC66,"")</f>
        <v/>
      </c>
      <c r="AG66" s="9" t="n">
        <f aca="false">IF(AD$6=0,"",AD66/AD$6)</f>
        <v>0</v>
      </c>
      <c r="AH66" s="56" t="n">
        <f aca="false">SUMIFS('Vidushi Malhotra'!$D$7:$D$300,'Vidushi Malhotra'!$B$7:$B$300,$B66)</f>
        <v>0</v>
      </c>
      <c r="AI66" s="57" t="str">
        <f aca="false">IF(AND(AH66&gt;0,AJ66&gt;0),AJ66/AH66,"")</f>
        <v/>
      </c>
      <c r="AJ66" s="8" t="n">
        <f aca="false">SUMIFS('Vidushi Malhotra'!$E$7:$E$300,'Vidushi Malhotra'!$B$7:$B$300,$B66)</f>
        <v>0</v>
      </c>
      <c r="AK66" s="8" t="n">
        <f aca="false">SUMIFS('Vidushi Malhotra'!$H$7:$H$300,'Vidushi Malhotra'!$B$7:$B$300,$B66)</f>
        <v>0</v>
      </c>
      <c r="AL66" s="8" t="n">
        <f aca="false">AK66-AJ66</f>
        <v>0</v>
      </c>
      <c r="AM66" s="9" t="str">
        <f aca="false">IF(AJ66&gt;0,AL66/AJ66,"")</f>
        <v/>
      </c>
      <c r="AN66" s="9" t="n">
        <f aca="false">IF(AK$6=0,"",AK66/AK$6)</f>
        <v>0</v>
      </c>
      <c r="AO66" s="56" t="n">
        <f aca="false">SUMIFS('Dr Umesh Choudhry'!$D$7:$D$300,'Dr Umesh Choudhry'!$B$7:$B$300,$B66)</f>
        <v>0</v>
      </c>
      <c r="AP66" s="57" t="str">
        <f aca="false">IF(AND(AO66&gt;0,AQ66&gt;0),AQ66/AO66,"")</f>
        <v/>
      </c>
      <c r="AQ66" s="8" t="n">
        <f aca="false">SUMIFS('Dr Umesh Choudhry'!$E$7:$E$300,'Dr Umesh Choudhry'!$B$7:$B$300,$B66)</f>
        <v>0</v>
      </c>
      <c r="AR66" s="8" t="n">
        <f aca="false">SUMIFS('Dr Umesh Choudhry'!$H$7:$H$300,'Dr Umesh Choudhry'!$B$7:$B$300,$B66)</f>
        <v>0</v>
      </c>
      <c r="AS66" s="8" t="n">
        <f aca="false">AR66-AQ66</f>
        <v>0</v>
      </c>
      <c r="AT66" s="9" t="str">
        <f aca="false">IF(AQ66&gt;0,AS66/AQ66,"")</f>
        <v/>
      </c>
      <c r="AU66" s="9" t="n">
        <f aca="false">IF(AR$6=0,"",AR66/AR$6)</f>
        <v>0</v>
      </c>
      <c r="AV66" s="56" t="n">
        <f aca="false">SUMIFS(DA!$D$7:$D$300,DA!$B$7:$B$300,$B66)</f>
        <v>49</v>
      </c>
      <c r="AW66" s="57" t="n">
        <f aca="false">IF(AND(AV66&gt;0,AX66&gt;0),AX66/AV66,"")</f>
        <v>527</v>
      </c>
      <c r="AX66" s="8" t="n">
        <f aca="false">SUMIFS(DA!$E$7:$E$300,DA!$B$7:$B$300,$B66)</f>
        <v>25823</v>
      </c>
      <c r="AY66" s="8" t="n">
        <f aca="false">SUMIFS(DA!$H$7:$H$300,DA!$B$7:$B$300,$B66)</f>
        <v>17787</v>
      </c>
      <c r="AZ66" s="8" t="n">
        <f aca="false">AY66-AX66</f>
        <v>-8036</v>
      </c>
      <c r="BA66" s="9" t="n">
        <f aca="false">IF(AX66&gt;0,AZ66/AX66,"")</f>
        <v>-0.311195445920304</v>
      </c>
      <c r="BB66" s="9" t="n">
        <f aca="false">IF(AY$6=0,"",AY66/AY$6)</f>
        <v>0.00460086668046866</v>
      </c>
    </row>
    <row r="67" customFormat="false" ht="15" hidden="false" customHeight="false" outlineLevel="0" collapsed="false">
      <c r="A67" s="5" t="n">
        <v>61</v>
      </c>
      <c r="B67" s="47" t="s">
        <v>139</v>
      </c>
      <c r="C67" s="48" t="n">
        <f aca="false">IFERROR(INDEX(Prices!$C$6:$C$300,MATCH($B67,Prices!$A$6:$A$300,0)),"")</f>
        <v>104</v>
      </c>
      <c r="D67" s="49" t="str">
        <f aca="false">IFERROR(INDEX(Prices!$D$6:$D$300,MATCH($B67,Prices!$A$6:$A$300,0)),"")</f>
        <v>Close 22.10.2026 (Screener.in)</v>
      </c>
      <c r="E67" s="6" t="n">
        <f aca="false">(M67&gt;0)+(T67&gt;0)+(AA67&gt;0)+(AH67&gt;0)+(AO67&gt;0)+(AV67&gt;0)</f>
        <v>2</v>
      </c>
      <c r="F67" s="50" t="n">
        <f aca="false">M67+T67+AA67+AH67+AO67+AV67</f>
        <v>162</v>
      </c>
      <c r="G67" s="51" t="n">
        <f aca="false">IF(AND(F67&gt;0,H67&gt;0),H67/F67,"")</f>
        <v>162.111111111111</v>
      </c>
      <c r="H67" s="52" t="n">
        <f aca="false">O67+V67+AC67+AJ67+AQ67+AX67</f>
        <v>26262</v>
      </c>
      <c r="I67" s="53" t="n">
        <f aca="false">P67+W67+AD67+AK67+AR67+AY67</f>
        <v>16848</v>
      </c>
      <c r="J67" s="52" t="n">
        <f aca="false">I67-H67</f>
        <v>-9414</v>
      </c>
      <c r="K67" s="54" t="n">
        <f aca="false">IF(H67&gt;0,J67/H67,"")</f>
        <v>-0.358464701850583</v>
      </c>
      <c r="L67" s="55" t="n">
        <f aca="false">IF(I$6=0,"",I67/I$6)</f>
        <v>0.000446515051006545</v>
      </c>
      <c r="M67" s="56" t="n">
        <f aca="false">SUMIFS(Gautam!$D$7:$D$300,Gautam!$B$7:$B$300,$B67)</f>
        <v>0</v>
      </c>
      <c r="N67" s="57" t="str">
        <f aca="false">IF(AND(M67&gt;0,O67&gt;0),O67/M67,"")</f>
        <v/>
      </c>
      <c r="O67" s="8" t="n">
        <f aca="false">SUMIFS(Gautam!$E$7:$E$300,Gautam!$B$7:$B$300,$B67)</f>
        <v>0</v>
      </c>
      <c r="P67" s="8" t="n">
        <f aca="false">SUMIFS(Gautam!$H$7:$H$300,Gautam!$B$7:$B$300,$B67)</f>
        <v>0</v>
      </c>
      <c r="Q67" s="8" t="n">
        <f aca="false">P67-O67</f>
        <v>0</v>
      </c>
      <c r="R67" s="9" t="str">
        <f aca="false">IF(O67&gt;0,Q67/O67,"")</f>
        <v/>
      </c>
      <c r="S67" s="9" t="n">
        <f aca="false">IF(P$6=0,"",P67/P$6)</f>
        <v>0</v>
      </c>
      <c r="T67" s="56" t="n">
        <f aca="false">SUMIFS('Manish Shilpa'!$D$7:$D$300,'Manish Shilpa'!$B$7:$B$300,$B67)</f>
        <v>12</v>
      </c>
      <c r="U67" s="57" t="n">
        <f aca="false">IF(AND(T67&gt;0,V67&gt;0),V67/T67,"")</f>
        <v>188.5</v>
      </c>
      <c r="V67" s="8" t="n">
        <f aca="false">SUMIFS('Manish Shilpa'!$E$7:$E$300,'Manish Shilpa'!$B$7:$B$300,$B67)</f>
        <v>2262</v>
      </c>
      <c r="W67" s="8" t="n">
        <f aca="false">SUMIFS('Manish Shilpa'!$H$7:$H$300,'Manish Shilpa'!$B$7:$B$300,$B67)</f>
        <v>1248</v>
      </c>
      <c r="X67" s="8" t="n">
        <f aca="false">W67-V67</f>
        <v>-1014</v>
      </c>
      <c r="Y67" s="9" t="n">
        <f aca="false">IF(V67&gt;0,X67/V67,"")</f>
        <v>-0.448275862068966</v>
      </c>
      <c r="Z67" s="9" t="n">
        <f aca="false">IF(W$6=0,"",W67/W$6)</f>
        <v>0.000105531125419471</v>
      </c>
      <c r="AA67" s="56" t="n">
        <f aca="false">SUMIFS('Saloni Mehra'!$D$7:$D$300,'Saloni Mehra'!$B$7:$B$300,$B67)</f>
        <v>0</v>
      </c>
      <c r="AB67" s="57" t="str">
        <f aca="false">IF(AND(AA67&gt;0,AC67&gt;0),AC67/AA67,"")</f>
        <v/>
      </c>
      <c r="AC67" s="8" t="n">
        <f aca="false">SUMIFS('Saloni Mehra'!$E$7:$E$300,'Saloni Mehra'!$B$7:$B$300,$B67)</f>
        <v>0</v>
      </c>
      <c r="AD67" s="8" t="n">
        <f aca="false">SUMIFS('Saloni Mehra'!$H$7:$H$300,'Saloni Mehra'!$B$7:$B$300,$B67)</f>
        <v>0</v>
      </c>
      <c r="AE67" s="8" t="n">
        <f aca="false">AD67-AC67</f>
        <v>0</v>
      </c>
      <c r="AF67" s="9" t="str">
        <f aca="false">IF(AC67&gt;0,AE67/AC67,"")</f>
        <v/>
      </c>
      <c r="AG67" s="9" t="n">
        <f aca="false">IF(AD$6=0,"",AD67/AD$6)</f>
        <v>0</v>
      </c>
      <c r="AH67" s="56" t="n">
        <f aca="false">SUMIFS('Vidushi Malhotra'!$D$7:$D$300,'Vidushi Malhotra'!$B$7:$B$300,$B67)</f>
        <v>0</v>
      </c>
      <c r="AI67" s="57" t="str">
        <f aca="false">IF(AND(AH67&gt;0,AJ67&gt;0),AJ67/AH67,"")</f>
        <v/>
      </c>
      <c r="AJ67" s="8" t="n">
        <f aca="false">SUMIFS('Vidushi Malhotra'!$E$7:$E$300,'Vidushi Malhotra'!$B$7:$B$300,$B67)</f>
        <v>0</v>
      </c>
      <c r="AK67" s="8" t="n">
        <f aca="false">SUMIFS('Vidushi Malhotra'!$H$7:$H$300,'Vidushi Malhotra'!$B$7:$B$300,$B67)</f>
        <v>0</v>
      </c>
      <c r="AL67" s="8" t="n">
        <f aca="false">AK67-AJ67</f>
        <v>0</v>
      </c>
      <c r="AM67" s="9" t="str">
        <f aca="false">IF(AJ67&gt;0,AL67/AJ67,"")</f>
        <v/>
      </c>
      <c r="AN67" s="9" t="n">
        <f aca="false">IF(AK$6=0,"",AK67/AK$6)</f>
        <v>0</v>
      </c>
      <c r="AO67" s="56" t="n">
        <f aca="false">SUMIFS('Dr Umesh Choudhry'!$D$7:$D$300,'Dr Umesh Choudhry'!$B$7:$B$300,$B67)</f>
        <v>0</v>
      </c>
      <c r="AP67" s="57" t="str">
        <f aca="false">IF(AND(AO67&gt;0,AQ67&gt;0),AQ67/AO67,"")</f>
        <v/>
      </c>
      <c r="AQ67" s="8" t="n">
        <f aca="false">SUMIFS('Dr Umesh Choudhry'!$E$7:$E$300,'Dr Umesh Choudhry'!$B$7:$B$300,$B67)</f>
        <v>0</v>
      </c>
      <c r="AR67" s="8" t="n">
        <f aca="false">SUMIFS('Dr Umesh Choudhry'!$H$7:$H$300,'Dr Umesh Choudhry'!$B$7:$B$300,$B67)</f>
        <v>0</v>
      </c>
      <c r="AS67" s="8" t="n">
        <f aca="false">AR67-AQ67</f>
        <v>0</v>
      </c>
      <c r="AT67" s="9" t="str">
        <f aca="false">IF(AQ67&gt;0,AS67/AQ67,"")</f>
        <v/>
      </c>
      <c r="AU67" s="9" t="n">
        <f aca="false">IF(AR$6=0,"",AR67/AR$6)</f>
        <v>0</v>
      </c>
      <c r="AV67" s="56" t="n">
        <f aca="false">SUMIFS(DA!$D$7:$D$300,DA!$B$7:$B$300,$B67)</f>
        <v>150</v>
      </c>
      <c r="AW67" s="57" t="n">
        <f aca="false">IF(AND(AV67&gt;0,AX67&gt;0),AX67/AV67,"")</f>
        <v>160</v>
      </c>
      <c r="AX67" s="8" t="n">
        <f aca="false">SUMIFS(DA!$E$7:$E$300,DA!$B$7:$B$300,$B67)</f>
        <v>24000</v>
      </c>
      <c r="AY67" s="8" t="n">
        <f aca="false">SUMIFS(DA!$H$7:$H$300,DA!$B$7:$B$300,$B67)</f>
        <v>15600</v>
      </c>
      <c r="AZ67" s="8" t="n">
        <f aca="false">AY67-AX67</f>
        <v>-8400</v>
      </c>
      <c r="BA67" s="9" t="n">
        <f aca="false">IF(AX67&gt;0,AZ67/AX67,"")</f>
        <v>-0.35</v>
      </c>
      <c r="BB67" s="9" t="n">
        <f aca="false">IF(AY$6=0,"",AY67/AY$6)</f>
        <v>0.00403516726909041</v>
      </c>
    </row>
    <row r="68" customFormat="false" ht="15" hidden="false" customHeight="false" outlineLevel="0" collapsed="false">
      <c r="A68" s="5" t="n">
        <v>62</v>
      </c>
      <c r="B68" s="47" t="s">
        <v>140</v>
      </c>
      <c r="C68" s="48" t="n">
        <f aca="false">IFERROR(INDEX(Prices!$C$6:$C$300,MATCH($B68,Prices!$A$6:$A$300,0)),"")</f>
        <v>65.13</v>
      </c>
      <c r="D68" s="49" t="str">
        <f aca="false">IFERROR(INDEX(Prices!$D$6:$D$300,MATCH($B68,Prices!$A$6:$A$300,0)),"")</f>
        <v>Close 22.10.2026 (Screener.in)</v>
      </c>
      <c r="E68" s="6" t="n">
        <f aca="false">(M68&gt;0)+(T68&gt;0)+(AA68&gt;0)+(AH68&gt;0)+(AO68&gt;0)+(AV68&gt;0)</f>
        <v>1</v>
      </c>
      <c r="F68" s="50" t="n">
        <f aca="false">M68+T68+AA68+AH68+AO68+AV68</f>
        <v>250</v>
      </c>
      <c r="G68" s="51" t="n">
        <f aca="false">IF(AND(F68&gt;0,H68&gt;0),H68/F68,"")</f>
        <v>77</v>
      </c>
      <c r="H68" s="52" t="n">
        <f aca="false">O68+V68+AC68+AJ68+AQ68+AX68</f>
        <v>19250</v>
      </c>
      <c r="I68" s="53" t="n">
        <f aca="false">P68+W68+AD68+AK68+AR68+AY68</f>
        <v>16282.5</v>
      </c>
      <c r="J68" s="52" t="n">
        <f aca="false">I68-H68</f>
        <v>-2967.5</v>
      </c>
      <c r="K68" s="54" t="n">
        <f aca="false">IF(H68&gt;0,J68/H68,"")</f>
        <v>-0.154155844155844</v>
      </c>
      <c r="L68" s="55" t="n">
        <f aca="false">IF(I$6=0,"",I68/I$6)</f>
        <v>0.000431527856007483</v>
      </c>
      <c r="M68" s="56" t="n">
        <f aca="false">SUMIFS(Gautam!$D$7:$D$300,Gautam!$B$7:$B$300,$B68)</f>
        <v>250</v>
      </c>
      <c r="N68" s="57" t="n">
        <f aca="false">IF(AND(M68&gt;0,O68&gt;0),O68/M68,"")</f>
        <v>77</v>
      </c>
      <c r="O68" s="8" t="n">
        <f aca="false">SUMIFS(Gautam!$E$7:$E$300,Gautam!$B$7:$B$300,$B68)</f>
        <v>19250</v>
      </c>
      <c r="P68" s="8" t="n">
        <f aca="false">SUMIFS(Gautam!$H$7:$H$300,Gautam!$B$7:$B$300,$B68)</f>
        <v>16282.5</v>
      </c>
      <c r="Q68" s="8" t="n">
        <f aca="false">P68-O68</f>
        <v>-2967.5</v>
      </c>
      <c r="R68" s="9" t="n">
        <f aca="false">IF(O68&gt;0,Q68/O68,"")</f>
        <v>-0.154155844155844</v>
      </c>
      <c r="S68" s="9" t="n">
        <f aca="false">IF(P$6=0,"",P68/P$6)</f>
        <v>0.00311617412934152</v>
      </c>
      <c r="T68" s="56" t="n">
        <f aca="false">SUMIFS('Manish Shilpa'!$D$7:$D$300,'Manish Shilpa'!$B$7:$B$300,$B68)</f>
        <v>0</v>
      </c>
      <c r="U68" s="57" t="str">
        <f aca="false">IF(AND(T68&gt;0,V68&gt;0),V68/T68,"")</f>
        <v/>
      </c>
      <c r="V68" s="8" t="n">
        <f aca="false">SUMIFS('Manish Shilpa'!$E$7:$E$300,'Manish Shilpa'!$B$7:$B$300,$B68)</f>
        <v>0</v>
      </c>
      <c r="W68" s="8" t="n">
        <f aca="false">SUMIFS('Manish Shilpa'!$H$7:$H$300,'Manish Shilpa'!$B$7:$B$300,$B68)</f>
        <v>0</v>
      </c>
      <c r="X68" s="8" t="n">
        <f aca="false">W68-V68</f>
        <v>0</v>
      </c>
      <c r="Y68" s="9" t="str">
        <f aca="false">IF(V68&gt;0,X68/V68,"")</f>
        <v/>
      </c>
      <c r="Z68" s="9" t="n">
        <f aca="false">IF(W$6=0,"",W68/W$6)</f>
        <v>0</v>
      </c>
      <c r="AA68" s="56" t="n">
        <f aca="false">SUMIFS('Saloni Mehra'!$D$7:$D$300,'Saloni Mehra'!$B$7:$B$300,$B68)</f>
        <v>0</v>
      </c>
      <c r="AB68" s="57" t="str">
        <f aca="false">IF(AND(AA68&gt;0,AC68&gt;0),AC68/AA68,"")</f>
        <v/>
      </c>
      <c r="AC68" s="8" t="n">
        <f aca="false">SUMIFS('Saloni Mehra'!$E$7:$E$300,'Saloni Mehra'!$B$7:$B$300,$B68)</f>
        <v>0</v>
      </c>
      <c r="AD68" s="8" t="n">
        <f aca="false">SUMIFS('Saloni Mehra'!$H$7:$H$300,'Saloni Mehra'!$B$7:$B$300,$B68)</f>
        <v>0</v>
      </c>
      <c r="AE68" s="8" t="n">
        <f aca="false">AD68-AC68</f>
        <v>0</v>
      </c>
      <c r="AF68" s="9" t="str">
        <f aca="false">IF(AC68&gt;0,AE68/AC68,"")</f>
        <v/>
      </c>
      <c r="AG68" s="9" t="n">
        <f aca="false">IF(AD$6=0,"",AD68/AD$6)</f>
        <v>0</v>
      </c>
      <c r="AH68" s="56" t="n">
        <f aca="false">SUMIFS('Vidushi Malhotra'!$D$7:$D$300,'Vidushi Malhotra'!$B$7:$B$300,$B68)</f>
        <v>0</v>
      </c>
      <c r="AI68" s="57" t="str">
        <f aca="false">IF(AND(AH68&gt;0,AJ68&gt;0),AJ68/AH68,"")</f>
        <v/>
      </c>
      <c r="AJ68" s="8" t="n">
        <f aca="false">SUMIFS('Vidushi Malhotra'!$E$7:$E$300,'Vidushi Malhotra'!$B$7:$B$300,$B68)</f>
        <v>0</v>
      </c>
      <c r="AK68" s="8" t="n">
        <f aca="false">SUMIFS('Vidushi Malhotra'!$H$7:$H$300,'Vidushi Malhotra'!$B$7:$B$300,$B68)</f>
        <v>0</v>
      </c>
      <c r="AL68" s="8" t="n">
        <f aca="false">AK68-AJ68</f>
        <v>0</v>
      </c>
      <c r="AM68" s="9" t="str">
        <f aca="false">IF(AJ68&gt;0,AL68/AJ68,"")</f>
        <v/>
      </c>
      <c r="AN68" s="9" t="n">
        <f aca="false">IF(AK$6=0,"",AK68/AK$6)</f>
        <v>0</v>
      </c>
      <c r="AO68" s="56" t="n">
        <f aca="false">SUMIFS('Dr Umesh Choudhry'!$D$7:$D$300,'Dr Umesh Choudhry'!$B$7:$B$300,$B68)</f>
        <v>0</v>
      </c>
      <c r="AP68" s="57" t="str">
        <f aca="false">IF(AND(AO68&gt;0,AQ68&gt;0),AQ68/AO68,"")</f>
        <v/>
      </c>
      <c r="AQ68" s="8" t="n">
        <f aca="false">SUMIFS('Dr Umesh Choudhry'!$E$7:$E$300,'Dr Umesh Choudhry'!$B$7:$B$300,$B68)</f>
        <v>0</v>
      </c>
      <c r="AR68" s="8" t="n">
        <f aca="false">SUMIFS('Dr Umesh Choudhry'!$H$7:$H$300,'Dr Umesh Choudhry'!$B$7:$B$300,$B68)</f>
        <v>0</v>
      </c>
      <c r="AS68" s="8" t="n">
        <f aca="false">AR68-AQ68</f>
        <v>0</v>
      </c>
      <c r="AT68" s="9" t="str">
        <f aca="false">IF(AQ68&gt;0,AS68/AQ68,"")</f>
        <v/>
      </c>
      <c r="AU68" s="9" t="n">
        <f aca="false">IF(AR$6=0,"",AR68/AR$6)</f>
        <v>0</v>
      </c>
      <c r="AV68" s="56" t="n">
        <f aca="false">SUMIFS(DA!$D$7:$D$300,DA!$B$7:$B$300,$B68)</f>
        <v>0</v>
      </c>
      <c r="AW68" s="57" t="str">
        <f aca="false">IF(AND(AV68&gt;0,AX68&gt;0),AX68/AV68,"")</f>
        <v/>
      </c>
      <c r="AX68" s="8" t="n">
        <f aca="false">SUMIFS(DA!$E$7:$E$300,DA!$B$7:$B$300,$B68)</f>
        <v>0</v>
      </c>
      <c r="AY68" s="8" t="n">
        <f aca="false">SUMIFS(DA!$H$7:$H$300,DA!$B$7:$B$300,$B68)</f>
        <v>0</v>
      </c>
      <c r="AZ68" s="8" t="n">
        <f aca="false">AY68-AX68</f>
        <v>0</v>
      </c>
      <c r="BA68" s="9" t="str">
        <f aca="false">IF(AX68&gt;0,AZ68/AX68,"")</f>
        <v/>
      </c>
      <c r="BB68" s="9" t="n">
        <f aca="false">IF(AY$6=0,"",AY68/AY$6)</f>
        <v>0</v>
      </c>
    </row>
    <row r="69" customFormat="false" ht="15" hidden="false" customHeight="false" outlineLevel="0" collapsed="false">
      <c r="A69" s="5" t="n">
        <v>63</v>
      </c>
      <c r="B69" s="47" t="s">
        <v>141</v>
      </c>
      <c r="C69" s="48" t="n">
        <f aca="false">IFERROR(INDEX(Prices!$C$6:$C$300,MATCH($B69,Prices!$A$6:$A$300,0)),"")</f>
        <v>301.1</v>
      </c>
      <c r="D69" s="49" t="str">
        <f aca="false">IFERROR(INDEX(Prices!$D$6:$D$300,MATCH($B69,Prices!$A$6:$A$300,0)),"")</f>
        <v>Close 22.10.2026 (Screener.in)</v>
      </c>
      <c r="E69" s="6" t="n">
        <f aca="false">(M69&gt;0)+(T69&gt;0)+(AA69&gt;0)+(AH69&gt;0)+(AO69&gt;0)+(AV69&gt;0)</f>
        <v>1</v>
      </c>
      <c r="F69" s="50" t="n">
        <f aca="false">M69+T69+AA69+AH69+AO69+AV69</f>
        <v>54</v>
      </c>
      <c r="G69" s="51" t="n">
        <f aca="false">IF(AND(F69&gt;0,H69&gt;0),H69/F69,"")</f>
        <v>510</v>
      </c>
      <c r="H69" s="52" t="n">
        <f aca="false">O69+V69+AC69+AJ69+AQ69+AX69</f>
        <v>27540</v>
      </c>
      <c r="I69" s="53" t="n">
        <f aca="false">P69+W69+AD69+AK69+AR69+AY69</f>
        <v>16259.4</v>
      </c>
      <c r="J69" s="52" t="n">
        <f aca="false">I69-H69</f>
        <v>-11280.6</v>
      </c>
      <c r="K69" s="54" t="n">
        <f aca="false">IF(H69&gt;0,J69/H69,"")</f>
        <v>-0.409607843137255</v>
      </c>
      <c r="L69" s="55" t="n">
        <f aca="false">IF(I$6=0,"",I69/I$6)</f>
        <v>0.000430915646980996</v>
      </c>
      <c r="M69" s="56" t="n">
        <f aca="false">SUMIFS(Gautam!$D$7:$D$300,Gautam!$B$7:$B$300,$B69)</f>
        <v>0</v>
      </c>
      <c r="N69" s="57" t="str">
        <f aca="false">IF(AND(M69&gt;0,O69&gt;0),O69/M69,"")</f>
        <v/>
      </c>
      <c r="O69" s="8" t="n">
        <f aca="false">SUMIFS(Gautam!$E$7:$E$300,Gautam!$B$7:$B$300,$B69)</f>
        <v>0</v>
      </c>
      <c r="P69" s="8" t="n">
        <f aca="false">SUMIFS(Gautam!$H$7:$H$300,Gautam!$B$7:$B$300,$B69)</f>
        <v>0</v>
      </c>
      <c r="Q69" s="8" t="n">
        <f aca="false">P69-O69</f>
        <v>0</v>
      </c>
      <c r="R69" s="9" t="str">
        <f aca="false">IF(O69&gt;0,Q69/O69,"")</f>
        <v/>
      </c>
      <c r="S69" s="9" t="n">
        <f aca="false">IF(P$6=0,"",P69/P$6)</f>
        <v>0</v>
      </c>
      <c r="T69" s="56" t="n">
        <f aca="false">SUMIFS('Manish Shilpa'!$D$7:$D$300,'Manish Shilpa'!$B$7:$B$300,$B69)</f>
        <v>0</v>
      </c>
      <c r="U69" s="57" t="str">
        <f aca="false">IF(AND(T69&gt;0,V69&gt;0),V69/T69,"")</f>
        <v/>
      </c>
      <c r="V69" s="8" t="n">
        <f aca="false">SUMIFS('Manish Shilpa'!$E$7:$E$300,'Manish Shilpa'!$B$7:$B$300,$B69)</f>
        <v>0</v>
      </c>
      <c r="W69" s="8" t="n">
        <f aca="false">SUMIFS('Manish Shilpa'!$H$7:$H$300,'Manish Shilpa'!$B$7:$B$300,$B69)</f>
        <v>0</v>
      </c>
      <c r="X69" s="8" t="n">
        <f aca="false">W69-V69</f>
        <v>0</v>
      </c>
      <c r="Y69" s="9" t="str">
        <f aca="false">IF(V69&gt;0,X69/V69,"")</f>
        <v/>
      </c>
      <c r="Z69" s="9" t="n">
        <f aca="false">IF(W$6=0,"",W69/W$6)</f>
        <v>0</v>
      </c>
      <c r="AA69" s="56" t="n">
        <f aca="false">SUMIFS('Saloni Mehra'!$D$7:$D$300,'Saloni Mehra'!$B$7:$B$300,$B69)</f>
        <v>0</v>
      </c>
      <c r="AB69" s="57" t="str">
        <f aca="false">IF(AND(AA69&gt;0,AC69&gt;0),AC69/AA69,"")</f>
        <v/>
      </c>
      <c r="AC69" s="8" t="n">
        <f aca="false">SUMIFS('Saloni Mehra'!$E$7:$E$300,'Saloni Mehra'!$B$7:$B$300,$B69)</f>
        <v>0</v>
      </c>
      <c r="AD69" s="8" t="n">
        <f aca="false">SUMIFS('Saloni Mehra'!$H$7:$H$300,'Saloni Mehra'!$B$7:$B$300,$B69)</f>
        <v>0</v>
      </c>
      <c r="AE69" s="8" t="n">
        <f aca="false">AD69-AC69</f>
        <v>0</v>
      </c>
      <c r="AF69" s="9" t="str">
        <f aca="false">IF(AC69&gt;0,AE69/AC69,"")</f>
        <v/>
      </c>
      <c r="AG69" s="9" t="n">
        <f aca="false">IF(AD$6=0,"",AD69/AD$6)</f>
        <v>0</v>
      </c>
      <c r="AH69" s="56" t="n">
        <f aca="false">SUMIFS('Vidushi Malhotra'!$D$7:$D$300,'Vidushi Malhotra'!$B$7:$B$300,$B69)</f>
        <v>0</v>
      </c>
      <c r="AI69" s="57" t="str">
        <f aca="false">IF(AND(AH69&gt;0,AJ69&gt;0),AJ69/AH69,"")</f>
        <v/>
      </c>
      <c r="AJ69" s="8" t="n">
        <f aca="false">SUMIFS('Vidushi Malhotra'!$E$7:$E$300,'Vidushi Malhotra'!$B$7:$B$300,$B69)</f>
        <v>0</v>
      </c>
      <c r="AK69" s="8" t="n">
        <f aca="false">SUMIFS('Vidushi Malhotra'!$H$7:$H$300,'Vidushi Malhotra'!$B$7:$B$300,$B69)</f>
        <v>0</v>
      </c>
      <c r="AL69" s="8" t="n">
        <f aca="false">AK69-AJ69</f>
        <v>0</v>
      </c>
      <c r="AM69" s="9" t="str">
        <f aca="false">IF(AJ69&gt;0,AL69/AJ69,"")</f>
        <v/>
      </c>
      <c r="AN69" s="9" t="n">
        <f aca="false">IF(AK$6=0,"",AK69/AK$6)</f>
        <v>0</v>
      </c>
      <c r="AO69" s="56" t="n">
        <f aca="false">SUMIFS('Dr Umesh Choudhry'!$D$7:$D$300,'Dr Umesh Choudhry'!$B$7:$B$300,$B69)</f>
        <v>0</v>
      </c>
      <c r="AP69" s="57" t="str">
        <f aca="false">IF(AND(AO69&gt;0,AQ69&gt;0),AQ69/AO69,"")</f>
        <v/>
      </c>
      <c r="AQ69" s="8" t="n">
        <f aca="false">SUMIFS('Dr Umesh Choudhry'!$E$7:$E$300,'Dr Umesh Choudhry'!$B$7:$B$300,$B69)</f>
        <v>0</v>
      </c>
      <c r="AR69" s="8" t="n">
        <f aca="false">SUMIFS('Dr Umesh Choudhry'!$H$7:$H$300,'Dr Umesh Choudhry'!$B$7:$B$300,$B69)</f>
        <v>0</v>
      </c>
      <c r="AS69" s="8" t="n">
        <f aca="false">AR69-AQ69</f>
        <v>0</v>
      </c>
      <c r="AT69" s="9" t="str">
        <f aca="false">IF(AQ69&gt;0,AS69/AQ69,"")</f>
        <v/>
      </c>
      <c r="AU69" s="9" t="n">
        <f aca="false">IF(AR$6=0,"",AR69/AR$6)</f>
        <v>0</v>
      </c>
      <c r="AV69" s="56" t="n">
        <f aca="false">SUMIFS(DA!$D$7:$D$300,DA!$B$7:$B$300,$B69)</f>
        <v>54</v>
      </c>
      <c r="AW69" s="57" t="n">
        <f aca="false">IF(AND(AV69&gt;0,AX69&gt;0),AX69/AV69,"")</f>
        <v>510</v>
      </c>
      <c r="AX69" s="8" t="n">
        <f aca="false">SUMIFS(DA!$E$7:$E$300,DA!$B$7:$B$300,$B69)</f>
        <v>27540</v>
      </c>
      <c r="AY69" s="8" t="n">
        <f aca="false">SUMIFS(DA!$H$7:$H$300,DA!$B$7:$B$300,$B69)</f>
        <v>16259.4</v>
      </c>
      <c r="AZ69" s="8" t="n">
        <f aca="false">AY69-AX69</f>
        <v>-11280.6</v>
      </c>
      <c r="BA69" s="9" t="n">
        <f aca="false">IF(AX69&gt;0,AZ69/AX69,"")</f>
        <v>-0.409607843137255</v>
      </c>
      <c r="BB69" s="9" t="n">
        <f aca="false">IF(AY$6=0,"",AY69/AY$6)</f>
        <v>0.00420573068558004</v>
      </c>
    </row>
    <row r="70" customFormat="false" ht="15" hidden="false" customHeight="false" outlineLevel="0" collapsed="false">
      <c r="A70" s="5" t="n">
        <v>64</v>
      </c>
      <c r="B70" s="47" t="s">
        <v>142</v>
      </c>
      <c r="C70" s="48" t="n">
        <f aca="false">IFERROR(INDEX(Prices!$C$6:$C$300,MATCH($B70,Prices!$A$6:$A$300,0)),"")</f>
        <v>205.95</v>
      </c>
      <c r="D70" s="49" t="str">
        <f aca="false">IFERROR(INDEX(Prices!$D$6:$D$300,MATCH($B70,Prices!$A$6:$A$300,0)),"")</f>
        <v>Close 22.10.2026 (Screener.in)</v>
      </c>
      <c r="E70" s="6" t="n">
        <f aca="false">(M70&gt;0)+(T70&gt;0)+(AA70&gt;0)+(AH70&gt;0)+(AO70&gt;0)+(AV70&gt;0)</f>
        <v>1</v>
      </c>
      <c r="F70" s="50" t="n">
        <f aca="false">M70+T70+AA70+AH70+AO70+AV70</f>
        <v>78</v>
      </c>
      <c r="G70" s="51" t="n">
        <f aca="false">IF(AND(F70&gt;0,H70&gt;0),H70/F70,"")</f>
        <v>385</v>
      </c>
      <c r="H70" s="52" t="n">
        <f aca="false">O70+V70+AC70+AJ70+AQ70+AX70</f>
        <v>30030</v>
      </c>
      <c r="I70" s="53" t="n">
        <f aca="false">P70+W70+AD70+AK70+AR70+AY70</f>
        <v>16064.1</v>
      </c>
      <c r="J70" s="52" t="n">
        <f aca="false">I70-H70</f>
        <v>-13965.9</v>
      </c>
      <c r="K70" s="54" t="n">
        <f aca="false">IF(H70&gt;0,J70/H70,"")</f>
        <v>-0.465064935064935</v>
      </c>
      <c r="L70" s="55" t="n">
        <f aca="false">IF(I$6=0,"",I70/I$6)</f>
        <v>0.00042573969793888</v>
      </c>
      <c r="M70" s="56" t="n">
        <f aca="false">SUMIFS(Gautam!$D$7:$D$300,Gautam!$B$7:$B$300,$B70)</f>
        <v>0</v>
      </c>
      <c r="N70" s="57" t="str">
        <f aca="false">IF(AND(M70&gt;0,O70&gt;0),O70/M70,"")</f>
        <v/>
      </c>
      <c r="O70" s="8" t="n">
        <f aca="false">SUMIFS(Gautam!$E$7:$E$300,Gautam!$B$7:$B$300,$B70)</f>
        <v>0</v>
      </c>
      <c r="P70" s="8" t="n">
        <f aca="false">SUMIFS(Gautam!$H$7:$H$300,Gautam!$B$7:$B$300,$B70)</f>
        <v>0</v>
      </c>
      <c r="Q70" s="8" t="n">
        <f aca="false">P70-O70</f>
        <v>0</v>
      </c>
      <c r="R70" s="9" t="str">
        <f aca="false">IF(O70&gt;0,Q70/O70,"")</f>
        <v/>
      </c>
      <c r="S70" s="9" t="n">
        <f aca="false">IF(P$6=0,"",P70/P$6)</f>
        <v>0</v>
      </c>
      <c r="T70" s="56" t="n">
        <f aca="false">SUMIFS('Manish Shilpa'!$D$7:$D$300,'Manish Shilpa'!$B$7:$B$300,$B70)</f>
        <v>0</v>
      </c>
      <c r="U70" s="57" t="str">
        <f aca="false">IF(AND(T70&gt;0,V70&gt;0),V70/T70,"")</f>
        <v/>
      </c>
      <c r="V70" s="8" t="n">
        <f aca="false">SUMIFS('Manish Shilpa'!$E$7:$E$300,'Manish Shilpa'!$B$7:$B$300,$B70)</f>
        <v>0</v>
      </c>
      <c r="W70" s="8" t="n">
        <f aca="false">SUMIFS('Manish Shilpa'!$H$7:$H$300,'Manish Shilpa'!$B$7:$B$300,$B70)</f>
        <v>0</v>
      </c>
      <c r="X70" s="8" t="n">
        <f aca="false">W70-V70</f>
        <v>0</v>
      </c>
      <c r="Y70" s="9" t="str">
        <f aca="false">IF(V70&gt;0,X70/V70,"")</f>
        <v/>
      </c>
      <c r="Z70" s="9" t="n">
        <f aca="false">IF(W$6=0,"",W70/W$6)</f>
        <v>0</v>
      </c>
      <c r="AA70" s="56" t="n">
        <f aca="false">SUMIFS('Saloni Mehra'!$D$7:$D$300,'Saloni Mehra'!$B$7:$B$300,$B70)</f>
        <v>0</v>
      </c>
      <c r="AB70" s="57" t="str">
        <f aca="false">IF(AND(AA70&gt;0,AC70&gt;0),AC70/AA70,"")</f>
        <v/>
      </c>
      <c r="AC70" s="8" t="n">
        <f aca="false">SUMIFS('Saloni Mehra'!$E$7:$E$300,'Saloni Mehra'!$B$7:$B$300,$B70)</f>
        <v>0</v>
      </c>
      <c r="AD70" s="8" t="n">
        <f aca="false">SUMIFS('Saloni Mehra'!$H$7:$H$300,'Saloni Mehra'!$B$7:$B$300,$B70)</f>
        <v>0</v>
      </c>
      <c r="AE70" s="8" t="n">
        <f aca="false">AD70-AC70</f>
        <v>0</v>
      </c>
      <c r="AF70" s="9" t="str">
        <f aca="false">IF(AC70&gt;0,AE70/AC70,"")</f>
        <v/>
      </c>
      <c r="AG70" s="9" t="n">
        <f aca="false">IF(AD$6=0,"",AD70/AD$6)</f>
        <v>0</v>
      </c>
      <c r="AH70" s="56" t="n">
        <f aca="false">SUMIFS('Vidushi Malhotra'!$D$7:$D$300,'Vidushi Malhotra'!$B$7:$B$300,$B70)</f>
        <v>0</v>
      </c>
      <c r="AI70" s="57" t="str">
        <f aca="false">IF(AND(AH70&gt;0,AJ70&gt;0),AJ70/AH70,"")</f>
        <v/>
      </c>
      <c r="AJ70" s="8" t="n">
        <f aca="false">SUMIFS('Vidushi Malhotra'!$E$7:$E$300,'Vidushi Malhotra'!$B$7:$B$300,$B70)</f>
        <v>0</v>
      </c>
      <c r="AK70" s="8" t="n">
        <f aca="false">SUMIFS('Vidushi Malhotra'!$H$7:$H$300,'Vidushi Malhotra'!$B$7:$B$300,$B70)</f>
        <v>0</v>
      </c>
      <c r="AL70" s="8" t="n">
        <f aca="false">AK70-AJ70</f>
        <v>0</v>
      </c>
      <c r="AM70" s="9" t="str">
        <f aca="false">IF(AJ70&gt;0,AL70/AJ70,"")</f>
        <v/>
      </c>
      <c r="AN70" s="9" t="n">
        <f aca="false">IF(AK$6=0,"",AK70/AK$6)</f>
        <v>0</v>
      </c>
      <c r="AO70" s="56" t="n">
        <f aca="false">SUMIFS('Dr Umesh Choudhry'!$D$7:$D$300,'Dr Umesh Choudhry'!$B$7:$B$300,$B70)</f>
        <v>0</v>
      </c>
      <c r="AP70" s="57" t="str">
        <f aca="false">IF(AND(AO70&gt;0,AQ70&gt;0),AQ70/AO70,"")</f>
        <v/>
      </c>
      <c r="AQ70" s="8" t="n">
        <f aca="false">SUMIFS('Dr Umesh Choudhry'!$E$7:$E$300,'Dr Umesh Choudhry'!$B$7:$B$300,$B70)</f>
        <v>0</v>
      </c>
      <c r="AR70" s="8" t="n">
        <f aca="false">SUMIFS('Dr Umesh Choudhry'!$H$7:$H$300,'Dr Umesh Choudhry'!$B$7:$B$300,$B70)</f>
        <v>0</v>
      </c>
      <c r="AS70" s="8" t="n">
        <f aca="false">AR70-AQ70</f>
        <v>0</v>
      </c>
      <c r="AT70" s="9" t="str">
        <f aca="false">IF(AQ70&gt;0,AS70/AQ70,"")</f>
        <v/>
      </c>
      <c r="AU70" s="9" t="n">
        <f aca="false">IF(AR$6=0,"",AR70/AR$6)</f>
        <v>0</v>
      </c>
      <c r="AV70" s="56" t="n">
        <f aca="false">SUMIFS(DA!$D$7:$D$300,DA!$B$7:$B$300,$B70)</f>
        <v>78</v>
      </c>
      <c r="AW70" s="57" t="n">
        <f aca="false">IF(AND(AV70&gt;0,AX70&gt;0),AX70/AV70,"")</f>
        <v>385</v>
      </c>
      <c r="AX70" s="8" t="n">
        <f aca="false">SUMIFS(DA!$E$7:$E$300,DA!$B$7:$B$300,$B70)</f>
        <v>30030</v>
      </c>
      <c r="AY70" s="8" t="n">
        <f aca="false">SUMIFS(DA!$H$7:$H$300,DA!$B$7:$B$300,$B70)</f>
        <v>16064.1</v>
      </c>
      <c r="AZ70" s="8" t="n">
        <f aca="false">AY70-AX70</f>
        <v>-13965.9</v>
      </c>
      <c r="BA70" s="9" t="n">
        <f aca="false">IF(AX70&gt;0,AZ70/AX70,"")</f>
        <v>-0.465064935064935</v>
      </c>
      <c r="BB70" s="9" t="n">
        <f aca="false">IF(AY$6=0,"",AY70/AY$6)</f>
        <v>0.00415521349534585</v>
      </c>
    </row>
    <row r="71" customFormat="false" ht="15" hidden="false" customHeight="false" outlineLevel="0" collapsed="false">
      <c r="A71" s="5" t="n">
        <v>65</v>
      </c>
      <c r="B71" s="47" t="s">
        <v>143</v>
      </c>
      <c r="C71" s="48" t="n">
        <f aca="false">IFERROR(INDEX(Prices!$C$6:$C$300,MATCH($B71,Prices!$A$6:$A$300,0)),"")</f>
        <v>239.75</v>
      </c>
      <c r="D71" s="49" t="str">
        <f aca="false">IFERROR(INDEX(Prices!$D$6:$D$300,MATCH($B71,Prices!$A$6:$A$300,0)),"")</f>
        <v>Close 22.10.2026 (Screener.in)</v>
      </c>
      <c r="E71" s="6" t="n">
        <f aca="false">(M71&gt;0)+(T71&gt;0)+(AA71&gt;0)+(AH71&gt;0)+(AO71&gt;0)+(AV71&gt;0)</f>
        <v>1</v>
      </c>
      <c r="F71" s="50" t="n">
        <f aca="false">M71+T71+AA71+AH71+AO71+AV71</f>
        <v>67</v>
      </c>
      <c r="G71" s="51" t="n">
        <f aca="false">IF(AND(F71&gt;0,H71&gt;0),H71/F71,"")</f>
        <v>420</v>
      </c>
      <c r="H71" s="52" t="n">
        <f aca="false">O71+V71+AC71+AJ71+AQ71+AX71</f>
        <v>28140</v>
      </c>
      <c r="I71" s="53" t="n">
        <f aca="false">P71+W71+AD71+AK71+AR71+AY71</f>
        <v>16063.25</v>
      </c>
      <c r="J71" s="52" t="n">
        <f aca="false">I71-H71</f>
        <v>-12076.75</v>
      </c>
      <c r="K71" s="54" t="n">
        <f aca="false">IF(H71&gt;0,J71/H71,"")</f>
        <v>-0.429166666666667</v>
      </c>
      <c r="L71" s="55" t="n">
        <f aca="false">IF(I$6=0,"",I71/I$6)</f>
        <v>0.000425717170766909</v>
      </c>
      <c r="M71" s="56" t="n">
        <f aca="false">SUMIFS(Gautam!$D$7:$D$300,Gautam!$B$7:$B$300,$B71)</f>
        <v>0</v>
      </c>
      <c r="N71" s="57" t="str">
        <f aca="false">IF(AND(M71&gt;0,O71&gt;0),O71/M71,"")</f>
        <v/>
      </c>
      <c r="O71" s="8" t="n">
        <f aca="false">SUMIFS(Gautam!$E$7:$E$300,Gautam!$B$7:$B$300,$B71)</f>
        <v>0</v>
      </c>
      <c r="P71" s="8" t="n">
        <f aca="false">SUMIFS(Gautam!$H$7:$H$300,Gautam!$B$7:$B$300,$B71)</f>
        <v>0</v>
      </c>
      <c r="Q71" s="8" t="n">
        <f aca="false">P71-O71</f>
        <v>0</v>
      </c>
      <c r="R71" s="9" t="str">
        <f aca="false">IF(O71&gt;0,Q71/O71,"")</f>
        <v/>
      </c>
      <c r="S71" s="9" t="n">
        <f aca="false">IF(P$6=0,"",P71/P$6)</f>
        <v>0</v>
      </c>
      <c r="T71" s="56" t="n">
        <f aca="false">SUMIFS('Manish Shilpa'!$D$7:$D$300,'Manish Shilpa'!$B$7:$B$300,$B71)</f>
        <v>0</v>
      </c>
      <c r="U71" s="57" t="str">
        <f aca="false">IF(AND(T71&gt;0,V71&gt;0),V71/T71,"")</f>
        <v/>
      </c>
      <c r="V71" s="8" t="n">
        <f aca="false">SUMIFS('Manish Shilpa'!$E$7:$E$300,'Manish Shilpa'!$B$7:$B$300,$B71)</f>
        <v>0</v>
      </c>
      <c r="W71" s="8" t="n">
        <f aca="false">SUMIFS('Manish Shilpa'!$H$7:$H$300,'Manish Shilpa'!$B$7:$B$300,$B71)</f>
        <v>0</v>
      </c>
      <c r="X71" s="8" t="n">
        <f aca="false">W71-V71</f>
        <v>0</v>
      </c>
      <c r="Y71" s="9" t="str">
        <f aca="false">IF(V71&gt;0,X71/V71,"")</f>
        <v/>
      </c>
      <c r="Z71" s="9" t="n">
        <f aca="false">IF(W$6=0,"",W71/W$6)</f>
        <v>0</v>
      </c>
      <c r="AA71" s="56" t="n">
        <f aca="false">SUMIFS('Saloni Mehra'!$D$7:$D$300,'Saloni Mehra'!$B$7:$B$300,$B71)</f>
        <v>0</v>
      </c>
      <c r="AB71" s="57" t="str">
        <f aca="false">IF(AND(AA71&gt;0,AC71&gt;0),AC71/AA71,"")</f>
        <v/>
      </c>
      <c r="AC71" s="8" t="n">
        <f aca="false">SUMIFS('Saloni Mehra'!$E$7:$E$300,'Saloni Mehra'!$B$7:$B$300,$B71)</f>
        <v>0</v>
      </c>
      <c r="AD71" s="8" t="n">
        <f aca="false">SUMIFS('Saloni Mehra'!$H$7:$H$300,'Saloni Mehra'!$B$7:$B$300,$B71)</f>
        <v>0</v>
      </c>
      <c r="AE71" s="8" t="n">
        <f aca="false">AD71-AC71</f>
        <v>0</v>
      </c>
      <c r="AF71" s="9" t="str">
        <f aca="false">IF(AC71&gt;0,AE71/AC71,"")</f>
        <v/>
      </c>
      <c r="AG71" s="9" t="n">
        <f aca="false">IF(AD$6=0,"",AD71/AD$6)</f>
        <v>0</v>
      </c>
      <c r="AH71" s="56" t="n">
        <f aca="false">SUMIFS('Vidushi Malhotra'!$D$7:$D$300,'Vidushi Malhotra'!$B$7:$B$300,$B71)</f>
        <v>0</v>
      </c>
      <c r="AI71" s="57" t="str">
        <f aca="false">IF(AND(AH71&gt;0,AJ71&gt;0),AJ71/AH71,"")</f>
        <v/>
      </c>
      <c r="AJ71" s="8" t="n">
        <f aca="false">SUMIFS('Vidushi Malhotra'!$E$7:$E$300,'Vidushi Malhotra'!$B$7:$B$300,$B71)</f>
        <v>0</v>
      </c>
      <c r="AK71" s="8" t="n">
        <f aca="false">SUMIFS('Vidushi Malhotra'!$H$7:$H$300,'Vidushi Malhotra'!$B$7:$B$300,$B71)</f>
        <v>0</v>
      </c>
      <c r="AL71" s="8" t="n">
        <f aca="false">AK71-AJ71</f>
        <v>0</v>
      </c>
      <c r="AM71" s="9" t="str">
        <f aca="false">IF(AJ71&gt;0,AL71/AJ71,"")</f>
        <v/>
      </c>
      <c r="AN71" s="9" t="n">
        <f aca="false">IF(AK$6=0,"",AK71/AK$6)</f>
        <v>0</v>
      </c>
      <c r="AO71" s="56" t="n">
        <f aca="false">SUMIFS('Dr Umesh Choudhry'!$D$7:$D$300,'Dr Umesh Choudhry'!$B$7:$B$300,$B71)</f>
        <v>0</v>
      </c>
      <c r="AP71" s="57" t="str">
        <f aca="false">IF(AND(AO71&gt;0,AQ71&gt;0),AQ71/AO71,"")</f>
        <v/>
      </c>
      <c r="AQ71" s="8" t="n">
        <f aca="false">SUMIFS('Dr Umesh Choudhry'!$E$7:$E$300,'Dr Umesh Choudhry'!$B$7:$B$300,$B71)</f>
        <v>0</v>
      </c>
      <c r="AR71" s="8" t="n">
        <f aca="false">SUMIFS('Dr Umesh Choudhry'!$H$7:$H$300,'Dr Umesh Choudhry'!$B$7:$B$300,$B71)</f>
        <v>0</v>
      </c>
      <c r="AS71" s="8" t="n">
        <f aca="false">AR71-AQ71</f>
        <v>0</v>
      </c>
      <c r="AT71" s="9" t="str">
        <f aca="false">IF(AQ71&gt;0,AS71/AQ71,"")</f>
        <v/>
      </c>
      <c r="AU71" s="9" t="n">
        <f aca="false">IF(AR$6=0,"",AR71/AR$6)</f>
        <v>0</v>
      </c>
      <c r="AV71" s="56" t="n">
        <f aca="false">SUMIFS(DA!$D$7:$D$300,DA!$B$7:$B$300,$B71)</f>
        <v>67</v>
      </c>
      <c r="AW71" s="57" t="n">
        <f aca="false">IF(AND(AV71&gt;0,AX71&gt;0),AX71/AV71,"")</f>
        <v>420</v>
      </c>
      <c r="AX71" s="8" t="n">
        <f aca="false">SUMIFS(DA!$E$7:$E$300,DA!$B$7:$B$300,$B71)</f>
        <v>28140</v>
      </c>
      <c r="AY71" s="8" t="n">
        <f aca="false">SUMIFS(DA!$H$7:$H$300,DA!$B$7:$B$300,$B71)</f>
        <v>16063.25</v>
      </c>
      <c r="AZ71" s="8" t="n">
        <f aca="false">AY71-AX71</f>
        <v>-12076.75</v>
      </c>
      <c r="BA71" s="9" t="n">
        <f aca="false">IF(AX71&gt;0,AZ71/AX71,"")</f>
        <v>-0.429166666666667</v>
      </c>
      <c r="BB71" s="9" t="n">
        <f aca="false">IF(AY$6=0,"",AY71/AY$6)</f>
        <v>0.0041549936304626</v>
      </c>
    </row>
    <row r="72" customFormat="false" ht="15" hidden="false" customHeight="false" outlineLevel="0" collapsed="false">
      <c r="A72" s="5" t="n">
        <v>66</v>
      </c>
      <c r="B72" s="47" t="s">
        <v>144</v>
      </c>
      <c r="C72" s="48" t="n">
        <f aca="false">IFERROR(INDEX(Prices!$C$6:$C$300,MATCH($B72,Prices!$A$6:$A$300,0)),"")</f>
        <v>105.54</v>
      </c>
      <c r="D72" s="49" t="str">
        <f aca="false">IFERROR(INDEX(Prices!$D$6:$D$300,MATCH($B72,Prices!$A$6:$A$300,0)),"")</f>
        <v>Close 22.10.2026 (Screener.in)</v>
      </c>
      <c r="E72" s="6" t="n">
        <f aca="false">(M72&gt;0)+(T72&gt;0)+(AA72&gt;0)+(AH72&gt;0)+(AO72&gt;0)+(AV72&gt;0)</f>
        <v>1</v>
      </c>
      <c r="F72" s="50" t="n">
        <f aca="false">M72+T72+AA72+AH72+AO72+AV72</f>
        <v>150</v>
      </c>
      <c r="G72" s="51" t="n">
        <f aca="false">IF(AND(F72&gt;0,H72&gt;0),H72/F72,"")</f>
        <v>107</v>
      </c>
      <c r="H72" s="52" t="n">
        <f aca="false">O72+V72+AC72+AJ72+AQ72+AX72</f>
        <v>16050</v>
      </c>
      <c r="I72" s="53" t="n">
        <f aca="false">P72+W72+AD72+AK72+AR72+AY72</f>
        <v>15831</v>
      </c>
      <c r="J72" s="52" t="n">
        <f aca="false">I72-H72</f>
        <v>-218.999999999998</v>
      </c>
      <c r="K72" s="54" t="n">
        <f aca="false">IF(H72&gt;0,J72/H72,"")</f>
        <v>-0.013644859813084</v>
      </c>
      <c r="L72" s="55" t="n">
        <f aca="false">IF(I$6=0,"",I72/I$6)</f>
        <v>0.000419561952307966</v>
      </c>
      <c r="M72" s="56" t="n">
        <f aca="false">SUMIFS(Gautam!$D$7:$D$300,Gautam!$B$7:$B$300,$B72)</f>
        <v>150</v>
      </c>
      <c r="N72" s="57" t="n">
        <f aca="false">IF(AND(M72&gt;0,O72&gt;0),O72/M72,"")</f>
        <v>107</v>
      </c>
      <c r="O72" s="8" t="n">
        <f aca="false">SUMIFS(Gautam!$E$7:$E$300,Gautam!$B$7:$B$300,$B72)</f>
        <v>16050</v>
      </c>
      <c r="P72" s="8" t="n">
        <f aca="false">SUMIFS(Gautam!$H$7:$H$300,Gautam!$B$7:$B$300,$B72)</f>
        <v>15831</v>
      </c>
      <c r="Q72" s="8" t="n">
        <f aca="false">P72-O72</f>
        <v>-218.999999999998</v>
      </c>
      <c r="R72" s="9" t="n">
        <f aca="false">IF(O72&gt;0,Q72/O72,"")</f>
        <v>-0.013644859813084</v>
      </c>
      <c r="S72" s="9" t="n">
        <f aca="false">IF(P$6=0,"",P72/P$6)</f>
        <v>0.00302976524745006</v>
      </c>
      <c r="T72" s="56" t="n">
        <f aca="false">SUMIFS('Manish Shilpa'!$D$7:$D$300,'Manish Shilpa'!$B$7:$B$300,$B72)</f>
        <v>0</v>
      </c>
      <c r="U72" s="57" t="str">
        <f aca="false">IF(AND(T72&gt;0,V72&gt;0),V72/T72,"")</f>
        <v/>
      </c>
      <c r="V72" s="8" t="n">
        <f aca="false">SUMIFS('Manish Shilpa'!$E$7:$E$300,'Manish Shilpa'!$B$7:$B$300,$B72)</f>
        <v>0</v>
      </c>
      <c r="W72" s="8" t="n">
        <f aca="false">SUMIFS('Manish Shilpa'!$H$7:$H$300,'Manish Shilpa'!$B$7:$B$300,$B72)</f>
        <v>0</v>
      </c>
      <c r="X72" s="8" t="n">
        <f aca="false">W72-V72</f>
        <v>0</v>
      </c>
      <c r="Y72" s="9" t="str">
        <f aca="false">IF(V72&gt;0,X72/V72,"")</f>
        <v/>
      </c>
      <c r="Z72" s="9" t="n">
        <f aca="false">IF(W$6=0,"",W72/W$6)</f>
        <v>0</v>
      </c>
      <c r="AA72" s="56" t="n">
        <f aca="false">SUMIFS('Saloni Mehra'!$D$7:$D$300,'Saloni Mehra'!$B$7:$B$300,$B72)</f>
        <v>0</v>
      </c>
      <c r="AB72" s="57" t="str">
        <f aca="false">IF(AND(AA72&gt;0,AC72&gt;0),AC72/AA72,"")</f>
        <v/>
      </c>
      <c r="AC72" s="8" t="n">
        <f aca="false">SUMIFS('Saloni Mehra'!$E$7:$E$300,'Saloni Mehra'!$B$7:$B$300,$B72)</f>
        <v>0</v>
      </c>
      <c r="AD72" s="8" t="n">
        <f aca="false">SUMIFS('Saloni Mehra'!$H$7:$H$300,'Saloni Mehra'!$B$7:$B$300,$B72)</f>
        <v>0</v>
      </c>
      <c r="AE72" s="8" t="n">
        <f aca="false">AD72-AC72</f>
        <v>0</v>
      </c>
      <c r="AF72" s="9" t="str">
        <f aca="false">IF(AC72&gt;0,AE72/AC72,"")</f>
        <v/>
      </c>
      <c r="AG72" s="9" t="n">
        <f aca="false">IF(AD$6=0,"",AD72/AD$6)</f>
        <v>0</v>
      </c>
      <c r="AH72" s="56" t="n">
        <f aca="false">SUMIFS('Vidushi Malhotra'!$D$7:$D$300,'Vidushi Malhotra'!$B$7:$B$300,$B72)</f>
        <v>0</v>
      </c>
      <c r="AI72" s="57" t="str">
        <f aca="false">IF(AND(AH72&gt;0,AJ72&gt;0),AJ72/AH72,"")</f>
        <v/>
      </c>
      <c r="AJ72" s="8" t="n">
        <f aca="false">SUMIFS('Vidushi Malhotra'!$E$7:$E$300,'Vidushi Malhotra'!$B$7:$B$300,$B72)</f>
        <v>0</v>
      </c>
      <c r="AK72" s="8" t="n">
        <f aca="false">SUMIFS('Vidushi Malhotra'!$H$7:$H$300,'Vidushi Malhotra'!$B$7:$B$300,$B72)</f>
        <v>0</v>
      </c>
      <c r="AL72" s="8" t="n">
        <f aca="false">AK72-AJ72</f>
        <v>0</v>
      </c>
      <c r="AM72" s="9" t="str">
        <f aca="false">IF(AJ72&gt;0,AL72/AJ72,"")</f>
        <v/>
      </c>
      <c r="AN72" s="9" t="n">
        <f aca="false">IF(AK$6=0,"",AK72/AK$6)</f>
        <v>0</v>
      </c>
      <c r="AO72" s="56" t="n">
        <f aca="false">SUMIFS('Dr Umesh Choudhry'!$D$7:$D$300,'Dr Umesh Choudhry'!$B$7:$B$300,$B72)</f>
        <v>0</v>
      </c>
      <c r="AP72" s="57" t="str">
        <f aca="false">IF(AND(AO72&gt;0,AQ72&gt;0),AQ72/AO72,"")</f>
        <v/>
      </c>
      <c r="AQ72" s="8" t="n">
        <f aca="false">SUMIFS('Dr Umesh Choudhry'!$E$7:$E$300,'Dr Umesh Choudhry'!$B$7:$B$300,$B72)</f>
        <v>0</v>
      </c>
      <c r="AR72" s="8" t="n">
        <f aca="false">SUMIFS('Dr Umesh Choudhry'!$H$7:$H$300,'Dr Umesh Choudhry'!$B$7:$B$300,$B72)</f>
        <v>0</v>
      </c>
      <c r="AS72" s="8" t="n">
        <f aca="false">AR72-AQ72</f>
        <v>0</v>
      </c>
      <c r="AT72" s="9" t="str">
        <f aca="false">IF(AQ72&gt;0,AS72/AQ72,"")</f>
        <v/>
      </c>
      <c r="AU72" s="9" t="n">
        <f aca="false">IF(AR$6=0,"",AR72/AR$6)</f>
        <v>0</v>
      </c>
      <c r="AV72" s="56" t="n">
        <f aca="false">SUMIFS(DA!$D$7:$D$300,DA!$B$7:$B$300,$B72)</f>
        <v>0</v>
      </c>
      <c r="AW72" s="57" t="str">
        <f aca="false">IF(AND(AV72&gt;0,AX72&gt;0),AX72/AV72,"")</f>
        <v/>
      </c>
      <c r="AX72" s="8" t="n">
        <f aca="false">SUMIFS(DA!$E$7:$E$300,DA!$B$7:$B$300,$B72)</f>
        <v>0</v>
      </c>
      <c r="AY72" s="8" t="n">
        <f aca="false">SUMIFS(DA!$H$7:$H$300,DA!$B$7:$B$300,$B72)</f>
        <v>0</v>
      </c>
      <c r="AZ72" s="8" t="n">
        <f aca="false">AY72-AX72</f>
        <v>0</v>
      </c>
      <c r="BA72" s="9" t="str">
        <f aca="false">IF(AX72&gt;0,AZ72/AX72,"")</f>
        <v/>
      </c>
      <c r="BB72" s="9" t="n">
        <f aca="false">IF(AY$6=0,"",AY72/AY$6)</f>
        <v>0</v>
      </c>
    </row>
    <row r="73" customFormat="false" ht="15" hidden="false" customHeight="false" outlineLevel="0" collapsed="false">
      <c r="A73" s="5" t="n">
        <v>67</v>
      </c>
      <c r="B73" s="47" t="s">
        <v>145</v>
      </c>
      <c r="C73" s="48" t="n">
        <f aca="false">IFERROR(INDEX(Prices!$C$6:$C$300,MATCH($B73,Prices!$A$6:$A$300,0)),"")</f>
        <v>323</v>
      </c>
      <c r="D73" s="49" t="str">
        <f aca="false">IFERROR(INDEX(Prices!$D$6:$D$300,MATCH($B73,Prices!$A$6:$A$300,0)),"")</f>
        <v>Close 22.10.2026 (Screener.in)</v>
      </c>
      <c r="E73" s="6" t="n">
        <f aca="false">(M73&gt;0)+(T73&gt;0)+(AA73&gt;0)+(AH73&gt;0)+(AO73&gt;0)+(AV73&gt;0)</f>
        <v>1</v>
      </c>
      <c r="F73" s="50" t="n">
        <f aca="false">M73+T73+AA73+AH73+AO73+AV73</f>
        <v>48</v>
      </c>
      <c r="G73" s="51" t="n">
        <f aca="false">IF(AND(F73&gt;0,H73&gt;0),H73/F73,"")</f>
        <v>404</v>
      </c>
      <c r="H73" s="52" t="n">
        <f aca="false">O73+V73+AC73+AJ73+AQ73+AX73</f>
        <v>19392</v>
      </c>
      <c r="I73" s="53" t="n">
        <f aca="false">P73+W73+AD73+AK73+AR73+AY73</f>
        <v>15504</v>
      </c>
      <c r="J73" s="52" t="n">
        <f aca="false">I73-H73</f>
        <v>-3888</v>
      </c>
      <c r="K73" s="54" t="n">
        <f aca="false">IF(H73&gt;0,J73/H73,"")</f>
        <v>-0.200495049504951</v>
      </c>
      <c r="L73" s="55" t="n">
        <f aca="false">IF(I$6=0,"",I73/I$6)</f>
        <v>0.000410895616738217</v>
      </c>
      <c r="M73" s="56" t="n">
        <f aca="false">SUMIFS(Gautam!$D$7:$D$300,Gautam!$B$7:$B$300,$B73)</f>
        <v>0</v>
      </c>
      <c r="N73" s="57" t="str">
        <f aca="false">IF(AND(M73&gt;0,O73&gt;0),O73/M73,"")</f>
        <v/>
      </c>
      <c r="O73" s="8" t="n">
        <f aca="false">SUMIFS(Gautam!$E$7:$E$300,Gautam!$B$7:$B$300,$B73)</f>
        <v>0</v>
      </c>
      <c r="P73" s="8" t="n">
        <f aca="false">SUMIFS(Gautam!$H$7:$H$300,Gautam!$B$7:$B$300,$B73)</f>
        <v>0</v>
      </c>
      <c r="Q73" s="8" t="n">
        <f aca="false">P73-O73</f>
        <v>0</v>
      </c>
      <c r="R73" s="9" t="str">
        <f aca="false">IF(O73&gt;0,Q73/O73,"")</f>
        <v/>
      </c>
      <c r="S73" s="9" t="n">
        <f aca="false">IF(P$6=0,"",P73/P$6)</f>
        <v>0</v>
      </c>
      <c r="T73" s="56" t="n">
        <f aca="false">SUMIFS('Manish Shilpa'!$D$7:$D$300,'Manish Shilpa'!$B$7:$B$300,$B73)</f>
        <v>0</v>
      </c>
      <c r="U73" s="57" t="str">
        <f aca="false">IF(AND(T73&gt;0,V73&gt;0),V73/T73,"")</f>
        <v/>
      </c>
      <c r="V73" s="8" t="n">
        <f aca="false">SUMIFS('Manish Shilpa'!$E$7:$E$300,'Manish Shilpa'!$B$7:$B$300,$B73)</f>
        <v>0</v>
      </c>
      <c r="W73" s="8" t="n">
        <f aca="false">SUMIFS('Manish Shilpa'!$H$7:$H$300,'Manish Shilpa'!$B$7:$B$300,$B73)</f>
        <v>0</v>
      </c>
      <c r="X73" s="8" t="n">
        <f aca="false">W73-V73</f>
        <v>0</v>
      </c>
      <c r="Y73" s="9" t="str">
        <f aca="false">IF(V73&gt;0,X73/V73,"")</f>
        <v/>
      </c>
      <c r="Z73" s="9" t="n">
        <f aca="false">IF(W$6=0,"",W73/W$6)</f>
        <v>0</v>
      </c>
      <c r="AA73" s="56" t="n">
        <f aca="false">SUMIFS('Saloni Mehra'!$D$7:$D$300,'Saloni Mehra'!$B$7:$B$300,$B73)</f>
        <v>0</v>
      </c>
      <c r="AB73" s="57" t="str">
        <f aca="false">IF(AND(AA73&gt;0,AC73&gt;0),AC73/AA73,"")</f>
        <v/>
      </c>
      <c r="AC73" s="8" t="n">
        <f aca="false">SUMIFS('Saloni Mehra'!$E$7:$E$300,'Saloni Mehra'!$B$7:$B$300,$B73)</f>
        <v>0</v>
      </c>
      <c r="AD73" s="8" t="n">
        <f aca="false">SUMIFS('Saloni Mehra'!$H$7:$H$300,'Saloni Mehra'!$B$7:$B$300,$B73)</f>
        <v>0</v>
      </c>
      <c r="AE73" s="8" t="n">
        <f aca="false">AD73-AC73</f>
        <v>0</v>
      </c>
      <c r="AF73" s="9" t="str">
        <f aca="false">IF(AC73&gt;0,AE73/AC73,"")</f>
        <v/>
      </c>
      <c r="AG73" s="9" t="n">
        <f aca="false">IF(AD$6=0,"",AD73/AD$6)</f>
        <v>0</v>
      </c>
      <c r="AH73" s="56" t="n">
        <f aca="false">SUMIFS('Vidushi Malhotra'!$D$7:$D$300,'Vidushi Malhotra'!$B$7:$B$300,$B73)</f>
        <v>0</v>
      </c>
      <c r="AI73" s="57" t="str">
        <f aca="false">IF(AND(AH73&gt;0,AJ73&gt;0),AJ73/AH73,"")</f>
        <v/>
      </c>
      <c r="AJ73" s="8" t="n">
        <f aca="false">SUMIFS('Vidushi Malhotra'!$E$7:$E$300,'Vidushi Malhotra'!$B$7:$B$300,$B73)</f>
        <v>0</v>
      </c>
      <c r="AK73" s="8" t="n">
        <f aca="false">SUMIFS('Vidushi Malhotra'!$H$7:$H$300,'Vidushi Malhotra'!$B$7:$B$300,$B73)</f>
        <v>0</v>
      </c>
      <c r="AL73" s="8" t="n">
        <f aca="false">AK73-AJ73</f>
        <v>0</v>
      </c>
      <c r="AM73" s="9" t="str">
        <f aca="false">IF(AJ73&gt;0,AL73/AJ73,"")</f>
        <v/>
      </c>
      <c r="AN73" s="9" t="n">
        <f aca="false">IF(AK$6=0,"",AK73/AK$6)</f>
        <v>0</v>
      </c>
      <c r="AO73" s="56" t="n">
        <f aca="false">SUMIFS('Dr Umesh Choudhry'!$D$7:$D$300,'Dr Umesh Choudhry'!$B$7:$B$300,$B73)</f>
        <v>0</v>
      </c>
      <c r="AP73" s="57" t="str">
        <f aca="false">IF(AND(AO73&gt;0,AQ73&gt;0),AQ73/AO73,"")</f>
        <v/>
      </c>
      <c r="AQ73" s="8" t="n">
        <f aca="false">SUMIFS('Dr Umesh Choudhry'!$E$7:$E$300,'Dr Umesh Choudhry'!$B$7:$B$300,$B73)</f>
        <v>0</v>
      </c>
      <c r="AR73" s="8" t="n">
        <f aca="false">SUMIFS('Dr Umesh Choudhry'!$H$7:$H$300,'Dr Umesh Choudhry'!$B$7:$B$300,$B73)</f>
        <v>0</v>
      </c>
      <c r="AS73" s="8" t="n">
        <f aca="false">AR73-AQ73</f>
        <v>0</v>
      </c>
      <c r="AT73" s="9" t="str">
        <f aca="false">IF(AQ73&gt;0,AS73/AQ73,"")</f>
        <v/>
      </c>
      <c r="AU73" s="9" t="n">
        <f aca="false">IF(AR$6=0,"",AR73/AR$6)</f>
        <v>0</v>
      </c>
      <c r="AV73" s="56" t="n">
        <f aca="false">SUMIFS(DA!$D$7:$D$300,DA!$B$7:$B$300,$B73)</f>
        <v>48</v>
      </c>
      <c r="AW73" s="57" t="n">
        <f aca="false">IF(AND(AV73&gt;0,AX73&gt;0),AX73/AV73,"")</f>
        <v>404</v>
      </c>
      <c r="AX73" s="8" t="n">
        <f aca="false">SUMIFS(DA!$E$7:$E$300,DA!$B$7:$B$300,$B73)</f>
        <v>19392</v>
      </c>
      <c r="AY73" s="8" t="n">
        <f aca="false">SUMIFS(DA!$H$7:$H$300,DA!$B$7:$B$300,$B73)</f>
        <v>15504</v>
      </c>
      <c r="AZ73" s="8" t="n">
        <f aca="false">AY73-AX73</f>
        <v>-3888</v>
      </c>
      <c r="BA73" s="9" t="n">
        <f aca="false">IF(AX73&gt;0,AZ73/AX73,"")</f>
        <v>-0.200495049504951</v>
      </c>
      <c r="BB73" s="9" t="n">
        <f aca="false">IF(AY$6=0,"",AY73/AY$6)</f>
        <v>0.00401033547051139</v>
      </c>
    </row>
    <row r="74" customFormat="false" ht="15" hidden="false" customHeight="false" outlineLevel="0" collapsed="false">
      <c r="A74" s="5" t="n">
        <v>68</v>
      </c>
      <c r="B74" s="47" t="s">
        <v>146</v>
      </c>
      <c r="C74" s="48" t="n">
        <f aca="false">IFERROR(INDEX(Prices!$C$6:$C$300,MATCH($B74,Prices!$A$6:$A$300,0)),"")</f>
        <v>123</v>
      </c>
      <c r="D74" s="49" t="str">
        <f aca="false">IFERROR(INDEX(Prices!$D$6:$D$300,MATCH($B74,Prices!$A$6:$A$300,0)),"")</f>
        <v>Gautam stmt – 23.10</v>
      </c>
      <c r="E74" s="6" t="n">
        <f aca="false">(M74&gt;0)+(T74&gt;0)+(AA74&gt;0)+(AH74&gt;0)+(AO74&gt;0)+(AV74&gt;0)</f>
        <v>2</v>
      </c>
      <c r="F74" s="50" t="n">
        <f aca="false">M74+T74+AA74+AH74+AO74+AV74</f>
        <v>122</v>
      </c>
      <c r="G74" s="51" t="n">
        <f aca="false">IF(AND(F74&gt;0,H74&gt;0),H74/F74,"")</f>
        <v>109.614754098361</v>
      </c>
      <c r="H74" s="52" t="n">
        <f aca="false">O74+V74+AC74+AJ74+AQ74+AX74</f>
        <v>13373</v>
      </c>
      <c r="I74" s="53" t="n">
        <f aca="false">P74+W74+AD74+AK74+AR74+AY74</f>
        <v>15006</v>
      </c>
      <c r="J74" s="52" t="n">
        <f aca="false">I74-H74</f>
        <v>1633</v>
      </c>
      <c r="K74" s="54" t="n">
        <f aca="false">IF(H74&gt;0,J74/H74,"")</f>
        <v>0.122111717640021</v>
      </c>
      <c r="L74" s="55" t="n">
        <f aca="false">IF(I$6=0,"",I74/I$6)</f>
        <v>0.000397697344219149</v>
      </c>
      <c r="M74" s="56" t="n">
        <f aca="false">SUMIFS(Gautam!$D$7:$D$300,Gautam!$B$7:$B$300,$B74)</f>
        <v>121</v>
      </c>
      <c r="N74" s="57" t="n">
        <f aca="false">IF(AND(M74&gt;0,O74&gt;0),O74/M74,"")</f>
        <v>110</v>
      </c>
      <c r="O74" s="8" t="n">
        <f aca="false">SUMIFS(Gautam!$E$7:$E$300,Gautam!$B$7:$B$300,$B74)</f>
        <v>13310</v>
      </c>
      <c r="P74" s="8" t="n">
        <f aca="false">SUMIFS(Gautam!$H$7:$H$300,Gautam!$B$7:$B$300,$B74)</f>
        <v>14883</v>
      </c>
      <c r="Q74" s="8" t="n">
        <f aca="false">P74-O74</f>
        <v>1573</v>
      </c>
      <c r="R74" s="9" t="n">
        <f aca="false">IF(O74&gt;0,Q74/O74,"")</f>
        <v>0.118181818181818</v>
      </c>
      <c r="S74" s="9" t="n">
        <f aca="false">IF(P$6=0,"",P74/P$6)</f>
        <v>0.00284833530274773</v>
      </c>
      <c r="T74" s="56" t="n">
        <f aca="false">SUMIFS('Manish Shilpa'!$D$7:$D$300,'Manish Shilpa'!$B$7:$B$300,$B74)</f>
        <v>0</v>
      </c>
      <c r="U74" s="57" t="str">
        <f aca="false">IF(AND(T74&gt;0,V74&gt;0),V74/T74,"")</f>
        <v/>
      </c>
      <c r="V74" s="8" t="n">
        <f aca="false">SUMIFS('Manish Shilpa'!$E$7:$E$300,'Manish Shilpa'!$B$7:$B$300,$B74)</f>
        <v>0</v>
      </c>
      <c r="W74" s="8" t="n">
        <f aca="false">SUMIFS('Manish Shilpa'!$H$7:$H$300,'Manish Shilpa'!$B$7:$B$300,$B74)</f>
        <v>0</v>
      </c>
      <c r="X74" s="8" t="n">
        <f aca="false">W74-V74</f>
        <v>0</v>
      </c>
      <c r="Y74" s="9" t="str">
        <f aca="false">IF(V74&gt;0,X74/V74,"")</f>
        <v/>
      </c>
      <c r="Z74" s="9" t="n">
        <f aca="false">IF(W$6=0,"",W74/W$6)</f>
        <v>0</v>
      </c>
      <c r="AA74" s="56" t="n">
        <f aca="false">SUMIFS('Saloni Mehra'!$D$7:$D$300,'Saloni Mehra'!$B$7:$B$300,$B74)</f>
        <v>0</v>
      </c>
      <c r="AB74" s="57" t="str">
        <f aca="false">IF(AND(AA74&gt;0,AC74&gt;0),AC74/AA74,"")</f>
        <v/>
      </c>
      <c r="AC74" s="8" t="n">
        <f aca="false">SUMIFS('Saloni Mehra'!$E$7:$E$300,'Saloni Mehra'!$B$7:$B$300,$B74)</f>
        <v>0</v>
      </c>
      <c r="AD74" s="8" t="n">
        <f aca="false">SUMIFS('Saloni Mehra'!$H$7:$H$300,'Saloni Mehra'!$B$7:$B$300,$B74)</f>
        <v>0</v>
      </c>
      <c r="AE74" s="8" t="n">
        <f aca="false">AD74-AC74</f>
        <v>0</v>
      </c>
      <c r="AF74" s="9" t="str">
        <f aca="false">IF(AC74&gt;0,AE74/AC74,"")</f>
        <v/>
      </c>
      <c r="AG74" s="9" t="n">
        <f aca="false">IF(AD$6=0,"",AD74/AD$6)</f>
        <v>0</v>
      </c>
      <c r="AH74" s="56" t="n">
        <f aca="false">SUMIFS('Vidushi Malhotra'!$D$7:$D$300,'Vidushi Malhotra'!$B$7:$B$300,$B74)</f>
        <v>1</v>
      </c>
      <c r="AI74" s="57" t="n">
        <f aca="false">IF(AND(AH74&gt;0,AJ74&gt;0),AJ74/AH74,"")</f>
        <v>63</v>
      </c>
      <c r="AJ74" s="8" t="n">
        <f aca="false">SUMIFS('Vidushi Malhotra'!$E$7:$E$300,'Vidushi Malhotra'!$B$7:$B$300,$B74)</f>
        <v>63</v>
      </c>
      <c r="AK74" s="8" t="n">
        <f aca="false">SUMIFS('Vidushi Malhotra'!$H$7:$H$300,'Vidushi Malhotra'!$B$7:$B$300,$B74)</f>
        <v>123</v>
      </c>
      <c r="AL74" s="8" t="n">
        <f aca="false">AK74-AJ74</f>
        <v>60</v>
      </c>
      <c r="AM74" s="9" t="n">
        <f aca="false">IF(AJ74&gt;0,AL74/AJ74,"")</f>
        <v>0.952380952380952</v>
      </c>
      <c r="AN74" s="9" t="n">
        <f aca="false">IF(AK$6=0,"",AK74/AK$6)</f>
        <v>0.000543527822669385</v>
      </c>
      <c r="AO74" s="56" t="n">
        <f aca="false">SUMIFS('Dr Umesh Choudhry'!$D$7:$D$300,'Dr Umesh Choudhry'!$B$7:$B$300,$B74)</f>
        <v>0</v>
      </c>
      <c r="AP74" s="57" t="str">
        <f aca="false">IF(AND(AO74&gt;0,AQ74&gt;0),AQ74/AO74,"")</f>
        <v/>
      </c>
      <c r="AQ74" s="8" t="n">
        <f aca="false">SUMIFS('Dr Umesh Choudhry'!$E$7:$E$300,'Dr Umesh Choudhry'!$B$7:$B$300,$B74)</f>
        <v>0</v>
      </c>
      <c r="AR74" s="8" t="n">
        <f aca="false">SUMIFS('Dr Umesh Choudhry'!$H$7:$H$300,'Dr Umesh Choudhry'!$B$7:$B$300,$B74)</f>
        <v>0</v>
      </c>
      <c r="AS74" s="8" t="n">
        <f aca="false">AR74-AQ74</f>
        <v>0</v>
      </c>
      <c r="AT74" s="9" t="str">
        <f aca="false">IF(AQ74&gt;0,AS74/AQ74,"")</f>
        <v/>
      </c>
      <c r="AU74" s="9" t="n">
        <f aca="false">IF(AR$6=0,"",AR74/AR$6)</f>
        <v>0</v>
      </c>
      <c r="AV74" s="56" t="n">
        <f aca="false">SUMIFS(DA!$D$7:$D$300,DA!$B$7:$B$300,$B74)</f>
        <v>0</v>
      </c>
      <c r="AW74" s="57" t="str">
        <f aca="false">IF(AND(AV74&gt;0,AX74&gt;0),AX74/AV74,"")</f>
        <v/>
      </c>
      <c r="AX74" s="8" t="n">
        <f aca="false">SUMIFS(DA!$E$7:$E$300,DA!$B$7:$B$300,$B74)</f>
        <v>0</v>
      </c>
      <c r="AY74" s="8" t="n">
        <f aca="false">SUMIFS(DA!$H$7:$H$300,DA!$B$7:$B$300,$B74)</f>
        <v>0</v>
      </c>
      <c r="AZ74" s="8" t="n">
        <f aca="false">AY74-AX74</f>
        <v>0</v>
      </c>
      <c r="BA74" s="9" t="str">
        <f aca="false">IF(AX74&gt;0,AZ74/AX74,"")</f>
        <v/>
      </c>
      <c r="BB74" s="9" t="n">
        <f aca="false">IF(AY$6=0,"",AY74/AY$6)</f>
        <v>0</v>
      </c>
    </row>
    <row r="75" customFormat="false" ht="15" hidden="false" customHeight="false" outlineLevel="0" collapsed="false">
      <c r="A75" s="5" t="n">
        <v>69</v>
      </c>
      <c r="B75" s="47" t="s">
        <v>147</v>
      </c>
      <c r="C75" s="48" t="n">
        <f aca="false">IFERROR(INDEX(Prices!$C$6:$C$300,MATCH($B75,Prices!$A$6:$A$300,0)),"")</f>
        <v>101.09</v>
      </c>
      <c r="D75" s="49" t="str">
        <f aca="false">IFERROR(INDEX(Prices!$D$6:$D$300,MATCH($B75,Prices!$A$6:$A$300,0)),"")</f>
        <v>Close 22.10.2026 (Screener.in)</v>
      </c>
      <c r="E75" s="6" t="n">
        <f aca="false">(M75&gt;0)+(T75&gt;0)+(AA75&gt;0)+(AH75&gt;0)+(AO75&gt;0)+(AV75&gt;0)</f>
        <v>1</v>
      </c>
      <c r="F75" s="50" t="n">
        <f aca="false">M75+T75+AA75+AH75+AO75+AV75</f>
        <v>132</v>
      </c>
      <c r="G75" s="51" t="n">
        <f aca="false">IF(AND(F75&gt;0,H75&gt;0),H75/F75,"")</f>
        <v>178</v>
      </c>
      <c r="H75" s="52" t="n">
        <f aca="false">O75+V75+AC75+AJ75+AQ75+AX75</f>
        <v>23496</v>
      </c>
      <c r="I75" s="53" t="n">
        <f aca="false">P75+W75+AD75+AK75+AR75+AY75</f>
        <v>13343.88</v>
      </c>
      <c r="J75" s="52" t="n">
        <f aca="false">I75-H75</f>
        <v>-10152.12</v>
      </c>
      <c r="K75" s="54" t="n">
        <f aca="false">IF(H75&gt;0,J75/H75,"")</f>
        <v>-0.432078651685393</v>
      </c>
      <c r="L75" s="55" t="n">
        <f aca="false">IF(I$6=0,"",I75/I$6)</f>
        <v>0.000353646917071772</v>
      </c>
      <c r="M75" s="56" t="n">
        <f aca="false">SUMIFS(Gautam!$D$7:$D$300,Gautam!$B$7:$B$300,$B75)</f>
        <v>0</v>
      </c>
      <c r="N75" s="57" t="str">
        <f aca="false">IF(AND(M75&gt;0,O75&gt;0),O75/M75,"")</f>
        <v/>
      </c>
      <c r="O75" s="8" t="n">
        <f aca="false">SUMIFS(Gautam!$E$7:$E$300,Gautam!$B$7:$B$300,$B75)</f>
        <v>0</v>
      </c>
      <c r="P75" s="8" t="n">
        <f aca="false">SUMIFS(Gautam!$H$7:$H$300,Gautam!$B$7:$B$300,$B75)</f>
        <v>0</v>
      </c>
      <c r="Q75" s="8" t="n">
        <f aca="false">P75-O75</f>
        <v>0</v>
      </c>
      <c r="R75" s="9" t="str">
        <f aca="false">IF(O75&gt;0,Q75/O75,"")</f>
        <v/>
      </c>
      <c r="S75" s="9" t="n">
        <f aca="false">IF(P$6=0,"",P75/P$6)</f>
        <v>0</v>
      </c>
      <c r="T75" s="56" t="n">
        <f aca="false">SUMIFS('Manish Shilpa'!$D$7:$D$300,'Manish Shilpa'!$B$7:$B$300,$B75)</f>
        <v>0</v>
      </c>
      <c r="U75" s="57" t="str">
        <f aca="false">IF(AND(T75&gt;0,V75&gt;0),V75/T75,"")</f>
        <v/>
      </c>
      <c r="V75" s="8" t="n">
        <f aca="false">SUMIFS('Manish Shilpa'!$E$7:$E$300,'Manish Shilpa'!$B$7:$B$300,$B75)</f>
        <v>0</v>
      </c>
      <c r="W75" s="8" t="n">
        <f aca="false">SUMIFS('Manish Shilpa'!$H$7:$H$300,'Manish Shilpa'!$B$7:$B$300,$B75)</f>
        <v>0</v>
      </c>
      <c r="X75" s="8" t="n">
        <f aca="false">W75-V75</f>
        <v>0</v>
      </c>
      <c r="Y75" s="9" t="str">
        <f aca="false">IF(V75&gt;0,X75/V75,"")</f>
        <v/>
      </c>
      <c r="Z75" s="9" t="n">
        <f aca="false">IF(W$6=0,"",W75/W$6)</f>
        <v>0</v>
      </c>
      <c r="AA75" s="56" t="n">
        <f aca="false">SUMIFS('Saloni Mehra'!$D$7:$D$300,'Saloni Mehra'!$B$7:$B$300,$B75)</f>
        <v>0</v>
      </c>
      <c r="AB75" s="57" t="str">
        <f aca="false">IF(AND(AA75&gt;0,AC75&gt;0),AC75/AA75,"")</f>
        <v/>
      </c>
      <c r="AC75" s="8" t="n">
        <f aca="false">SUMIFS('Saloni Mehra'!$E$7:$E$300,'Saloni Mehra'!$B$7:$B$300,$B75)</f>
        <v>0</v>
      </c>
      <c r="AD75" s="8" t="n">
        <f aca="false">SUMIFS('Saloni Mehra'!$H$7:$H$300,'Saloni Mehra'!$B$7:$B$300,$B75)</f>
        <v>0</v>
      </c>
      <c r="AE75" s="8" t="n">
        <f aca="false">AD75-AC75</f>
        <v>0</v>
      </c>
      <c r="AF75" s="9" t="str">
        <f aca="false">IF(AC75&gt;0,AE75/AC75,"")</f>
        <v/>
      </c>
      <c r="AG75" s="9" t="n">
        <f aca="false">IF(AD$6=0,"",AD75/AD$6)</f>
        <v>0</v>
      </c>
      <c r="AH75" s="56" t="n">
        <f aca="false">SUMIFS('Vidushi Malhotra'!$D$7:$D$300,'Vidushi Malhotra'!$B$7:$B$300,$B75)</f>
        <v>0</v>
      </c>
      <c r="AI75" s="57" t="str">
        <f aca="false">IF(AND(AH75&gt;0,AJ75&gt;0),AJ75/AH75,"")</f>
        <v/>
      </c>
      <c r="AJ75" s="8" t="n">
        <f aca="false">SUMIFS('Vidushi Malhotra'!$E$7:$E$300,'Vidushi Malhotra'!$B$7:$B$300,$B75)</f>
        <v>0</v>
      </c>
      <c r="AK75" s="8" t="n">
        <f aca="false">SUMIFS('Vidushi Malhotra'!$H$7:$H$300,'Vidushi Malhotra'!$B$7:$B$300,$B75)</f>
        <v>0</v>
      </c>
      <c r="AL75" s="8" t="n">
        <f aca="false">AK75-AJ75</f>
        <v>0</v>
      </c>
      <c r="AM75" s="9" t="str">
        <f aca="false">IF(AJ75&gt;0,AL75/AJ75,"")</f>
        <v/>
      </c>
      <c r="AN75" s="9" t="n">
        <f aca="false">IF(AK$6=0,"",AK75/AK$6)</f>
        <v>0</v>
      </c>
      <c r="AO75" s="56" t="n">
        <f aca="false">SUMIFS('Dr Umesh Choudhry'!$D$7:$D$300,'Dr Umesh Choudhry'!$B$7:$B$300,$B75)</f>
        <v>0</v>
      </c>
      <c r="AP75" s="57" t="str">
        <f aca="false">IF(AND(AO75&gt;0,AQ75&gt;0),AQ75/AO75,"")</f>
        <v/>
      </c>
      <c r="AQ75" s="8" t="n">
        <f aca="false">SUMIFS('Dr Umesh Choudhry'!$E$7:$E$300,'Dr Umesh Choudhry'!$B$7:$B$300,$B75)</f>
        <v>0</v>
      </c>
      <c r="AR75" s="8" t="n">
        <f aca="false">SUMIFS('Dr Umesh Choudhry'!$H$7:$H$300,'Dr Umesh Choudhry'!$B$7:$B$300,$B75)</f>
        <v>0</v>
      </c>
      <c r="AS75" s="8" t="n">
        <f aca="false">AR75-AQ75</f>
        <v>0</v>
      </c>
      <c r="AT75" s="9" t="str">
        <f aca="false">IF(AQ75&gt;0,AS75/AQ75,"")</f>
        <v/>
      </c>
      <c r="AU75" s="9" t="n">
        <f aca="false">IF(AR$6=0,"",AR75/AR$6)</f>
        <v>0</v>
      </c>
      <c r="AV75" s="56" t="n">
        <f aca="false">SUMIFS(DA!$D$7:$D$300,DA!$B$7:$B$300,$B75)</f>
        <v>132</v>
      </c>
      <c r="AW75" s="57" t="n">
        <f aca="false">IF(AND(AV75&gt;0,AX75&gt;0),AX75/AV75,"")</f>
        <v>178</v>
      </c>
      <c r="AX75" s="8" t="n">
        <f aca="false">SUMIFS(DA!$E$7:$E$300,DA!$B$7:$B$300,$B75)</f>
        <v>23496</v>
      </c>
      <c r="AY75" s="8" t="n">
        <f aca="false">SUMIFS(DA!$H$7:$H$300,DA!$B$7:$B$300,$B75)</f>
        <v>13343.88</v>
      </c>
      <c r="AZ75" s="8" t="n">
        <f aca="false">AY75-AX75</f>
        <v>-10152.12</v>
      </c>
      <c r="BA75" s="9" t="n">
        <f aca="false">IF(AX75&gt;0,AZ75/AX75,"")</f>
        <v>-0.432078651685393</v>
      </c>
      <c r="BB75" s="9" t="n">
        <f aca="false">IF(AY$6=0,"",AY75/AY$6)</f>
        <v>0.00345158896273527</v>
      </c>
    </row>
    <row r="76" customFormat="false" ht="15" hidden="false" customHeight="false" outlineLevel="0" collapsed="false">
      <c r="A76" s="5" t="n">
        <v>70</v>
      </c>
      <c r="B76" s="47" t="s">
        <v>148</v>
      </c>
      <c r="C76" s="48" t="n">
        <f aca="false">IFERROR(INDEX(Prices!$C$6:$C$300,MATCH($B76,Prices!$A$6:$A$300,0)),"")</f>
        <v>266.55</v>
      </c>
      <c r="D76" s="49" t="str">
        <f aca="false">IFERROR(INDEX(Prices!$D$6:$D$300,MATCH($B76,Prices!$A$6:$A$300,0)),"")</f>
        <v>Close 22.10.2026 (Screener.in)</v>
      </c>
      <c r="E76" s="6" t="n">
        <f aca="false">(M76&gt;0)+(T76&gt;0)+(AA76&gt;0)+(AH76&gt;0)+(AO76&gt;0)+(AV76&gt;0)</f>
        <v>1</v>
      </c>
      <c r="F76" s="50" t="n">
        <f aca="false">M76+T76+AA76+AH76+AO76+AV76</f>
        <v>50</v>
      </c>
      <c r="G76" s="51" t="n">
        <f aca="false">IF(AND(F76&gt;0,H76&gt;0),H76/F76,"")</f>
        <v>279.24</v>
      </c>
      <c r="H76" s="52" t="n">
        <f aca="false">O76+V76+AC76+AJ76+AQ76+AX76</f>
        <v>13962</v>
      </c>
      <c r="I76" s="53" t="n">
        <f aca="false">P76+W76+AD76+AK76+AR76+AY76</f>
        <v>13327.5</v>
      </c>
      <c r="J76" s="52" t="n">
        <f aca="false">I76-H76</f>
        <v>-634.5</v>
      </c>
      <c r="K76" s="54" t="n">
        <f aca="false">IF(H76&gt;0,J76/H76,"")</f>
        <v>-0.0454447786850022</v>
      </c>
      <c r="L76" s="55" t="n">
        <f aca="false">IF(I$6=0,"",I76/I$6)</f>
        <v>0.000353212805216627</v>
      </c>
      <c r="M76" s="56" t="n">
        <f aca="false">SUMIFS(Gautam!$D$7:$D$300,Gautam!$B$7:$B$300,$B76)</f>
        <v>0</v>
      </c>
      <c r="N76" s="57" t="str">
        <f aca="false">IF(AND(M76&gt;0,O76&gt;0),O76/M76,"")</f>
        <v/>
      </c>
      <c r="O76" s="8" t="n">
        <f aca="false">SUMIFS(Gautam!$E$7:$E$300,Gautam!$B$7:$B$300,$B76)</f>
        <v>0</v>
      </c>
      <c r="P76" s="8" t="n">
        <f aca="false">SUMIFS(Gautam!$H$7:$H$300,Gautam!$B$7:$B$300,$B76)</f>
        <v>0</v>
      </c>
      <c r="Q76" s="8" t="n">
        <f aca="false">P76-O76</f>
        <v>0</v>
      </c>
      <c r="R76" s="9" t="str">
        <f aca="false">IF(O76&gt;0,Q76/O76,"")</f>
        <v/>
      </c>
      <c r="S76" s="9" t="n">
        <f aca="false">IF(P$6=0,"",P76/P$6)</f>
        <v>0</v>
      </c>
      <c r="T76" s="56" t="n">
        <f aca="false">SUMIFS('Manish Shilpa'!$D$7:$D$300,'Manish Shilpa'!$B$7:$B$300,$B76)</f>
        <v>50</v>
      </c>
      <c r="U76" s="57" t="n">
        <f aca="false">IF(AND(T76&gt;0,V76&gt;0),V76/T76,"")</f>
        <v>279.24</v>
      </c>
      <c r="V76" s="8" t="n">
        <f aca="false">SUMIFS('Manish Shilpa'!$E$7:$E$300,'Manish Shilpa'!$B$7:$B$300,$B76)</f>
        <v>13962</v>
      </c>
      <c r="W76" s="8" t="n">
        <f aca="false">SUMIFS('Manish Shilpa'!$H$7:$H$300,'Manish Shilpa'!$B$7:$B$300,$B76)</f>
        <v>13327.5</v>
      </c>
      <c r="X76" s="8" t="n">
        <f aca="false">W76-V76</f>
        <v>-634.5</v>
      </c>
      <c r="Y76" s="9" t="n">
        <f aca="false">IF(V76&gt;0,X76/V76,"")</f>
        <v>-0.0454447786850022</v>
      </c>
      <c r="Z76" s="9" t="n">
        <f aca="false">IF(W$6=0,"",W76/W$6)</f>
        <v>0.00112697602085576</v>
      </c>
      <c r="AA76" s="56" t="n">
        <f aca="false">SUMIFS('Saloni Mehra'!$D$7:$D$300,'Saloni Mehra'!$B$7:$B$300,$B76)</f>
        <v>0</v>
      </c>
      <c r="AB76" s="57" t="str">
        <f aca="false">IF(AND(AA76&gt;0,AC76&gt;0),AC76/AA76,"")</f>
        <v/>
      </c>
      <c r="AC76" s="8" t="n">
        <f aca="false">SUMIFS('Saloni Mehra'!$E$7:$E$300,'Saloni Mehra'!$B$7:$B$300,$B76)</f>
        <v>0</v>
      </c>
      <c r="AD76" s="8" t="n">
        <f aca="false">SUMIFS('Saloni Mehra'!$H$7:$H$300,'Saloni Mehra'!$B$7:$B$300,$B76)</f>
        <v>0</v>
      </c>
      <c r="AE76" s="8" t="n">
        <f aca="false">AD76-AC76</f>
        <v>0</v>
      </c>
      <c r="AF76" s="9" t="str">
        <f aca="false">IF(AC76&gt;0,AE76/AC76,"")</f>
        <v/>
      </c>
      <c r="AG76" s="9" t="n">
        <f aca="false">IF(AD$6=0,"",AD76/AD$6)</f>
        <v>0</v>
      </c>
      <c r="AH76" s="56" t="n">
        <f aca="false">SUMIFS('Vidushi Malhotra'!$D$7:$D$300,'Vidushi Malhotra'!$B$7:$B$300,$B76)</f>
        <v>0</v>
      </c>
      <c r="AI76" s="57" t="str">
        <f aca="false">IF(AND(AH76&gt;0,AJ76&gt;0),AJ76/AH76,"")</f>
        <v/>
      </c>
      <c r="AJ76" s="8" t="n">
        <f aca="false">SUMIFS('Vidushi Malhotra'!$E$7:$E$300,'Vidushi Malhotra'!$B$7:$B$300,$B76)</f>
        <v>0</v>
      </c>
      <c r="AK76" s="8" t="n">
        <f aca="false">SUMIFS('Vidushi Malhotra'!$H$7:$H$300,'Vidushi Malhotra'!$B$7:$B$300,$B76)</f>
        <v>0</v>
      </c>
      <c r="AL76" s="8" t="n">
        <f aca="false">AK76-AJ76</f>
        <v>0</v>
      </c>
      <c r="AM76" s="9" t="str">
        <f aca="false">IF(AJ76&gt;0,AL76/AJ76,"")</f>
        <v/>
      </c>
      <c r="AN76" s="9" t="n">
        <f aca="false">IF(AK$6=0,"",AK76/AK$6)</f>
        <v>0</v>
      </c>
      <c r="AO76" s="56" t="n">
        <f aca="false">SUMIFS('Dr Umesh Choudhry'!$D$7:$D$300,'Dr Umesh Choudhry'!$B$7:$B$300,$B76)</f>
        <v>0</v>
      </c>
      <c r="AP76" s="57" t="str">
        <f aca="false">IF(AND(AO76&gt;0,AQ76&gt;0),AQ76/AO76,"")</f>
        <v/>
      </c>
      <c r="AQ76" s="8" t="n">
        <f aca="false">SUMIFS('Dr Umesh Choudhry'!$E$7:$E$300,'Dr Umesh Choudhry'!$B$7:$B$300,$B76)</f>
        <v>0</v>
      </c>
      <c r="AR76" s="8" t="n">
        <f aca="false">SUMIFS('Dr Umesh Choudhry'!$H$7:$H$300,'Dr Umesh Choudhry'!$B$7:$B$300,$B76)</f>
        <v>0</v>
      </c>
      <c r="AS76" s="8" t="n">
        <f aca="false">AR76-AQ76</f>
        <v>0</v>
      </c>
      <c r="AT76" s="9" t="str">
        <f aca="false">IF(AQ76&gt;0,AS76/AQ76,"")</f>
        <v/>
      </c>
      <c r="AU76" s="9" t="n">
        <f aca="false">IF(AR$6=0,"",AR76/AR$6)</f>
        <v>0</v>
      </c>
      <c r="AV76" s="56" t="n">
        <f aca="false">SUMIFS(DA!$D$7:$D$300,DA!$B$7:$B$300,$B76)</f>
        <v>0</v>
      </c>
      <c r="AW76" s="57" t="str">
        <f aca="false">IF(AND(AV76&gt;0,AX76&gt;0),AX76/AV76,"")</f>
        <v/>
      </c>
      <c r="AX76" s="8" t="n">
        <f aca="false">SUMIFS(DA!$E$7:$E$300,DA!$B$7:$B$300,$B76)</f>
        <v>0</v>
      </c>
      <c r="AY76" s="8" t="n">
        <f aca="false">SUMIFS(DA!$H$7:$H$300,DA!$B$7:$B$300,$B76)</f>
        <v>0</v>
      </c>
      <c r="AZ76" s="8" t="n">
        <f aca="false">AY76-AX76</f>
        <v>0</v>
      </c>
      <c r="BA76" s="9" t="str">
        <f aca="false">IF(AX76&gt;0,AZ76/AX76,"")</f>
        <v/>
      </c>
      <c r="BB76" s="9" t="n">
        <f aca="false">IF(AY$6=0,"",AY76/AY$6)</f>
        <v>0</v>
      </c>
    </row>
    <row r="77" customFormat="false" ht="15" hidden="false" customHeight="false" outlineLevel="0" collapsed="false">
      <c r="A77" s="5" t="n">
        <v>71</v>
      </c>
      <c r="B77" s="47" t="s">
        <v>149</v>
      </c>
      <c r="C77" s="48" t="n">
        <f aca="false">IFERROR(INDEX(Prices!$C$6:$C$300,MATCH($B77,Prices!$A$6:$A$300,0)),"")</f>
        <v>400.65</v>
      </c>
      <c r="D77" s="49" t="str">
        <f aca="false">IFERROR(INDEX(Prices!$D$6:$D$300,MATCH($B77,Prices!$A$6:$A$300,0)),"")</f>
        <v>Close 22.10.2026 (Screener.in)</v>
      </c>
      <c r="E77" s="6" t="n">
        <f aca="false">(M77&gt;0)+(T77&gt;0)+(AA77&gt;0)+(AH77&gt;0)+(AO77&gt;0)+(AV77&gt;0)</f>
        <v>1</v>
      </c>
      <c r="F77" s="50" t="n">
        <f aca="false">M77+T77+AA77+AH77+AO77+AV77</f>
        <v>33</v>
      </c>
      <c r="G77" s="51" t="n">
        <f aca="false">IF(AND(F77&gt;0,H77&gt;0),H77/F77,"")</f>
        <v>542</v>
      </c>
      <c r="H77" s="52" t="n">
        <f aca="false">O77+V77+AC77+AJ77+AQ77+AX77</f>
        <v>17886</v>
      </c>
      <c r="I77" s="53" t="n">
        <f aca="false">P77+W77+AD77+AK77+AR77+AY77</f>
        <v>13221.45</v>
      </c>
      <c r="J77" s="52" t="n">
        <f aca="false">I77-H77</f>
        <v>-4664.55</v>
      </c>
      <c r="K77" s="54" t="n">
        <f aca="false">IF(H77&gt;0,J77/H77,"")</f>
        <v>-0.260793357933579</v>
      </c>
      <c r="L77" s="55" t="n">
        <f aca="false">IF(I$6=0,"",I77/I$6)</f>
        <v>0.000350402209231392</v>
      </c>
      <c r="M77" s="56" t="n">
        <f aca="false">SUMIFS(Gautam!$D$7:$D$300,Gautam!$B$7:$B$300,$B77)</f>
        <v>0</v>
      </c>
      <c r="N77" s="57" t="str">
        <f aca="false">IF(AND(M77&gt;0,O77&gt;0),O77/M77,"")</f>
        <v/>
      </c>
      <c r="O77" s="8" t="n">
        <f aca="false">SUMIFS(Gautam!$E$7:$E$300,Gautam!$B$7:$B$300,$B77)</f>
        <v>0</v>
      </c>
      <c r="P77" s="8" t="n">
        <f aca="false">SUMIFS(Gautam!$H$7:$H$300,Gautam!$B$7:$B$300,$B77)</f>
        <v>0</v>
      </c>
      <c r="Q77" s="8" t="n">
        <f aca="false">P77-O77</f>
        <v>0</v>
      </c>
      <c r="R77" s="9" t="str">
        <f aca="false">IF(O77&gt;0,Q77/O77,"")</f>
        <v/>
      </c>
      <c r="S77" s="9" t="n">
        <f aca="false">IF(P$6=0,"",P77/P$6)</f>
        <v>0</v>
      </c>
      <c r="T77" s="56" t="n">
        <f aca="false">SUMIFS('Manish Shilpa'!$D$7:$D$300,'Manish Shilpa'!$B$7:$B$300,$B77)</f>
        <v>0</v>
      </c>
      <c r="U77" s="57" t="str">
        <f aca="false">IF(AND(T77&gt;0,V77&gt;0),V77/T77,"")</f>
        <v/>
      </c>
      <c r="V77" s="8" t="n">
        <f aca="false">SUMIFS('Manish Shilpa'!$E$7:$E$300,'Manish Shilpa'!$B$7:$B$300,$B77)</f>
        <v>0</v>
      </c>
      <c r="W77" s="8" t="n">
        <f aca="false">SUMIFS('Manish Shilpa'!$H$7:$H$300,'Manish Shilpa'!$B$7:$B$300,$B77)</f>
        <v>0</v>
      </c>
      <c r="X77" s="8" t="n">
        <f aca="false">W77-V77</f>
        <v>0</v>
      </c>
      <c r="Y77" s="9" t="str">
        <f aca="false">IF(V77&gt;0,X77/V77,"")</f>
        <v/>
      </c>
      <c r="Z77" s="9" t="n">
        <f aca="false">IF(W$6=0,"",W77/W$6)</f>
        <v>0</v>
      </c>
      <c r="AA77" s="56" t="n">
        <f aca="false">SUMIFS('Saloni Mehra'!$D$7:$D$300,'Saloni Mehra'!$B$7:$B$300,$B77)</f>
        <v>0</v>
      </c>
      <c r="AB77" s="57" t="str">
        <f aca="false">IF(AND(AA77&gt;0,AC77&gt;0),AC77/AA77,"")</f>
        <v/>
      </c>
      <c r="AC77" s="8" t="n">
        <f aca="false">SUMIFS('Saloni Mehra'!$E$7:$E$300,'Saloni Mehra'!$B$7:$B$300,$B77)</f>
        <v>0</v>
      </c>
      <c r="AD77" s="8" t="n">
        <f aca="false">SUMIFS('Saloni Mehra'!$H$7:$H$300,'Saloni Mehra'!$B$7:$B$300,$B77)</f>
        <v>0</v>
      </c>
      <c r="AE77" s="8" t="n">
        <f aca="false">AD77-AC77</f>
        <v>0</v>
      </c>
      <c r="AF77" s="9" t="str">
        <f aca="false">IF(AC77&gt;0,AE77/AC77,"")</f>
        <v/>
      </c>
      <c r="AG77" s="9" t="n">
        <f aca="false">IF(AD$6=0,"",AD77/AD$6)</f>
        <v>0</v>
      </c>
      <c r="AH77" s="56" t="n">
        <f aca="false">SUMIFS('Vidushi Malhotra'!$D$7:$D$300,'Vidushi Malhotra'!$B$7:$B$300,$B77)</f>
        <v>0</v>
      </c>
      <c r="AI77" s="57" t="str">
        <f aca="false">IF(AND(AH77&gt;0,AJ77&gt;0),AJ77/AH77,"")</f>
        <v/>
      </c>
      <c r="AJ77" s="8" t="n">
        <f aca="false">SUMIFS('Vidushi Malhotra'!$E$7:$E$300,'Vidushi Malhotra'!$B$7:$B$300,$B77)</f>
        <v>0</v>
      </c>
      <c r="AK77" s="8" t="n">
        <f aca="false">SUMIFS('Vidushi Malhotra'!$H$7:$H$300,'Vidushi Malhotra'!$B$7:$B$300,$B77)</f>
        <v>0</v>
      </c>
      <c r="AL77" s="8" t="n">
        <f aca="false">AK77-AJ77</f>
        <v>0</v>
      </c>
      <c r="AM77" s="9" t="str">
        <f aca="false">IF(AJ77&gt;0,AL77/AJ77,"")</f>
        <v/>
      </c>
      <c r="AN77" s="9" t="n">
        <f aca="false">IF(AK$6=0,"",AK77/AK$6)</f>
        <v>0</v>
      </c>
      <c r="AO77" s="56" t="n">
        <f aca="false">SUMIFS('Dr Umesh Choudhry'!$D$7:$D$300,'Dr Umesh Choudhry'!$B$7:$B$300,$B77)</f>
        <v>0</v>
      </c>
      <c r="AP77" s="57" t="str">
        <f aca="false">IF(AND(AO77&gt;0,AQ77&gt;0),AQ77/AO77,"")</f>
        <v/>
      </c>
      <c r="AQ77" s="8" t="n">
        <f aca="false">SUMIFS('Dr Umesh Choudhry'!$E$7:$E$300,'Dr Umesh Choudhry'!$B$7:$B$300,$B77)</f>
        <v>0</v>
      </c>
      <c r="AR77" s="8" t="n">
        <f aca="false">SUMIFS('Dr Umesh Choudhry'!$H$7:$H$300,'Dr Umesh Choudhry'!$B$7:$B$300,$B77)</f>
        <v>0</v>
      </c>
      <c r="AS77" s="8" t="n">
        <f aca="false">AR77-AQ77</f>
        <v>0</v>
      </c>
      <c r="AT77" s="9" t="str">
        <f aca="false">IF(AQ77&gt;0,AS77/AQ77,"")</f>
        <v/>
      </c>
      <c r="AU77" s="9" t="n">
        <f aca="false">IF(AR$6=0,"",AR77/AR$6)</f>
        <v>0</v>
      </c>
      <c r="AV77" s="56" t="n">
        <f aca="false">SUMIFS(DA!$D$7:$D$300,DA!$B$7:$B$300,$B77)</f>
        <v>33</v>
      </c>
      <c r="AW77" s="57" t="n">
        <f aca="false">IF(AND(AV77&gt;0,AX77&gt;0),AX77/AV77,"")</f>
        <v>542</v>
      </c>
      <c r="AX77" s="8" t="n">
        <f aca="false">SUMIFS(DA!$E$7:$E$300,DA!$B$7:$B$300,$B77)</f>
        <v>17886</v>
      </c>
      <c r="AY77" s="8" t="n">
        <f aca="false">SUMIFS(DA!$H$7:$H$300,DA!$B$7:$B$300,$B77)</f>
        <v>13221.45</v>
      </c>
      <c r="AZ77" s="8" t="n">
        <f aca="false">AY77-AX77</f>
        <v>-4664.55</v>
      </c>
      <c r="BA77" s="9" t="n">
        <f aca="false">IF(AX77&gt;0,AZ77/AX77,"")</f>
        <v>-0.260793357933579</v>
      </c>
      <c r="BB77" s="9" t="n">
        <f aca="false">IF(AY$6=0,"",AY77/AY$6)</f>
        <v>0.00341992065960996</v>
      </c>
    </row>
    <row r="78" customFormat="false" ht="15" hidden="false" customHeight="false" outlineLevel="0" collapsed="false">
      <c r="A78" s="5" t="n">
        <v>72</v>
      </c>
      <c r="B78" s="47" t="s">
        <v>150</v>
      </c>
      <c r="C78" s="48" t="n">
        <f aca="false">IFERROR(INDEX(Prices!$C$6:$C$300,MATCH($B78,Prices!$A$6:$A$300,0)),"")</f>
        <v>316.8</v>
      </c>
      <c r="D78" s="49" t="str">
        <f aca="false">IFERROR(INDEX(Prices!$D$6:$D$300,MATCH($B78,Prices!$A$6:$A$300,0)),"")</f>
        <v>Close 22.10.2026 (Screener.in)</v>
      </c>
      <c r="E78" s="6" t="n">
        <f aca="false">(M78&gt;0)+(T78&gt;0)+(AA78&gt;0)+(AH78&gt;0)+(AO78&gt;0)+(AV78&gt;0)</f>
        <v>1</v>
      </c>
      <c r="F78" s="50" t="n">
        <f aca="false">M78+T78+AA78+AH78+AO78+AV78</f>
        <v>35</v>
      </c>
      <c r="G78" s="51" t="n">
        <f aca="false">IF(AND(F78&gt;0,H78&gt;0),H78/F78,"")</f>
        <v>566.314285714286</v>
      </c>
      <c r="H78" s="52" t="n">
        <f aca="false">O78+V78+AC78+AJ78+AQ78+AX78</f>
        <v>19821</v>
      </c>
      <c r="I78" s="53" t="n">
        <f aca="false">P78+W78+AD78+AK78+AR78+AY78</f>
        <v>11088</v>
      </c>
      <c r="J78" s="52" t="n">
        <f aca="false">I78-H78</f>
        <v>-8733</v>
      </c>
      <c r="K78" s="54" t="n">
        <f aca="false">IF(H78&gt;0,J78/H78,"")</f>
        <v>-0.440593310125624</v>
      </c>
      <c r="L78" s="55" t="n">
        <f aca="false">IF(I$6=0,"",I78/I$6)</f>
        <v>0.000293860332713709</v>
      </c>
      <c r="M78" s="56" t="n">
        <f aca="false">SUMIFS(Gautam!$D$7:$D$300,Gautam!$B$7:$B$300,$B78)</f>
        <v>0</v>
      </c>
      <c r="N78" s="57" t="str">
        <f aca="false">IF(AND(M78&gt;0,O78&gt;0),O78/M78,"")</f>
        <v/>
      </c>
      <c r="O78" s="8" t="n">
        <f aca="false">SUMIFS(Gautam!$E$7:$E$300,Gautam!$B$7:$B$300,$B78)</f>
        <v>0</v>
      </c>
      <c r="P78" s="8" t="n">
        <f aca="false">SUMIFS(Gautam!$H$7:$H$300,Gautam!$B$7:$B$300,$B78)</f>
        <v>0</v>
      </c>
      <c r="Q78" s="8" t="n">
        <f aca="false">P78-O78</f>
        <v>0</v>
      </c>
      <c r="R78" s="9" t="str">
        <f aca="false">IF(O78&gt;0,Q78/O78,"")</f>
        <v/>
      </c>
      <c r="S78" s="9" t="n">
        <f aca="false">IF(P$6=0,"",P78/P$6)</f>
        <v>0</v>
      </c>
      <c r="T78" s="56" t="n">
        <f aca="false">SUMIFS('Manish Shilpa'!$D$7:$D$300,'Manish Shilpa'!$B$7:$B$300,$B78)</f>
        <v>35</v>
      </c>
      <c r="U78" s="57" t="n">
        <f aca="false">IF(AND(T78&gt;0,V78&gt;0),V78/T78,"")</f>
        <v>566.314285714286</v>
      </c>
      <c r="V78" s="8" t="n">
        <f aca="false">SUMIFS('Manish Shilpa'!$E$7:$E$300,'Manish Shilpa'!$B$7:$B$300,$B78)</f>
        <v>19821</v>
      </c>
      <c r="W78" s="8" t="n">
        <f aca="false">SUMIFS('Manish Shilpa'!$H$7:$H$300,'Manish Shilpa'!$B$7:$B$300,$B78)</f>
        <v>11088</v>
      </c>
      <c r="X78" s="8" t="n">
        <f aca="false">W78-V78</f>
        <v>-8733</v>
      </c>
      <c r="Y78" s="9" t="n">
        <f aca="false">IF(V78&gt;0,X78/V78,"")</f>
        <v>-0.440593310125624</v>
      </c>
      <c r="Z78" s="9" t="n">
        <f aca="false">IF(W$6=0,"",W78/W$6)</f>
        <v>0.000937603460457604</v>
      </c>
      <c r="AA78" s="56" t="n">
        <f aca="false">SUMIFS('Saloni Mehra'!$D$7:$D$300,'Saloni Mehra'!$B$7:$B$300,$B78)</f>
        <v>0</v>
      </c>
      <c r="AB78" s="57" t="str">
        <f aca="false">IF(AND(AA78&gt;0,AC78&gt;0),AC78/AA78,"")</f>
        <v/>
      </c>
      <c r="AC78" s="8" t="n">
        <f aca="false">SUMIFS('Saloni Mehra'!$E$7:$E$300,'Saloni Mehra'!$B$7:$B$300,$B78)</f>
        <v>0</v>
      </c>
      <c r="AD78" s="8" t="n">
        <f aca="false">SUMIFS('Saloni Mehra'!$H$7:$H$300,'Saloni Mehra'!$B$7:$B$300,$B78)</f>
        <v>0</v>
      </c>
      <c r="AE78" s="8" t="n">
        <f aca="false">AD78-AC78</f>
        <v>0</v>
      </c>
      <c r="AF78" s="9" t="str">
        <f aca="false">IF(AC78&gt;0,AE78/AC78,"")</f>
        <v/>
      </c>
      <c r="AG78" s="9" t="n">
        <f aca="false">IF(AD$6=0,"",AD78/AD$6)</f>
        <v>0</v>
      </c>
      <c r="AH78" s="56" t="n">
        <f aca="false">SUMIFS('Vidushi Malhotra'!$D$7:$D$300,'Vidushi Malhotra'!$B$7:$B$300,$B78)</f>
        <v>0</v>
      </c>
      <c r="AI78" s="57" t="str">
        <f aca="false">IF(AND(AH78&gt;0,AJ78&gt;0),AJ78/AH78,"")</f>
        <v/>
      </c>
      <c r="AJ78" s="8" t="n">
        <f aca="false">SUMIFS('Vidushi Malhotra'!$E$7:$E$300,'Vidushi Malhotra'!$B$7:$B$300,$B78)</f>
        <v>0</v>
      </c>
      <c r="AK78" s="8" t="n">
        <f aca="false">SUMIFS('Vidushi Malhotra'!$H$7:$H$300,'Vidushi Malhotra'!$B$7:$B$300,$B78)</f>
        <v>0</v>
      </c>
      <c r="AL78" s="8" t="n">
        <f aca="false">AK78-AJ78</f>
        <v>0</v>
      </c>
      <c r="AM78" s="9" t="str">
        <f aca="false">IF(AJ78&gt;0,AL78/AJ78,"")</f>
        <v/>
      </c>
      <c r="AN78" s="9" t="n">
        <f aca="false">IF(AK$6=0,"",AK78/AK$6)</f>
        <v>0</v>
      </c>
      <c r="AO78" s="56" t="n">
        <f aca="false">SUMIFS('Dr Umesh Choudhry'!$D$7:$D$300,'Dr Umesh Choudhry'!$B$7:$B$300,$B78)</f>
        <v>0</v>
      </c>
      <c r="AP78" s="57" t="str">
        <f aca="false">IF(AND(AO78&gt;0,AQ78&gt;0),AQ78/AO78,"")</f>
        <v/>
      </c>
      <c r="AQ78" s="8" t="n">
        <f aca="false">SUMIFS('Dr Umesh Choudhry'!$E$7:$E$300,'Dr Umesh Choudhry'!$B$7:$B$300,$B78)</f>
        <v>0</v>
      </c>
      <c r="AR78" s="8" t="n">
        <f aca="false">SUMIFS('Dr Umesh Choudhry'!$H$7:$H$300,'Dr Umesh Choudhry'!$B$7:$B$300,$B78)</f>
        <v>0</v>
      </c>
      <c r="AS78" s="8" t="n">
        <f aca="false">AR78-AQ78</f>
        <v>0</v>
      </c>
      <c r="AT78" s="9" t="str">
        <f aca="false">IF(AQ78&gt;0,AS78/AQ78,"")</f>
        <v/>
      </c>
      <c r="AU78" s="9" t="n">
        <f aca="false">IF(AR$6=0,"",AR78/AR$6)</f>
        <v>0</v>
      </c>
      <c r="AV78" s="56" t="n">
        <f aca="false">SUMIFS(DA!$D$7:$D$300,DA!$B$7:$B$300,$B78)</f>
        <v>0</v>
      </c>
      <c r="AW78" s="57" t="str">
        <f aca="false">IF(AND(AV78&gt;0,AX78&gt;0),AX78/AV78,"")</f>
        <v/>
      </c>
      <c r="AX78" s="8" t="n">
        <f aca="false">SUMIFS(DA!$E$7:$E$300,DA!$B$7:$B$300,$B78)</f>
        <v>0</v>
      </c>
      <c r="AY78" s="8" t="n">
        <f aca="false">SUMIFS(DA!$H$7:$H$300,DA!$B$7:$B$300,$B78)</f>
        <v>0</v>
      </c>
      <c r="AZ78" s="8" t="n">
        <f aca="false">AY78-AX78</f>
        <v>0</v>
      </c>
      <c r="BA78" s="9" t="str">
        <f aca="false">IF(AX78&gt;0,AZ78/AX78,"")</f>
        <v/>
      </c>
      <c r="BB78" s="9" t="n">
        <f aca="false">IF(AY$6=0,"",AY78/AY$6)</f>
        <v>0</v>
      </c>
    </row>
    <row r="79" customFormat="false" ht="15" hidden="false" customHeight="false" outlineLevel="0" collapsed="false">
      <c r="A79" s="5" t="n">
        <v>73</v>
      </c>
      <c r="B79" s="47" t="s">
        <v>151</v>
      </c>
      <c r="C79" s="48" t="n">
        <f aca="false">IFERROR(INDEX(Prices!$C$6:$C$300,MATCH($B79,Prices!$A$6:$A$300,0)),"")</f>
        <v>748.05</v>
      </c>
      <c r="D79" s="49" t="str">
        <f aca="false">IFERROR(INDEX(Prices!$D$6:$D$300,MATCH($B79,Prices!$A$6:$A$300,0)),"")</f>
        <v>Close 22.10.2026 (Screener.in)</v>
      </c>
      <c r="E79" s="6" t="n">
        <f aca="false">(M79&gt;0)+(T79&gt;0)+(AA79&gt;0)+(AH79&gt;0)+(AO79&gt;0)+(AV79&gt;0)</f>
        <v>1</v>
      </c>
      <c r="F79" s="50" t="n">
        <f aca="false">M79+T79+AA79+AH79+AO79+AV79</f>
        <v>14</v>
      </c>
      <c r="G79" s="51" t="n">
        <f aca="false">IF(AND(F79&gt;0,H79&gt;0),H79/F79,"")</f>
        <v>1577.85714285714</v>
      </c>
      <c r="H79" s="52" t="n">
        <f aca="false">O79+V79+AC79+AJ79+AQ79+AX79</f>
        <v>22090</v>
      </c>
      <c r="I79" s="53" t="n">
        <f aca="false">P79+W79+AD79+AK79+AR79+AY79</f>
        <v>10472.7</v>
      </c>
      <c r="J79" s="52" t="n">
        <f aca="false">I79-H79</f>
        <v>-11617.3</v>
      </c>
      <c r="K79" s="54" t="n">
        <f aca="false">IF(H79&gt;0,J79/H79,"")</f>
        <v>-0.525907650520598</v>
      </c>
      <c r="L79" s="55" t="n">
        <f aca="false">IF(I$6=0,"",I79/I$6)</f>
        <v>0.00027755331046274</v>
      </c>
      <c r="M79" s="56" t="n">
        <f aca="false">SUMIFS(Gautam!$D$7:$D$300,Gautam!$B$7:$B$300,$B79)</f>
        <v>0</v>
      </c>
      <c r="N79" s="57" t="str">
        <f aca="false">IF(AND(M79&gt;0,O79&gt;0),O79/M79,"")</f>
        <v/>
      </c>
      <c r="O79" s="8" t="n">
        <f aca="false">SUMIFS(Gautam!$E$7:$E$300,Gautam!$B$7:$B$300,$B79)</f>
        <v>0</v>
      </c>
      <c r="P79" s="8" t="n">
        <f aca="false">SUMIFS(Gautam!$H$7:$H$300,Gautam!$B$7:$B$300,$B79)</f>
        <v>0</v>
      </c>
      <c r="Q79" s="8" t="n">
        <f aca="false">P79-O79</f>
        <v>0</v>
      </c>
      <c r="R79" s="9" t="str">
        <f aca="false">IF(O79&gt;0,Q79/O79,"")</f>
        <v/>
      </c>
      <c r="S79" s="9" t="n">
        <f aca="false">IF(P$6=0,"",P79/P$6)</f>
        <v>0</v>
      </c>
      <c r="T79" s="56" t="n">
        <f aca="false">SUMIFS('Manish Shilpa'!$D$7:$D$300,'Manish Shilpa'!$B$7:$B$300,$B79)</f>
        <v>14</v>
      </c>
      <c r="U79" s="57" t="n">
        <f aca="false">IF(AND(T79&gt;0,V79&gt;0),V79/T79,"")</f>
        <v>1577.85714285714</v>
      </c>
      <c r="V79" s="8" t="n">
        <f aca="false">SUMIFS('Manish Shilpa'!$E$7:$E$300,'Manish Shilpa'!$B$7:$B$300,$B79)</f>
        <v>22090</v>
      </c>
      <c r="W79" s="8" t="n">
        <f aca="false">SUMIFS('Manish Shilpa'!$H$7:$H$300,'Manish Shilpa'!$B$7:$B$300,$B79)</f>
        <v>10472.7</v>
      </c>
      <c r="X79" s="8" t="n">
        <f aca="false">W79-V79</f>
        <v>-11617.3</v>
      </c>
      <c r="Y79" s="9" t="n">
        <f aca="false">IF(V79&gt;0,X79/V79,"")</f>
        <v>-0.525907650520598</v>
      </c>
      <c r="Z79" s="9" t="n">
        <f aca="false">IF(W$6=0,"",W79/W$6)</f>
        <v>0.000885573571458726</v>
      </c>
      <c r="AA79" s="56" t="n">
        <f aca="false">SUMIFS('Saloni Mehra'!$D$7:$D$300,'Saloni Mehra'!$B$7:$B$300,$B79)</f>
        <v>0</v>
      </c>
      <c r="AB79" s="57" t="str">
        <f aca="false">IF(AND(AA79&gt;0,AC79&gt;0),AC79/AA79,"")</f>
        <v/>
      </c>
      <c r="AC79" s="8" t="n">
        <f aca="false">SUMIFS('Saloni Mehra'!$E$7:$E$300,'Saloni Mehra'!$B$7:$B$300,$B79)</f>
        <v>0</v>
      </c>
      <c r="AD79" s="8" t="n">
        <f aca="false">SUMIFS('Saloni Mehra'!$H$7:$H$300,'Saloni Mehra'!$B$7:$B$300,$B79)</f>
        <v>0</v>
      </c>
      <c r="AE79" s="8" t="n">
        <f aca="false">AD79-AC79</f>
        <v>0</v>
      </c>
      <c r="AF79" s="9" t="str">
        <f aca="false">IF(AC79&gt;0,AE79/AC79,"")</f>
        <v/>
      </c>
      <c r="AG79" s="9" t="n">
        <f aca="false">IF(AD$6=0,"",AD79/AD$6)</f>
        <v>0</v>
      </c>
      <c r="AH79" s="56" t="n">
        <f aca="false">SUMIFS('Vidushi Malhotra'!$D$7:$D$300,'Vidushi Malhotra'!$B$7:$B$300,$B79)</f>
        <v>0</v>
      </c>
      <c r="AI79" s="57" t="str">
        <f aca="false">IF(AND(AH79&gt;0,AJ79&gt;0),AJ79/AH79,"")</f>
        <v/>
      </c>
      <c r="AJ79" s="8" t="n">
        <f aca="false">SUMIFS('Vidushi Malhotra'!$E$7:$E$300,'Vidushi Malhotra'!$B$7:$B$300,$B79)</f>
        <v>0</v>
      </c>
      <c r="AK79" s="8" t="n">
        <f aca="false">SUMIFS('Vidushi Malhotra'!$H$7:$H$300,'Vidushi Malhotra'!$B$7:$B$300,$B79)</f>
        <v>0</v>
      </c>
      <c r="AL79" s="8" t="n">
        <f aca="false">AK79-AJ79</f>
        <v>0</v>
      </c>
      <c r="AM79" s="9" t="str">
        <f aca="false">IF(AJ79&gt;0,AL79/AJ79,"")</f>
        <v/>
      </c>
      <c r="AN79" s="9" t="n">
        <f aca="false">IF(AK$6=0,"",AK79/AK$6)</f>
        <v>0</v>
      </c>
      <c r="AO79" s="56" t="n">
        <f aca="false">SUMIFS('Dr Umesh Choudhry'!$D$7:$D$300,'Dr Umesh Choudhry'!$B$7:$B$300,$B79)</f>
        <v>0</v>
      </c>
      <c r="AP79" s="57" t="str">
        <f aca="false">IF(AND(AO79&gt;0,AQ79&gt;0),AQ79/AO79,"")</f>
        <v/>
      </c>
      <c r="AQ79" s="8" t="n">
        <f aca="false">SUMIFS('Dr Umesh Choudhry'!$E$7:$E$300,'Dr Umesh Choudhry'!$B$7:$B$300,$B79)</f>
        <v>0</v>
      </c>
      <c r="AR79" s="8" t="n">
        <f aca="false">SUMIFS('Dr Umesh Choudhry'!$H$7:$H$300,'Dr Umesh Choudhry'!$B$7:$B$300,$B79)</f>
        <v>0</v>
      </c>
      <c r="AS79" s="8" t="n">
        <f aca="false">AR79-AQ79</f>
        <v>0</v>
      </c>
      <c r="AT79" s="9" t="str">
        <f aca="false">IF(AQ79&gt;0,AS79/AQ79,"")</f>
        <v/>
      </c>
      <c r="AU79" s="9" t="n">
        <f aca="false">IF(AR$6=0,"",AR79/AR$6)</f>
        <v>0</v>
      </c>
      <c r="AV79" s="56" t="n">
        <f aca="false">SUMIFS(DA!$D$7:$D$300,DA!$B$7:$B$300,$B79)</f>
        <v>0</v>
      </c>
      <c r="AW79" s="57" t="str">
        <f aca="false">IF(AND(AV79&gt;0,AX79&gt;0),AX79/AV79,"")</f>
        <v/>
      </c>
      <c r="AX79" s="8" t="n">
        <f aca="false">SUMIFS(DA!$E$7:$E$300,DA!$B$7:$B$300,$B79)</f>
        <v>0</v>
      </c>
      <c r="AY79" s="8" t="n">
        <f aca="false">SUMIFS(DA!$H$7:$H$300,DA!$B$7:$B$300,$B79)</f>
        <v>0</v>
      </c>
      <c r="AZ79" s="8" t="n">
        <f aca="false">AY79-AX79</f>
        <v>0</v>
      </c>
      <c r="BA79" s="9" t="str">
        <f aca="false">IF(AX79&gt;0,AZ79/AX79,"")</f>
        <v/>
      </c>
      <c r="BB79" s="9" t="n">
        <f aca="false">IF(AY$6=0,"",AY79/AY$6)</f>
        <v>0</v>
      </c>
    </row>
    <row r="80" customFormat="false" ht="15" hidden="false" customHeight="false" outlineLevel="0" collapsed="false">
      <c r="A80" s="5" t="n">
        <v>74</v>
      </c>
      <c r="B80" s="47" t="s">
        <v>152</v>
      </c>
      <c r="C80" s="48" t="n">
        <f aca="false">IFERROR(INDEX(Prices!$C$6:$C$300,MATCH($B80,Prices!$A$6:$A$300,0)),"")</f>
        <v>304.45</v>
      </c>
      <c r="D80" s="49" t="str">
        <f aca="false">IFERROR(INDEX(Prices!$D$6:$D$300,MATCH($B80,Prices!$A$6:$A$300,0)),"")</f>
        <v>Close 22.10.2026 (Screener.in)</v>
      </c>
      <c r="E80" s="6" t="n">
        <f aca="false">(M80&gt;0)+(T80&gt;0)+(AA80&gt;0)+(AH80&gt;0)+(AO80&gt;0)+(AV80&gt;0)</f>
        <v>1</v>
      </c>
      <c r="F80" s="50" t="n">
        <f aca="false">M80+T80+AA80+AH80+AO80+AV80</f>
        <v>34</v>
      </c>
      <c r="G80" s="51" t="n">
        <f aca="false">IF(AND(F80&gt;0,H80&gt;0),H80/F80,"")</f>
        <v>304</v>
      </c>
      <c r="H80" s="52" t="n">
        <f aca="false">O80+V80+AC80+AJ80+AQ80+AX80</f>
        <v>10336</v>
      </c>
      <c r="I80" s="53" t="n">
        <f aca="false">P80+W80+AD80+AK80+AR80+AY80</f>
        <v>10351.3</v>
      </c>
      <c r="J80" s="52" t="n">
        <f aca="false">I80-H80</f>
        <v>15.2999999999993</v>
      </c>
      <c r="K80" s="54" t="n">
        <f aca="false">IF(H80&gt;0,J80/H80,"")</f>
        <v>0.00148026315789467</v>
      </c>
      <c r="L80" s="55" t="n">
        <f aca="false">IF(I$6=0,"",I80/I$6)</f>
        <v>0.000274335900254277</v>
      </c>
      <c r="M80" s="56" t="n">
        <f aca="false">SUMIFS(Gautam!$D$7:$D$300,Gautam!$B$7:$B$300,$B80)</f>
        <v>0</v>
      </c>
      <c r="N80" s="57" t="str">
        <f aca="false">IF(AND(M80&gt;0,O80&gt;0),O80/M80,"")</f>
        <v/>
      </c>
      <c r="O80" s="8" t="n">
        <f aca="false">SUMIFS(Gautam!$E$7:$E$300,Gautam!$B$7:$B$300,$B80)</f>
        <v>0</v>
      </c>
      <c r="P80" s="8" t="n">
        <f aca="false">SUMIFS(Gautam!$H$7:$H$300,Gautam!$B$7:$B$300,$B80)</f>
        <v>0</v>
      </c>
      <c r="Q80" s="8" t="n">
        <f aca="false">P80-O80</f>
        <v>0</v>
      </c>
      <c r="R80" s="9" t="str">
        <f aca="false">IF(O80&gt;0,Q80/O80,"")</f>
        <v/>
      </c>
      <c r="S80" s="9" t="n">
        <f aca="false">IF(P$6=0,"",P80/P$6)</f>
        <v>0</v>
      </c>
      <c r="T80" s="56" t="n">
        <f aca="false">SUMIFS('Manish Shilpa'!$D$7:$D$300,'Manish Shilpa'!$B$7:$B$300,$B80)</f>
        <v>34</v>
      </c>
      <c r="U80" s="57" t="n">
        <f aca="false">IF(AND(T80&gt;0,V80&gt;0),V80/T80,"")</f>
        <v>304</v>
      </c>
      <c r="V80" s="8" t="n">
        <f aca="false">SUMIFS('Manish Shilpa'!$E$7:$E$300,'Manish Shilpa'!$B$7:$B$300,$B80)</f>
        <v>10336</v>
      </c>
      <c r="W80" s="8" t="n">
        <f aca="false">SUMIFS('Manish Shilpa'!$H$7:$H$300,'Manish Shilpa'!$B$7:$B$300,$B80)</f>
        <v>10351.3</v>
      </c>
      <c r="X80" s="8" t="n">
        <f aca="false">W80-V80</f>
        <v>15.2999999999993</v>
      </c>
      <c r="Y80" s="9" t="n">
        <f aca="false">IF(V80&gt;0,X80/V80,"")</f>
        <v>0.00148026315789467</v>
      </c>
      <c r="Z80" s="9" t="n">
        <f aca="false">IF(W$6=0,"",W80/W$6)</f>
        <v>0.000875307963585389</v>
      </c>
      <c r="AA80" s="56" t="n">
        <f aca="false">SUMIFS('Saloni Mehra'!$D$7:$D$300,'Saloni Mehra'!$B$7:$B$300,$B80)</f>
        <v>0</v>
      </c>
      <c r="AB80" s="57" t="str">
        <f aca="false">IF(AND(AA80&gt;0,AC80&gt;0),AC80/AA80,"")</f>
        <v/>
      </c>
      <c r="AC80" s="8" t="n">
        <f aca="false">SUMIFS('Saloni Mehra'!$E$7:$E$300,'Saloni Mehra'!$B$7:$B$300,$B80)</f>
        <v>0</v>
      </c>
      <c r="AD80" s="8" t="n">
        <f aca="false">SUMIFS('Saloni Mehra'!$H$7:$H$300,'Saloni Mehra'!$B$7:$B$300,$B80)</f>
        <v>0</v>
      </c>
      <c r="AE80" s="8" t="n">
        <f aca="false">AD80-AC80</f>
        <v>0</v>
      </c>
      <c r="AF80" s="9" t="str">
        <f aca="false">IF(AC80&gt;0,AE80/AC80,"")</f>
        <v/>
      </c>
      <c r="AG80" s="9" t="n">
        <f aca="false">IF(AD$6=0,"",AD80/AD$6)</f>
        <v>0</v>
      </c>
      <c r="AH80" s="56" t="n">
        <f aca="false">SUMIFS('Vidushi Malhotra'!$D$7:$D$300,'Vidushi Malhotra'!$B$7:$B$300,$B80)</f>
        <v>0</v>
      </c>
      <c r="AI80" s="57" t="str">
        <f aca="false">IF(AND(AH80&gt;0,AJ80&gt;0),AJ80/AH80,"")</f>
        <v/>
      </c>
      <c r="AJ80" s="8" t="n">
        <f aca="false">SUMIFS('Vidushi Malhotra'!$E$7:$E$300,'Vidushi Malhotra'!$B$7:$B$300,$B80)</f>
        <v>0</v>
      </c>
      <c r="AK80" s="8" t="n">
        <f aca="false">SUMIFS('Vidushi Malhotra'!$H$7:$H$300,'Vidushi Malhotra'!$B$7:$B$300,$B80)</f>
        <v>0</v>
      </c>
      <c r="AL80" s="8" t="n">
        <f aca="false">AK80-AJ80</f>
        <v>0</v>
      </c>
      <c r="AM80" s="9" t="str">
        <f aca="false">IF(AJ80&gt;0,AL80/AJ80,"")</f>
        <v/>
      </c>
      <c r="AN80" s="9" t="n">
        <f aca="false">IF(AK$6=0,"",AK80/AK$6)</f>
        <v>0</v>
      </c>
      <c r="AO80" s="56" t="n">
        <f aca="false">SUMIFS('Dr Umesh Choudhry'!$D$7:$D$300,'Dr Umesh Choudhry'!$B$7:$B$300,$B80)</f>
        <v>0</v>
      </c>
      <c r="AP80" s="57" t="str">
        <f aca="false">IF(AND(AO80&gt;0,AQ80&gt;0),AQ80/AO80,"")</f>
        <v/>
      </c>
      <c r="AQ80" s="8" t="n">
        <f aca="false">SUMIFS('Dr Umesh Choudhry'!$E$7:$E$300,'Dr Umesh Choudhry'!$B$7:$B$300,$B80)</f>
        <v>0</v>
      </c>
      <c r="AR80" s="8" t="n">
        <f aca="false">SUMIFS('Dr Umesh Choudhry'!$H$7:$H$300,'Dr Umesh Choudhry'!$B$7:$B$300,$B80)</f>
        <v>0</v>
      </c>
      <c r="AS80" s="8" t="n">
        <f aca="false">AR80-AQ80</f>
        <v>0</v>
      </c>
      <c r="AT80" s="9" t="str">
        <f aca="false">IF(AQ80&gt;0,AS80/AQ80,"")</f>
        <v/>
      </c>
      <c r="AU80" s="9" t="n">
        <f aca="false">IF(AR$6=0,"",AR80/AR$6)</f>
        <v>0</v>
      </c>
      <c r="AV80" s="56" t="n">
        <f aca="false">SUMIFS(DA!$D$7:$D$300,DA!$B$7:$B$300,$B80)</f>
        <v>0</v>
      </c>
      <c r="AW80" s="57" t="str">
        <f aca="false">IF(AND(AV80&gt;0,AX80&gt;0),AX80/AV80,"")</f>
        <v/>
      </c>
      <c r="AX80" s="8" t="n">
        <f aca="false">SUMIFS(DA!$E$7:$E$300,DA!$B$7:$B$300,$B80)</f>
        <v>0</v>
      </c>
      <c r="AY80" s="8" t="n">
        <f aca="false">SUMIFS(DA!$H$7:$H$300,DA!$B$7:$B$300,$B80)</f>
        <v>0</v>
      </c>
      <c r="AZ80" s="8" t="n">
        <f aca="false">AY80-AX80</f>
        <v>0</v>
      </c>
      <c r="BA80" s="9" t="str">
        <f aca="false">IF(AX80&gt;0,AZ80/AX80,"")</f>
        <v/>
      </c>
      <c r="BB80" s="9" t="n">
        <f aca="false">IF(AY$6=0,"",AY80/AY$6)</f>
        <v>0</v>
      </c>
    </row>
    <row r="81" customFormat="false" ht="15" hidden="false" customHeight="false" outlineLevel="0" collapsed="false">
      <c r="A81" s="5" t="n">
        <v>75</v>
      </c>
      <c r="B81" s="47" t="s">
        <v>153</v>
      </c>
      <c r="C81" s="48" t="n">
        <f aca="false">IFERROR(INDEX(Prices!$C$6:$C$300,MATCH($B81,Prices!$A$6:$A$300,0)),"")</f>
        <v>1143.7</v>
      </c>
      <c r="D81" s="49" t="str">
        <f aca="false">IFERROR(INDEX(Prices!$D$6:$D$300,MATCH($B81,Prices!$A$6:$A$300,0)),"")</f>
        <v>Close 22.10.2026 (Screener.in)</v>
      </c>
      <c r="E81" s="6" t="n">
        <f aca="false">(M81&gt;0)+(T81&gt;0)+(AA81&gt;0)+(AH81&gt;0)+(AO81&gt;0)+(AV81&gt;0)</f>
        <v>1</v>
      </c>
      <c r="F81" s="50" t="n">
        <f aca="false">M81+T81+AA81+AH81+AO81+AV81</f>
        <v>9</v>
      </c>
      <c r="G81" s="51" t="n">
        <f aca="false">IF(AND(F81&gt;0,H81&gt;0),H81/F81,"")</f>
        <v>1346</v>
      </c>
      <c r="H81" s="52" t="n">
        <f aca="false">O81+V81+AC81+AJ81+AQ81+AX81</f>
        <v>12114</v>
      </c>
      <c r="I81" s="53" t="n">
        <f aca="false">P81+W81+AD81+AK81+AR81+AY81</f>
        <v>10293.3</v>
      </c>
      <c r="J81" s="52" t="n">
        <f aca="false">I81-H81</f>
        <v>-1820.7</v>
      </c>
      <c r="K81" s="54" t="n">
        <f aca="false">IF(H81&gt;0,J81/H81,"")</f>
        <v>-0.150297176820208</v>
      </c>
      <c r="L81" s="55" t="n">
        <f aca="false">IF(I$6=0,"",I81/I$6)</f>
        <v>0.000272798752049245</v>
      </c>
      <c r="M81" s="56" t="n">
        <f aca="false">SUMIFS(Gautam!$D$7:$D$300,Gautam!$B$7:$B$300,$B81)</f>
        <v>0</v>
      </c>
      <c r="N81" s="57" t="str">
        <f aca="false">IF(AND(M81&gt;0,O81&gt;0),O81/M81,"")</f>
        <v/>
      </c>
      <c r="O81" s="8" t="n">
        <f aca="false">SUMIFS(Gautam!$E$7:$E$300,Gautam!$B$7:$B$300,$B81)</f>
        <v>0</v>
      </c>
      <c r="P81" s="8" t="n">
        <f aca="false">SUMIFS(Gautam!$H$7:$H$300,Gautam!$B$7:$B$300,$B81)</f>
        <v>0</v>
      </c>
      <c r="Q81" s="8" t="n">
        <f aca="false">P81-O81</f>
        <v>0</v>
      </c>
      <c r="R81" s="9" t="str">
        <f aca="false">IF(O81&gt;0,Q81/O81,"")</f>
        <v/>
      </c>
      <c r="S81" s="9" t="n">
        <f aca="false">IF(P$6=0,"",P81/P$6)</f>
        <v>0</v>
      </c>
      <c r="T81" s="56" t="n">
        <f aca="false">SUMIFS('Manish Shilpa'!$D$7:$D$300,'Manish Shilpa'!$B$7:$B$300,$B81)</f>
        <v>0</v>
      </c>
      <c r="U81" s="57" t="str">
        <f aca="false">IF(AND(T81&gt;0,V81&gt;0),V81/T81,"")</f>
        <v/>
      </c>
      <c r="V81" s="8" t="n">
        <f aca="false">SUMIFS('Manish Shilpa'!$E$7:$E$300,'Manish Shilpa'!$B$7:$B$300,$B81)</f>
        <v>0</v>
      </c>
      <c r="W81" s="8" t="n">
        <f aca="false">SUMIFS('Manish Shilpa'!$H$7:$H$300,'Manish Shilpa'!$B$7:$B$300,$B81)</f>
        <v>0</v>
      </c>
      <c r="X81" s="8" t="n">
        <f aca="false">W81-V81</f>
        <v>0</v>
      </c>
      <c r="Y81" s="9" t="str">
        <f aca="false">IF(V81&gt;0,X81/V81,"")</f>
        <v/>
      </c>
      <c r="Z81" s="9" t="n">
        <f aca="false">IF(W$6=0,"",W81/W$6)</f>
        <v>0</v>
      </c>
      <c r="AA81" s="56" t="n">
        <f aca="false">SUMIFS('Saloni Mehra'!$D$7:$D$300,'Saloni Mehra'!$B$7:$B$300,$B81)</f>
        <v>0</v>
      </c>
      <c r="AB81" s="57" t="str">
        <f aca="false">IF(AND(AA81&gt;0,AC81&gt;0),AC81/AA81,"")</f>
        <v/>
      </c>
      <c r="AC81" s="8" t="n">
        <f aca="false">SUMIFS('Saloni Mehra'!$E$7:$E$300,'Saloni Mehra'!$B$7:$B$300,$B81)</f>
        <v>0</v>
      </c>
      <c r="AD81" s="8" t="n">
        <f aca="false">SUMIFS('Saloni Mehra'!$H$7:$H$300,'Saloni Mehra'!$B$7:$B$300,$B81)</f>
        <v>0</v>
      </c>
      <c r="AE81" s="8" t="n">
        <f aca="false">AD81-AC81</f>
        <v>0</v>
      </c>
      <c r="AF81" s="9" t="str">
        <f aca="false">IF(AC81&gt;0,AE81/AC81,"")</f>
        <v/>
      </c>
      <c r="AG81" s="9" t="n">
        <f aca="false">IF(AD$6=0,"",AD81/AD$6)</f>
        <v>0</v>
      </c>
      <c r="AH81" s="56" t="n">
        <f aca="false">SUMIFS('Vidushi Malhotra'!$D$7:$D$300,'Vidushi Malhotra'!$B$7:$B$300,$B81)</f>
        <v>0</v>
      </c>
      <c r="AI81" s="57" t="str">
        <f aca="false">IF(AND(AH81&gt;0,AJ81&gt;0),AJ81/AH81,"")</f>
        <v/>
      </c>
      <c r="AJ81" s="8" t="n">
        <f aca="false">SUMIFS('Vidushi Malhotra'!$E$7:$E$300,'Vidushi Malhotra'!$B$7:$B$300,$B81)</f>
        <v>0</v>
      </c>
      <c r="AK81" s="8" t="n">
        <f aca="false">SUMIFS('Vidushi Malhotra'!$H$7:$H$300,'Vidushi Malhotra'!$B$7:$B$300,$B81)</f>
        <v>0</v>
      </c>
      <c r="AL81" s="8" t="n">
        <f aca="false">AK81-AJ81</f>
        <v>0</v>
      </c>
      <c r="AM81" s="9" t="str">
        <f aca="false">IF(AJ81&gt;0,AL81/AJ81,"")</f>
        <v/>
      </c>
      <c r="AN81" s="9" t="n">
        <f aca="false">IF(AK$6=0,"",AK81/AK$6)</f>
        <v>0</v>
      </c>
      <c r="AO81" s="56" t="n">
        <f aca="false">SUMIFS('Dr Umesh Choudhry'!$D$7:$D$300,'Dr Umesh Choudhry'!$B$7:$B$300,$B81)</f>
        <v>0</v>
      </c>
      <c r="AP81" s="57" t="str">
        <f aca="false">IF(AND(AO81&gt;0,AQ81&gt;0),AQ81/AO81,"")</f>
        <v/>
      </c>
      <c r="AQ81" s="8" t="n">
        <f aca="false">SUMIFS('Dr Umesh Choudhry'!$E$7:$E$300,'Dr Umesh Choudhry'!$B$7:$B$300,$B81)</f>
        <v>0</v>
      </c>
      <c r="AR81" s="8" t="n">
        <f aca="false">SUMIFS('Dr Umesh Choudhry'!$H$7:$H$300,'Dr Umesh Choudhry'!$B$7:$B$300,$B81)</f>
        <v>0</v>
      </c>
      <c r="AS81" s="8" t="n">
        <f aca="false">AR81-AQ81</f>
        <v>0</v>
      </c>
      <c r="AT81" s="9" t="str">
        <f aca="false">IF(AQ81&gt;0,AS81/AQ81,"")</f>
        <v/>
      </c>
      <c r="AU81" s="9" t="n">
        <f aca="false">IF(AR$6=0,"",AR81/AR$6)</f>
        <v>0</v>
      </c>
      <c r="AV81" s="56" t="n">
        <f aca="false">SUMIFS(DA!$D$7:$D$300,DA!$B$7:$B$300,$B81)</f>
        <v>9</v>
      </c>
      <c r="AW81" s="57" t="n">
        <f aca="false">IF(AND(AV81&gt;0,AX81&gt;0),AX81/AV81,"")</f>
        <v>1346</v>
      </c>
      <c r="AX81" s="8" t="n">
        <f aca="false">SUMIFS(DA!$E$7:$E$300,DA!$B$7:$B$300,$B81)</f>
        <v>12114</v>
      </c>
      <c r="AY81" s="8" t="n">
        <f aca="false">SUMIFS(DA!$H$7:$H$300,DA!$B$7:$B$300,$B81)</f>
        <v>10293.3</v>
      </c>
      <c r="AZ81" s="8" t="n">
        <f aca="false">AY81-AX81</f>
        <v>-1820.7</v>
      </c>
      <c r="BA81" s="9" t="n">
        <f aca="false">IF(AX81&gt;0,AZ81/AX81,"")</f>
        <v>-0.150297176820208</v>
      </c>
      <c r="BB81" s="9" t="n">
        <f aca="false">IF(AY$6=0,"",AY81/AY$6)</f>
        <v>0.00266251200326464</v>
      </c>
    </row>
    <row r="82" customFormat="false" ht="15" hidden="false" customHeight="false" outlineLevel="0" collapsed="false">
      <c r="A82" s="5" t="n">
        <v>76</v>
      </c>
      <c r="B82" s="47" t="s">
        <v>154</v>
      </c>
      <c r="C82" s="48" t="n">
        <f aca="false">IFERROR(INDEX(Prices!$C$6:$C$300,MATCH($B82,Prices!$A$6:$A$300,0)),"")</f>
        <v>1895</v>
      </c>
      <c r="D82" s="49" t="str">
        <f aca="false">IFERROR(INDEX(Prices!$D$6:$D$300,MATCH($B82,Prices!$A$6:$A$300,0)),"")</f>
        <v>Close 22.10.2026 (Screener.in)</v>
      </c>
      <c r="E82" s="6" t="n">
        <f aca="false">(M82&gt;0)+(T82&gt;0)+(AA82&gt;0)+(AH82&gt;0)+(AO82&gt;0)+(AV82&gt;0)</f>
        <v>1</v>
      </c>
      <c r="F82" s="50" t="n">
        <f aca="false">M82+T82+AA82+AH82+AO82+AV82</f>
        <v>5</v>
      </c>
      <c r="G82" s="51" t="n">
        <f aca="false">IF(AND(F82&gt;0,H82&gt;0),H82/F82,"")</f>
        <v>1922</v>
      </c>
      <c r="H82" s="52" t="n">
        <f aca="false">O82+V82+AC82+AJ82+AQ82+AX82</f>
        <v>9610</v>
      </c>
      <c r="I82" s="53" t="n">
        <f aca="false">P82+W82+AD82+AK82+AR82+AY82</f>
        <v>9475</v>
      </c>
      <c r="J82" s="52" t="n">
        <f aca="false">I82-H82</f>
        <v>-135</v>
      </c>
      <c r="K82" s="54" t="n">
        <f aca="false">IF(H82&gt;0,J82/H82,"")</f>
        <v>-0.014047866805411</v>
      </c>
      <c r="L82" s="55" t="n">
        <f aca="false">IF(I$6=0,"",I82/I$6)</f>
        <v>0.000251111711080663</v>
      </c>
      <c r="M82" s="56" t="n">
        <f aca="false">SUMIFS(Gautam!$D$7:$D$300,Gautam!$B$7:$B$300,$B82)</f>
        <v>5</v>
      </c>
      <c r="N82" s="57" t="n">
        <f aca="false">IF(AND(M82&gt;0,O82&gt;0),O82/M82,"")</f>
        <v>1922</v>
      </c>
      <c r="O82" s="8" t="n">
        <f aca="false">SUMIFS(Gautam!$E$7:$E$300,Gautam!$B$7:$B$300,$B82)</f>
        <v>9610</v>
      </c>
      <c r="P82" s="8" t="n">
        <f aca="false">SUMIFS(Gautam!$H$7:$H$300,Gautam!$B$7:$B$300,$B82)</f>
        <v>9475</v>
      </c>
      <c r="Q82" s="8" t="n">
        <f aca="false">P82-O82</f>
        <v>-135</v>
      </c>
      <c r="R82" s="9" t="n">
        <f aca="false">IF(O82&gt;0,Q82/O82,"")</f>
        <v>-0.014047866805411</v>
      </c>
      <c r="S82" s="9" t="n">
        <f aca="false">IF(P$6=0,"",P82/P$6)</f>
        <v>0.0018133425380323</v>
      </c>
      <c r="T82" s="56" t="n">
        <f aca="false">SUMIFS('Manish Shilpa'!$D$7:$D$300,'Manish Shilpa'!$B$7:$B$300,$B82)</f>
        <v>0</v>
      </c>
      <c r="U82" s="57" t="str">
        <f aca="false">IF(AND(T82&gt;0,V82&gt;0),V82/T82,"")</f>
        <v/>
      </c>
      <c r="V82" s="8" t="n">
        <f aca="false">SUMIFS('Manish Shilpa'!$E$7:$E$300,'Manish Shilpa'!$B$7:$B$300,$B82)</f>
        <v>0</v>
      </c>
      <c r="W82" s="8" t="n">
        <f aca="false">SUMIFS('Manish Shilpa'!$H$7:$H$300,'Manish Shilpa'!$B$7:$B$300,$B82)</f>
        <v>0</v>
      </c>
      <c r="X82" s="8" t="n">
        <f aca="false">W82-V82</f>
        <v>0</v>
      </c>
      <c r="Y82" s="9" t="str">
        <f aca="false">IF(V82&gt;0,X82/V82,"")</f>
        <v/>
      </c>
      <c r="Z82" s="9" t="n">
        <f aca="false">IF(W$6=0,"",W82/W$6)</f>
        <v>0</v>
      </c>
      <c r="AA82" s="56" t="n">
        <f aca="false">SUMIFS('Saloni Mehra'!$D$7:$D$300,'Saloni Mehra'!$B$7:$B$300,$B82)</f>
        <v>0</v>
      </c>
      <c r="AB82" s="57" t="str">
        <f aca="false">IF(AND(AA82&gt;0,AC82&gt;0),AC82/AA82,"")</f>
        <v/>
      </c>
      <c r="AC82" s="8" t="n">
        <f aca="false">SUMIFS('Saloni Mehra'!$E$7:$E$300,'Saloni Mehra'!$B$7:$B$300,$B82)</f>
        <v>0</v>
      </c>
      <c r="AD82" s="8" t="n">
        <f aca="false">SUMIFS('Saloni Mehra'!$H$7:$H$300,'Saloni Mehra'!$B$7:$B$300,$B82)</f>
        <v>0</v>
      </c>
      <c r="AE82" s="8" t="n">
        <f aca="false">AD82-AC82</f>
        <v>0</v>
      </c>
      <c r="AF82" s="9" t="str">
        <f aca="false">IF(AC82&gt;0,AE82/AC82,"")</f>
        <v/>
      </c>
      <c r="AG82" s="9" t="n">
        <f aca="false">IF(AD$6=0,"",AD82/AD$6)</f>
        <v>0</v>
      </c>
      <c r="AH82" s="56" t="n">
        <f aca="false">SUMIFS('Vidushi Malhotra'!$D$7:$D$300,'Vidushi Malhotra'!$B$7:$B$300,$B82)</f>
        <v>0</v>
      </c>
      <c r="AI82" s="57" t="str">
        <f aca="false">IF(AND(AH82&gt;0,AJ82&gt;0),AJ82/AH82,"")</f>
        <v/>
      </c>
      <c r="AJ82" s="8" t="n">
        <f aca="false">SUMIFS('Vidushi Malhotra'!$E$7:$E$300,'Vidushi Malhotra'!$B$7:$B$300,$B82)</f>
        <v>0</v>
      </c>
      <c r="AK82" s="8" t="n">
        <f aca="false">SUMIFS('Vidushi Malhotra'!$H$7:$H$300,'Vidushi Malhotra'!$B$7:$B$300,$B82)</f>
        <v>0</v>
      </c>
      <c r="AL82" s="8" t="n">
        <f aca="false">AK82-AJ82</f>
        <v>0</v>
      </c>
      <c r="AM82" s="9" t="str">
        <f aca="false">IF(AJ82&gt;0,AL82/AJ82,"")</f>
        <v/>
      </c>
      <c r="AN82" s="9" t="n">
        <f aca="false">IF(AK$6=0,"",AK82/AK$6)</f>
        <v>0</v>
      </c>
      <c r="AO82" s="56" t="n">
        <f aca="false">SUMIFS('Dr Umesh Choudhry'!$D$7:$D$300,'Dr Umesh Choudhry'!$B$7:$B$300,$B82)</f>
        <v>0</v>
      </c>
      <c r="AP82" s="57" t="str">
        <f aca="false">IF(AND(AO82&gt;0,AQ82&gt;0),AQ82/AO82,"")</f>
        <v/>
      </c>
      <c r="AQ82" s="8" t="n">
        <f aca="false">SUMIFS('Dr Umesh Choudhry'!$E$7:$E$300,'Dr Umesh Choudhry'!$B$7:$B$300,$B82)</f>
        <v>0</v>
      </c>
      <c r="AR82" s="8" t="n">
        <f aca="false">SUMIFS('Dr Umesh Choudhry'!$H$7:$H$300,'Dr Umesh Choudhry'!$B$7:$B$300,$B82)</f>
        <v>0</v>
      </c>
      <c r="AS82" s="8" t="n">
        <f aca="false">AR82-AQ82</f>
        <v>0</v>
      </c>
      <c r="AT82" s="9" t="str">
        <f aca="false">IF(AQ82&gt;0,AS82/AQ82,"")</f>
        <v/>
      </c>
      <c r="AU82" s="9" t="n">
        <f aca="false">IF(AR$6=0,"",AR82/AR$6)</f>
        <v>0</v>
      </c>
      <c r="AV82" s="56" t="n">
        <f aca="false">SUMIFS(DA!$D$7:$D$300,DA!$B$7:$B$300,$B82)</f>
        <v>0</v>
      </c>
      <c r="AW82" s="57" t="str">
        <f aca="false">IF(AND(AV82&gt;0,AX82&gt;0),AX82/AV82,"")</f>
        <v/>
      </c>
      <c r="AX82" s="8" t="n">
        <f aca="false">SUMIFS(DA!$E$7:$E$300,DA!$B$7:$B$300,$B82)</f>
        <v>0</v>
      </c>
      <c r="AY82" s="8" t="n">
        <f aca="false">SUMIFS(DA!$H$7:$H$300,DA!$B$7:$B$300,$B82)</f>
        <v>0</v>
      </c>
      <c r="AZ82" s="8" t="n">
        <f aca="false">AY82-AX82</f>
        <v>0</v>
      </c>
      <c r="BA82" s="9" t="str">
        <f aca="false">IF(AX82&gt;0,AZ82/AX82,"")</f>
        <v/>
      </c>
      <c r="BB82" s="9" t="n">
        <f aca="false">IF(AY$6=0,"",AY82/AY$6)</f>
        <v>0</v>
      </c>
    </row>
    <row r="83" customFormat="false" ht="15" hidden="false" customHeight="false" outlineLevel="0" collapsed="false">
      <c r="A83" s="5" t="n">
        <v>77</v>
      </c>
      <c r="B83" s="47" t="s">
        <v>155</v>
      </c>
      <c r="C83" s="48" t="n">
        <f aca="false">IFERROR(INDEX(Prices!$C$6:$C$300,MATCH($B83,Prices!$A$6:$A$300,0)),"")</f>
        <v>12.17</v>
      </c>
      <c r="D83" s="49" t="str">
        <f aca="false">IFERROR(INDEX(Prices!$D$6:$D$300,MATCH($B83,Prices!$A$6:$A$300,0)),"")</f>
        <v>Close 22.10.2026 (Screener.in)</v>
      </c>
      <c r="E83" s="6" t="n">
        <f aca="false">(M83&gt;0)+(T83&gt;0)+(AA83&gt;0)+(AH83&gt;0)+(AO83&gt;0)+(AV83&gt;0)</f>
        <v>1</v>
      </c>
      <c r="F83" s="50" t="n">
        <f aca="false">M83+T83+AA83+AH83+AO83+AV83</f>
        <v>560</v>
      </c>
      <c r="G83" s="51" t="n">
        <f aca="false">IF(AND(F83&gt;0,H83&gt;0),H83/F83,"")</f>
        <v>55</v>
      </c>
      <c r="H83" s="52" t="n">
        <f aca="false">O83+V83+AC83+AJ83+AQ83+AX83</f>
        <v>30800</v>
      </c>
      <c r="I83" s="53" t="n">
        <f aca="false">P83+W83+AD83+AK83+AR83+AY83</f>
        <v>6815.2</v>
      </c>
      <c r="J83" s="52" t="n">
        <f aca="false">I83-H83</f>
        <v>-23984.8</v>
      </c>
      <c r="K83" s="54" t="n">
        <f aca="false">IF(H83&gt;0,J83/H83,"")</f>
        <v>-0.778727272727273</v>
      </c>
      <c r="L83" s="55" t="n">
        <f aca="false">IF(I$6=0,"",I83/I$6)</f>
        <v>0.000180620214602315</v>
      </c>
      <c r="M83" s="56" t="n">
        <f aca="false">SUMIFS(Gautam!$D$7:$D$300,Gautam!$B$7:$B$300,$B83)</f>
        <v>0</v>
      </c>
      <c r="N83" s="57" t="str">
        <f aca="false">IF(AND(M83&gt;0,O83&gt;0),O83/M83,"")</f>
        <v/>
      </c>
      <c r="O83" s="8" t="n">
        <f aca="false">SUMIFS(Gautam!$E$7:$E$300,Gautam!$B$7:$B$300,$B83)</f>
        <v>0</v>
      </c>
      <c r="P83" s="8" t="n">
        <f aca="false">SUMIFS(Gautam!$H$7:$H$300,Gautam!$B$7:$B$300,$B83)</f>
        <v>0</v>
      </c>
      <c r="Q83" s="8" t="n">
        <f aca="false">P83-O83</f>
        <v>0</v>
      </c>
      <c r="R83" s="9" t="str">
        <f aca="false">IF(O83&gt;0,Q83/O83,"")</f>
        <v/>
      </c>
      <c r="S83" s="9" t="n">
        <f aca="false">IF(P$6=0,"",P83/P$6)</f>
        <v>0</v>
      </c>
      <c r="T83" s="56" t="n">
        <f aca="false">SUMIFS('Manish Shilpa'!$D$7:$D$300,'Manish Shilpa'!$B$7:$B$300,$B83)</f>
        <v>0</v>
      </c>
      <c r="U83" s="57" t="str">
        <f aca="false">IF(AND(T83&gt;0,V83&gt;0),V83/T83,"")</f>
        <v/>
      </c>
      <c r="V83" s="8" t="n">
        <f aca="false">SUMIFS('Manish Shilpa'!$E$7:$E$300,'Manish Shilpa'!$B$7:$B$300,$B83)</f>
        <v>0</v>
      </c>
      <c r="W83" s="8" t="n">
        <f aca="false">SUMIFS('Manish Shilpa'!$H$7:$H$300,'Manish Shilpa'!$B$7:$B$300,$B83)</f>
        <v>0</v>
      </c>
      <c r="X83" s="8" t="n">
        <f aca="false">W83-V83</f>
        <v>0</v>
      </c>
      <c r="Y83" s="9" t="str">
        <f aca="false">IF(V83&gt;0,X83/V83,"")</f>
        <v/>
      </c>
      <c r="Z83" s="9" t="n">
        <f aca="false">IF(W$6=0,"",W83/W$6)</f>
        <v>0</v>
      </c>
      <c r="AA83" s="56" t="n">
        <f aca="false">SUMIFS('Saloni Mehra'!$D$7:$D$300,'Saloni Mehra'!$B$7:$B$300,$B83)</f>
        <v>0</v>
      </c>
      <c r="AB83" s="57" t="str">
        <f aca="false">IF(AND(AA83&gt;0,AC83&gt;0),AC83/AA83,"")</f>
        <v/>
      </c>
      <c r="AC83" s="8" t="n">
        <f aca="false">SUMIFS('Saloni Mehra'!$E$7:$E$300,'Saloni Mehra'!$B$7:$B$300,$B83)</f>
        <v>0</v>
      </c>
      <c r="AD83" s="8" t="n">
        <f aca="false">SUMIFS('Saloni Mehra'!$H$7:$H$300,'Saloni Mehra'!$B$7:$B$300,$B83)</f>
        <v>0</v>
      </c>
      <c r="AE83" s="8" t="n">
        <f aca="false">AD83-AC83</f>
        <v>0</v>
      </c>
      <c r="AF83" s="9" t="str">
        <f aca="false">IF(AC83&gt;0,AE83/AC83,"")</f>
        <v/>
      </c>
      <c r="AG83" s="9" t="n">
        <f aca="false">IF(AD$6=0,"",AD83/AD$6)</f>
        <v>0</v>
      </c>
      <c r="AH83" s="56" t="n">
        <f aca="false">SUMIFS('Vidushi Malhotra'!$D$7:$D$300,'Vidushi Malhotra'!$B$7:$B$300,$B83)</f>
        <v>0</v>
      </c>
      <c r="AI83" s="57" t="str">
        <f aca="false">IF(AND(AH83&gt;0,AJ83&gt;0),AJ83/AH83,"")</f>
        <v/>
      </c>
      <c r="AJ83" s="8" t="n">
        <f aca="false">SUMIFS('Vidushi Malhotra'!$E$7:$E$300,'Vidushi Malhotra'!$B$7:$B$300,$B83)</f>
        <v>0</v>
      </c>
      <c r="AK83" s="8" t="n">
        <f aca="false">SUMIFS('Vidushi Malhotra'!$H$7:$H$300,'Vidushi Malhotra'!$B$7:$B$300,$B83)</f>
        <v>0</v>
      </c>
      <c r="AL83" s="8" t="n">
        <f aca="false">AK83-AJ83</f>
        <v>0</v>
      </c>
      <c r="AM83" s="9" t="str">
        <f aca="false">IF(AJ83&gt;0,AL83/AJ83,"")</f>
        <v/>
      </c>
      <c r="AN83" s="9" t="n">
        <f aca="false">IF(AK$6=0,"",AK83/AK$6)</f>
        <v>0</v>
      </c>
      <c r="AO83" s="56" t="n">
        <f aca="false">SUMIFS('Dr Umesh Choudhry'!$D$7:$D$300,'Dr Umesh Choudhry'!$B$7:$B$300,$B83)</f>
        <v>0</v>
      </c>
      <c r="AP83" s="57" t="str">
        <f aca="false">IF(AND(AO83&gt;0,AQ83&gt;0),AQ83/AO83,"")</f>
        <v/>
      </c>
      <c r="AQ83" s="8" t="n">
        <f aca="false">SUMIFS('Dr Umesh Choudhry'!$E$7:$E$300,'Dr Umesh Choudhry'!$B$7:$B$300,$B83)</f>
        <v>0</v>
      </c>
      <c r="AR83" s="8" t="n">
        <f aca="false">SUMIFS('Dr Umesh Choudhry'!$H$7:$H$300,'Dr Umesh Choudhry'!$B$7:$B$300,$B83)</f>
        <v>0</v>
      </c>
      <c r="AS83" s="8" t="n">
        <f aca="false">AR83-AQ83</f>
        <v>0</v>
      </c>
      <c r="AT83" s="9" t="str">
        <f aca="false">IF(AQ83&gt;0,AS83/AQ83,"")</f>
        <v/>
      </c>
      <c r="AU83" s="9" t="n">
        <f aca="false">IF(AR$6=0,"",AR83/AR$6)</f>
        <v>0</v>
      </c>
      <c r="AV83" s="56" t="n">
        <f aca="false">SUMIFS(DA!$D$7:$D$300,DA!$B$7:$B$300,$B83)</f>
        <v>560</v>
      </c>
      <c r="AW83" s="57" t="n">
        <f aca="false">IF(AND(AV83&gt;0,AX83&gt;0),AX83/AV83,"")</f>
        <v>55</v>
      </c>
      <c r="AX83" s="8" t="n">
        <f aca="false">SUMIFS(DA!$E$7:$E$300,DA!$B$7:$B$300,$B83)</f>
        <v>30800</v>
      </c>
      <c r="AY83" s="8" t="n">
        <f aca="false">SUMIFS(DA!$H$7:$H$300,DA!$B$7:$B$300,$B83)</f>
        <v>6815.2</v>
      </c>
      <c r="AZ83" s="8" t="n">
        <f aca="false">AY83-AX83</f>
        <v>-23984.8</v>
      </c>
      <c r="BA83" s="9" t="n">
        <f aca="false">IF(AX83&gt;0,AZ83/AX83,"")</f>
        <v>-0.778727272727273</v>
      </c>
      <c r="BB83" s="9" t="n">
        <f aca="false">IF(AY$6=0,"",AY83/AY$6)</f>
        <v>0.00176285076745545</v>
      </c>
    </row>
    <row r="84" customFormat="false" ht="15" hidden="false" customHeight="false" outlineLevel="0" collapsed="false">
      <c r="A84" s="5" t="n">
        <v>78</v>
      </c>
      <c r="B84" s="47" t="s">
        <v>156</v>
      </c>
      <c r="C84" s="48" t="n">
        <f aca="false">IFERROR(INDEX(Prices!$C$6:$C$300,MATCH($B84,Prices!$A$6:$A$300,0)),"")</f>
        <v>718.95</v>
      </c>
      <c r="D84" s="49" t="str">
        <f aca="false">IFERROR(INDEX(Prices!$D$6:$D$300,MATCH($B84,Prices!$A$6:$A$300,0)),"")</f>
        <v>Close 22.10.2026 (Screener.in)</v>
      </c>
      <c r="E84" s="6" t="n">
        <f aca="false">(M84&gt;0)+(T84&gt;0)+(AA84&gt;0)+(AH84&gt;0)+(AO84&gt;0)+(AV84&gt;0)</f>
        <v>2</v>
      </c>
      <c r="F84" s="50" t="n">
        <f aca="false">M84+T84+AA84+AH84+AO84+AV84</f>
        <v>8</v>
      </c>
      <c r="G84" s="51" t="n">
        <f aca="false">IF(AND(F84&gt;0,H84&gt;0),H84/F84,"")</f>
        <v>1004.125</v>
      </c>
      <c r="H84" s="52" t="n">
        <f aca="false">O84+V84+AC84+AJ84+AQ84+AX84</f>
        <v>8033</v>
      </c>
      <c r="I84" s="53" t="n">
        <f aca="false">P84+W84+AD84+AK84+AR84+AY84</f>
        <v>5751.6</v>
      </c>
      <c r="J84" s="52" t="n">
        <f aca="false">I84-H84</f>
        <v>-2281.4</v>
      </c>
      <c r="K84" s="54" t="n">
        <f aca="false">IF(H84&gt;0,J84/H84,"")</f>
        <v>-0.28400348562181</v>
      </c>
      <c r="L84" s="55" t="n">
        <f aca="false">IF(I$6=0,"",I84/I$6)</f>
        <v>0.000152432096828659</v>
      </c>
      <c r="M84" s="56" t="n">
        <f aca="false">SUMIFS(Gautam!$D$7:$D$300,Gautam!$B$7:$B$300,$B84)</f>
        <v>0</v>
      </c>
      <c r="N84" s="57" t="str">
        <f aca="false">IF(AND(M84&gt;0,O84&gt;0),O84/M84,"")</f>
        <v/>
      </c>
      <c r="O84" s="8" t="n">
        <f aca="false">SUMIFS(Gautam!$E$7:$E$300,Gautam!$B$7:$B$300,$B84)</f>
        <v>0</v>
      </c>
      <c r="P84" s="8" t="n">
        <f aca="false">SUMIFS(Gautam!$H$7:$H$300,Gautam!$B$7:$B$300,$B84)</f>
        <v>0</v>
      </c>
      <c r="Q84" s="8" t="n">
        <f aca="false">P84-O84</f>
        <v>0</v>
      </c>
      <c r="R84" s="9" t="str">
        <f aca="false">IF(O84&gt;0,Q84/O84,"")</f>
        <v/>
      </c>
      <c r="S84" s="9" t="n">
        <f aca="false">IF(P$6=0,"",P84/P$6)</f>
        <v>0</v>
      </c>
      <c r="T84" s="56" t="n">
        <f aca="false">SUMIFS('Manish Shilpa'!$D$7:$D$300,'Manish Shilpa'!$B$7:$B$300,$B84)</f>
        <v>5</v>
      </c>
      <c r="U84" s="57" t="n">
        <f aca="false">IF(AND(T84&gt;0,V84&gt;0),V84/T84,"")</f>
        <v>1021</v>
      </c>
      <c r="V84" s="8" t="n">
        <f aca="false">SUMIFS('Manish Shilpa'!$E$7:$E$300,'Manish Shilpa'!$B$7:$B$300,$B84)</f>
        <v>5105</v>
      </c>
      <c r="W84" s="8" t="n">
        <f aca="false">SUMIFS('Manish Shilpa'!$H$7:$H$300,'Manish Shilpa'!$B$7:$B$300,$B84)</f>
        <v>3594.75</v>
      </c>
      <c r="X84" s="8" t="n">
        <f aca="false">W84-V84</f>
        <v>-1510.25</v>
      </c>
      <c r="Y84" s="9" t="n">
        <f aca="false">IF(V84&gt;0,X84/V84,"")</f>
        <v>-0.295837414299706</v>
      </c>
      <c r="Z84" s="9" t="n">
        <f aca="false">IF(W$6=0,"",W84/W$6)</f>
        <v>0.000303972766908367</v>
      </c>
      <c r="AA84" s="56" t="n">
        <f aca="false">SUMIFS('Saloni Mehra'!$D$7:$D$300,'Saloni Mehra'!$B$7:$B$300,$B84)</f>
        <v>3</v>
      </c>
      <c r="AB84" s="57" t="n">
        <f aca="false">IF(AND(AA84&gt;0,AC84&gt;0),AC84/AA84,"")</f>
        <v>976</v>
      </c>
      <c r="AC84" s="8" t="n">
        <f aca="false">SUMIFS('Saloni Mehra'!$E$7:$E$300,'Saloni Mehra'!$B$7:$B$300,$B84)</f>
        <v>2928</v>
      </c>
      <c r="AD84" s="8" t="n">
        <f aca="false">SUMIFS('Saloni Mehra'!$H$7:$H$300,'Saloni Mehra'!$B$7:$B$300,$B84)</f>
        <v>2156.85</v>
      </c>
      <c r="AE84" s="8" t="n">
        <f aca="false">AD84-AC84</f>
        <v>-771.15</v>
      </c>
      <c r="AF84" s="9" t="n">
        <f aca="false">IF(AC84&gt;0,AE84/AC84,"")</f>
        <v>-0.263370901639344</v>
      </c>
      <c r="AG84" s="9" t="n">
        <f aca="false">IF(AD$6=0,"",AD84/AD$6)</f>
        <v>0.000193135889506553</v>
      </c>
      <c r="AH84" s="56" t="n">
        <f aca="false">SUMIFS('Vidushi Malhotra'!$D$7:$D$300,'Vidushi Malhotra'!$B$7:$B$300,$B84)</f>
        <v>0</v>
      </c>
      <c r="AI84" s="57" t="str">
        <f aca="false">IF(AND(AH84&gt;0,AJ84&gt;0),AJ84/AH84,"")</f>
        <v/>
      </c>
      <c r="AJ84" s="8" t="n">
        <f aca="false">SUMIFS('Vidushi Malhotra'!$E$7:$E$300,'Vidushi Malhotra'!$B$7:$B$300,$B84)</f>
        <v>0</v>
      </c>
      <c r="AK84" s="8" t="n">
        <f aca="false">SUMIFS('Vidushi Malhotra'!$H$7:$H$300,'Vidushi Malhotra'!$B$7:$B$300,$B84)</f>
        <v>0</v>
      </c>
      <c r="AL84" s="8" t="n">
        <f aca="false">AK84-AJ84</f>
        <v>0</v>
      </c>
      <c r="AM84" s="9" t="str">
        <f aca="false">IF(AJ84&gt;0,AL84/AJ84,"")</f>
        <v/>
      </c>
      <c r="AN84" s="9" t="n">
        <f aca="false">IF(AK$6=0,"",AK84/AK$6)</f>
        <v>0</v>
      </c>
      <c r="AO84" s="56" t="n">
        <f aca="false">SUMIFS('Dr Umesh Choudhry'!$D$7:$D$300,'Dr Umesh Choudhry'!$B$7:$B$300,$B84)</f>
        <v>0</v>
      </c>
      <c r="AP84" s="57" t="str">
        <f aca="false">IF(AND(AO84&gt;0,AQ84&gt;0),AQ84/AO84,"")</f>
        <v/>
      </c>
      <c r="AQ84" s="8" t="n">
        <f aca="false">SUMIFS('Dr Umesh Choudhry'!$E$7:$E$300,'Dr Umesh Choudhry'!$B$7:$B$300,$B84)</f>
        <v>0</v>
      </c>
      <c r="AR84" s="8" t="n">
        <f aca="false">SUMIFS('Dr Umesh Choudhry'!$H$7:$H$300,'Dr Umesh Choudhry'!$B$7:$B$300,$B84)</f>
        <v>0</v>
      </c>
      <c r="AS84" s="8" t="n">
        <f aca="false">AR84-AQ84</f>
        <v>0</v>
      </c>
      <c r="AT84" s="9" t="str">
        <f aca="false">IF(AQ84&gt;0,AS84/AQ84,"")</f>
        <v/>
      </c>
      <c r="AU84" s="9" t="n">
        <f aca="false">IF(AR$6=0,"",AR84/AR$6)</f>
        <v>0</v>
      </c>
      <c r="AV84" s="56" t="n">
        <f aca="false">SUMIFS(DA!$D$7:$D$300,DA!$B$7:$B$300,$B84)</f>
        <v>0</v>
      </c>
      <c r="AW84" s="57" t="str">
        <f aca="false">IF(AND(AV84&gt;0,AX84&gt;0),AX84/AV84,"")</f>
        <v/>
      </c>
      <c r="AX84" s="8" t="n">
        <f aca="false">SUMIFS(DA!$E$7:$E$300,DA!$B$7:$B$300,$B84)</f>
        <v>0</v>
      </c>
      <c r="AY84" s="8" t="n">
        <f aca="false">SUMIFS(DA!$H$7:$H$300,DA!$B$7:$B$300,$B84)</f>
        <v>0</v>
      </c>
      <c r="AZ84" s="8" t="n">
        <f aca="false">AY84-AX84</f>
        <v>0</v>
      </c>
      <c r="BA84" s="9" t="str">
        <f aca="false">IF(AX84&gt;0,AZ84/AX84,"")</f>
        <v/>
      </c>
      <c r="BB84" s="9" t="n">
        <f aca="false">IF(AY$6=0,"",AY84/AY$6)</f>
        <v>0</v>
      </c>
    </row>
    <row r="85" customFormat="false" ht="15" hidden="false" customHeight="false" outlineLevel="0" collapsed="false">
      <c r="A85" s="5" t="n">
        <v>79</v>
      </c>
      <c r="B85" s="47" t="s">
        <v>157</v>
      </c>
      <c r="C85" s="48" t="n">
        <f aca="false">IFERROR(INDEX(Prices!$C$6:$C$300,MATCH($B85,Prices!$A$6:$A$300,0)),"")</f>
        <v>1704.2</v>
      </c>
      <c r="D85" s="49" t="str">
        <f aca="false">IFERROR(INDEX(Prices!$D$6:$D$300,MATCH($B85,Prices!$A$6:$A$300,0)),"")</f>
        <v>Close 22.10.2026 (Screener.in)</v>
      </c>
      <c r="E85" s="6" t="n">
        <f aca="false">(M85&gt;0)+(T85&gt;0)+(AA85&gt;0)+(AH85&gt;0)+(AO85&gt;0)+(AV85&gt;0)</f>
        <v>1</v>
      </c>
      <c r="F85" s="50" t="n">
        <f aca="false">M85+T85+AA85+AH85+AO85+AV85</f>
        <v>3</v>
      </c>
      <c r="G85" s="51" t="n">
        <f aca="false">IF(AND(F85&gt;0,H85&gt;0),H85/F85,"")</f>
        <v>4109</v>
      </c>
      <c r="H85" s="52" t="n">
        <f aca="false">O85+V85+AC85+AJ85+AQ85+AX85</f>
        <v>12327</v>
      </c>
      <c r="I85" s="53" t="n">
        <f aca="false">P85+W85+AD85+AK85+AR85+AY85</f>
        <v>5112.6</v>
      </c>
      <c r="J85" s="52" t="n">
        <f aca="false">I85-H85</f>
        <v>-7214.4</v>
      </c>
      <c r="K85" s="54" t="n">
        <f aca="false">IF(H85&gt;0,J85/H85,"")</f>
        <v>-0.585251886103675</v>
      </c>
      <c r="L85" s="55" t="n">
        <f aca="false">IF(I$6=0,"",I85/I$6)</f>
        <v>0.000135496964018047</v>
      </c>
      <c r="M85" s="56" t="n">
        <f aca="false">SUMIFS(Gautam!$D$7:$D$300,Gautam!$B$7:$B$300,$B85)</f>
        <v>0</v>
      </c>
      <c r="N85" s="57" t="str">
        <f aca="false">IF(AND(M85&gt;0,O85&gt;0),O85/M85,"")</f>
        <v/>
      </c>
      <c r="O85" s="8" t="n">
        <f aca="false">SUMIFS(Gautam!$E$7:$E$300,Gautam!$B$7:$B$300,$B85)</f>
        <v>0</v>
      </c>
      <c r="P85" s="8" t="n">
        <f aca="false">SUMIFS(Gautam!$H$7:$H$300,Gautam!$B$7:$B$300,$B85)</f>
        <v>0</v>
      </c>
      <c r="Q85" s="8" t="n">
        <f aca="false">P85-O85</f>
        <v>0</v>
      </c>
      <c r="R85" s="9" t="str">
        <f aca="false">IF(O85&gt;0,Q85/O85,"")</f>
        <v/>
      </c>
      <c r="S85" s="9" t="n">
        <f aca="false">IF(P$6=0,"",P85/P$6)</f>
        <v>0</v>
      </c>
      <c r="T85" s="56" t="n">
        <f aca="false">SUMIFS('Manish Shilpa'!$D$7:$D$300,'Manish Shilpa'!$B$7:$B$300,$B85)</f>
        <v>3</v>
      </c>
      <c r="U85" s="57" t="n">
        <f aca="false">IF(AND(T85&gt;0,V85&gt;0),V85/T85,"")</f>
        <v>4109</v>
      </c>
      <c r="V85" s="8" t="n">
        <f aca="false">SUMIFS('Manish Shilpa'!$E$7:$E$300,'Manish Shilpa'!$B$7:$B$300,$B85)</f>
        <v>12327</v>
      </c>
      <c r="W85" s="8" t="n">
        <f aca="false">SUMIFS('Manish Shilpa'!$H$7:$H$300,'Manish Shilpa'!$B$7:$B$300,$B85)</f>
        <v>5112.6</v>
      </c>
      <c r="X85" s="8" t="n">
        <f aca="false">W85-V85</f>
        <v>-7214.4</v>
      </c>
      <c r="Y85" s="9" t="n">
        <f aca="false">IF(V85&gt;0,X85/V85,"")</f>
        <v>-0.585251886103675</v>
      </c>
      <c r="Z85" s="9" t="n">
        <f aca="false">IF(W$6=0,"",W85/W$6)</f>
        <v>0.000432322461393899</v>
      </c>
      <c r="AA85" s="56" t="n">
        <f aca="false">SUMIFS('Saloni Mehra'!$D$7:$D$300,'Saloni Mehra'!$B$7:$B$300,$B85)</f>
        <v>0</v>
      </c>
      <c r="AB85" s="57" t="str">
        <f aca="false">IF(AND(AA85&gt;0,AC85&gt;0),AC85/AA85,"")</f>
        <v/>
      </c>
      <c r="AC85" s="8" t="n">
        <f aca="false">SUMIFS('Saloni Mehra'!$E$7:$E$300,'Saloni Mehra'!$B$7:$B$300,$B85)</f>
        <v>0</v>
      </c>
      <c r="AD85" s="8" t="n">
        <f aca="false">SUMIFS('Saloni Mehra'!$H$7:$H$300,'Saloni Mehra'!$B$7:$B$300,$B85)</f>
        <v>0</v>
      </c>
      <c r="AE85" s="8" t="n">
        <f aca="false">AD85-AC85</f>
        <v>0</v>
      </c>
      <c r="AF85" s="9" t="str">
        <f aca="false">IF(AC85&gt;0,AE85/AC85,"")</f>
        <v/>
      </c>
      <c r="AG85" s="9" t="n">
        <f aca="false">IF(AD$6=0,"",AD85/AD$6)</f>
        <v>0</v>
      </c>
      <c r="AH85" s="56" t="n">
        <f aca="false">SUMIFS('Vidushi Malhotra'!$D$7:$D$300,'Vidushi Malhotra'!$B$7:$B$300,$B85)</f>
        <v>0</v>
      </c>
      <c r="AI85" s="57" t="str">
        <f aca="false">IF(AND(AH85&gt;0,AJ85&gt;0),AJ85/AH85,"")</f>
        <v/>
      </c>
      <c r="AJ85" s="8" t="n">
        <f aca="false">SUMIFS('Vidushi Malhotra'!$E$7:$E$300,'Vidushi Malhotra'!$B$7:$B$300,$B85)</f>
        <v>0</v>
      </c>
      <c r="AK85" s="8" t="n">
        <f aca="false">SUMIFS('Vidushi Malhotra'!$H$7:$H$300,'Vidushi Malhotra'!$B$7:$B$300,$B85)</f>
        <v>0</v>
      </c>
      <c r="AL85" s="8" t="n">
        <f aca="false">AK85-AJ85</f>
        <v>0</v>
      </c>
      <c r="AM85" s="9" t="str">
        <f aca="false">IF(AJ85&gt;0,AL85/AJ85,"")</f>
        <v/>
      </c>
      <c r="AN85" s="9" t="n">
        <f aca="false">IF(AK$6=0,"",AK85/AK$6)</f>
        <v>0</v>
      </c>
      <c r="AO85" s="56" t="n">
        <f aca="false">SUMIFS('Dr Umesh Choudhry'!$D$7:$D$300,'Dr Umesh Choudhry'!$B$7:$B$300,$B85)</f>
        <v>0</v>
      </c>
      <c r="AP85" s="57" t="str">
        <f aca="false">IF(AND(AO85&gt;0,AQ85&gt;0),AQ85/AO85,"")</f>
        <v/>
      </c>
      <c r="AQ85" s="8" t="n">
        <f aca="false">SUMIFS('Dr Umesh Choudhry'!$E$7:$E$300,'Dr Umesh Choudhry'!$B$7:$B$300,$B85)</f>
        <v>0</v>
      </c>
      <c r="AR85" s="8" t="n">
        <f aca="false">SUMIFS('Dr Umesh Choudhry'!$H$7:$H$300,'Dr Umesh Choudhry'!$B$7:$B$300,$B85)</f>
        <v>0</v>
      </c>
      <c r="AS85" s="8" t="n">
        <f aca="false">AR85-AQ85</f>
        <v>0</v>
      </c>
      <c r="AT85" s="9" t="str">
        <f aca="false">IF(AQ85&gt;0,AS85/AQ85,"")</f>
        <v/>
      </c>
      <c r="AU85" s="9" t="n">
        <f aca="false">IF(AR$6=0,"",AR85/AR$6)</f>
        <v>0</v>
      </c>
      <c r="AV85" s="56" t="n">
        <f aca="false">SUMIFS(DA!$D$7:$D$300,DA!$B$7:$B$300,$B85)</f>
        <v>0</v>
      </c>
      <c r="AW85" s="57" t="str">
        <f aca="false">IF(AND(AV85&gt;0,AX85&gt;0),AX85/AV85,"")</f>
        <v/>
      </c>
      <c r="AX85" s="8" t="n">
        <f aca="false">SUMIFS(DA!$E$7:$E$300,DA!$B$7:$B$300,$B85)</f>
        <v>0</v>
      </c>
      <c r="AY85" s="8" t="n">
        <f aca="false">SUMIFS(DA!$H$7:$H$300,DA!$B$7:$B$300,$B85)</f>
        <v>0</v>
      </c>
      <c r="AZ85" s="8" t="n">
        <f aca="false">AY85-AX85</f>
        <v>0</v>
      </c>
      <c r="BA85" s="9" t="str">
        <f aca="false">IF(AX85&gt;0,AZ85/AX85,"")</f>
        <v/>
      </c>
      <c r="BB85" s="9" t="n">
        <f aca="false">IF(AY$6=0,"",AY85/AY$6)</f>
        <v>0</v>
      </c>
    </row>
    <row r="86" customFormat="false" ht="15" hidden="false" customHeight="false" outlineLevel="0" collapsed="false">
      <c r="A86" s="5" t="n">
        <v>80</v>
      </c>
      <c r="B86" s="47" t="s">
        <v>158</v>
      </c>
      <c r="C86" s="48" t="n">
        <f aca="false">IFERROR(INDEX(Prices!$C$6:$C$300,MATCH($B86,Prices!$A$6:$A$300,0)),"")</f>
        <v>188.91</v>
      </c>
      <c r="D86" s="49" t="str">
        <f aca="false">IFERROR(INDEX(Prices!$D$6:$D$300,MATCH($B86,Prices!$A$6:$A$300,0)),"")</f>
        <v>Close 22.10.2026 (Screener.in)</v>
      </c>
      <c r="E86" s="6" t="n">
        <f aca="false">(M86&gt;0)+(T86&gt;0)+(AA86&gt;0)+(AH86&gt;0)+(AO86&gt;0)+(AV86&gt;0)</f>
        <v>1</v>
      </c>
      <c r="F86" s="50" t="n">
        <f aca="false">M86+T86+AA86+AH86+AO86+AV86</f>
        <v>25</v>
      </c>
      <c r="G86" s="51" t="n">
        <f aca="false">IF(AND(F86&gt;0,H86&gt;0),H86/F86,"")</f>
        <v>180</v>
      </c>
      <c r="H86" s="52" t="n">
        <f aca="false">O86+V86+AC86+AJ86+AQ86+AX86</f>
        <v>4500</v>
      </c>
      <c r="I86" s="53" t="n">
        <f aca="false">P86+W86+AD86+AK86+AR86+AY86</f>
        <v>4722.75</v>
      </c>
      <c r="J86" s="52" t="n">
        <f aca="false">I86-H86</f>
        <v>222.75</v>
      </c>
      <c r="K86" s="54" t="n">
        <f aca="false">IF(H86&gt;0,J86/H86,"")</f>
        <v>0.0495</v>
      </c>
      <c r="L86" s="55" t="n">
        <f aca="false">IF(I$6=0,"",I86/I$6)</f>
        <v>0.000125164942850259</v>
      </c>
      <c r="M86" s="56" t="n">
        <f aca="false">SUMIFS(Gautam!$D$7:$D$300,Gautam!$B$7:$B$300,$B86)</f>
        <v>25</v>
      </c>
      <c r="N86" s="57" t="n">
        <f aca="false">IF(AND(M86&gt;0,O86&gt;0),O86/M86,"")</f>
        <v>180</v>
      </c>
      <c r="O86" s="8" t="n">
        <f aca="false">SUMIFS(Gautam!$E$7:$E$300,Gautam!$B$7:$B$300,$B86)</f>
        <v>4500</v>
      </c>
      <c r="P86" s="8" t="n">
        <f aca="false">SUMIFS(Gautam!$H$7:$H$300,Gautam!$B$7:$B$300,$B86)</f>
        <v>4722.75</v>
      </c>
      <c r="Q86" s="8" t="n">
        <f aca="false">P86-O86</f>
        <v>222.75</v>
      </c>
      <c r="R86" s="9" t="n">
        <f aca="false">IF(O86&gt;0,Q86/O86,"")</f>
        <v>0.0495</v>
      </c>
      <c r="S86" s="9" t="n">
        <f aca="false">IF(P$6=0,"",P86/P$6)</f>
        <v>0.000903848387492564</v>
      </c>
      <c r="T86" s="56" t="n">
        <f aca="false">SUMIFS('Manish Shilpa'!$D$7:$D$300,'Manish Shilpa'!$B$7:$B$300,$B86)</f>
        <v>0</v>
      </c>
      <c r="U86" s="57" t="str">
        <f aca="false">IF(AND(T86&gt;0,V86&gt;0),V86/T86,"")</f>
        <v/>
      </c>
      <c r="V86" s="8" t="n">
        <f aca="false">SUMIFS('Manish Shilpa'!$E$7:$E$300,'Manish Shilpa'!$B$7:$B$300,$B86)</f>
        <v>0</v>
      </c>
      <c r="W86" s="8" t="n">
        <f aca="false">SUMIFS('Manish Shilpa'!$H$7:$H$300,'Manish Shilpa'!$B$7:$B$300,$B86)</f>
        <v>0</v>
      </c>
      <c r="X86" s="8" t="n">
        <f aca="false">W86-V86</f>
        <v>0</v>
      </c>
      <c r="Y86" s="9" t="str">
        <f aca="false">IF(V86&gt;0,X86/V86,"")</f>
        <v/>
      </c>
      <c r="Z86" s="9" t="n">
        <f aca="false">IF(W$6=0,"",W86/W$6)</f>
        <v>0</v>
      </c>
      <c r="AA86" s="56" t="n">
        <f aca="false">SUMIFS('Saloni Mehra'!$D$7:$D$300,'Saloni Mehra'!$B$7:$B$300,$B86)</f>
        <v>0</v>
      </c>
      <c r="AB86" s="57" t="str">
        <f aca="false">IF(AND(AA86&gt;0,AC86&gt;0),AC86/AA86,"")</f>
        <v/>
      </c>
      <c r="AC86" s="8" t="n">
        <f aca="false">SUMIFS('Saloni Mehra'!$E$7:$E$300,'Saloni Mehra'!$B$7:$B$300,$B86)</f>
        <v>0</v>
      </c>
      <c r="AD86" s="8" t="n">
        <f aca="false">SUMIFS('Saloni Mehra'!$H$7:$H$300,'Saloni Mehra'!$B$7:$B$300,$B86)</f>
        <v>0</v>
      </c>
      <c r="AE86" s="8" t="n">
        <f aca="false">AD86-AC86</f>
        <v>0</v>
      </c>
      <c r="AF86" s="9" t="str">
        <f aca="false">IF(AC86&gt;0,AE86/AC86,"")</f>
        <v/>
      </c>
      <c r="AG86" s="9" t="n">
        <f aca="false">IF(AD$6=0,"",AD86/AD$6)</f>
        <v>0</v>
      </c>
      <c r="AH86" s="56" t="n">
        <f aca="false">SUMIFS('Vidushi Malhotra'!$D$7:$D$300,'Vidushi Malhotra'!$B$7:$B$300,$B86)</f>
        <v>0</v>
      </c>
      <c r="AI86" s="57" t="str">
        <f aca="false">IF(AND(AH86&gt;0,AJ86&gt;0),AJ86/AH86,"")</f>
        <v/>
      </c>
      <c r="AJ86" s="8" t="n">
        <f aca="false">SUMIFS('Vidushi Malhotra'!$E$7:$E$300,'Vidushi Malhotra'!$B$7:$B$300,$B86)</f>
        <v>0</v>
      </c>
      <c r="AK86" s="8" t="n">
        <f aca="false">SUMIFS('Vidushi Malhotra'!$H$7:$H$300,'Vidushi Malhotra'!$B$7:$B$300,$B86)</f>
        <v>0</v>
      </c>
      <c r="AL86" s="8" t="n">
        <f aca="false">AK86-AJ86</f>
        <v>0</v>
      </c>
      <c r="AM86" s="9" t="str">
        <f aca="false">IF(AJ86&gt;0,AL86/AJ86,"")</f>
        <v/>
      </c>
      <c r="AN86" s="9" t="n">
        <f aca="false">IF(AK$6=0,"",AK86/AK$6)</f>
        <v>0</v>
      </c>
      <c r="AO86" s="56" t="n">
        <f aca="false">SUMIFS('Dr Umesh Choudhry'!$D$7:$D$300,'Dr Umesh Choudhry'!$B$7:$B$300,$B86)</f>
        <v>0</v>
      </c>
      <c r="AP86" s="57" t="str">
        <f aca="false">IF(AND(AO86&gt;0,AQ86&gt;0),AQ86/AO86,"")</f>
        <v/>
      </c>
      <c r="AQ86" s="8" t="n">
        <f aca="false">SUMIFS('Dr Umesh Choudhry'!$E$7:$E$300,'Dr Umesh Choudhry'!$B$7:$B$300,$B86)</f>
        <v>0</v>
      </c>
      <c r="AR86" s="8" t="n">
        <f aca="false">SUMIFS('Dr Umesh Choudhry'!$H$7:$H$300,'Dr Umesh Choudhry'!$B$7:$B$300,$B86)</f>
        <v>0</v>
      </c>
      <c r="AS86" s="8" t="n">
        <f aca="false">AR86-AQ86</f>
        <v>0</v>
      </c>
      <c r="AT86" s="9" t="str">
        <f aca="false">IF(AQ86&gt;0,AS86/AQ86,"")</f>
        <v/>
      </c>
      <c r="AU86" s="9" t="n">
        <f aca="false">IF(AR$6=0,"",AR86/AR$6)</f>
        <v>0</v>
      </c>
      <c r="AV86" s="56" t="n">
        <f aca="false">SUMIFS(DA!$D$7:$D$300,DA!$B$7:$B$300,$B86)</f>
        <v>0</v>
      </c>
      <c r="AW86" s="57" t="str">
        <f aca="false">IF(AND(AV86&gt;0,AX86&gt;0),AX86/AV86,"")</f>
        <v/>
      </c>
      <c r="AX86" s="8" t="n">
        <f aca="false">SUMIFS(DA!$E$7:$E$300,DA!$B$7:$B$300,$B86)</f>
        <v>0</v>
      </c>
      <c r="AY86" s="8" t="n">
        <f aca="false">SUMIFS(DA!$H$7:$H$300,DA!$B$7:$B$300,$B86)</f>
        <v>0</v>
      </c>
      <c r="AZ86" s="8" t="n">
        <f aca="false">AY86-AX86</f>
        <v>0</v>
      </c>
      <c r="BA86" s="9" t="str">
        <f aca="false">IF(AX86&gt;0,AZ86/AX86,"")</f>
        <v/>
      </c>
      <c r="BB86" s="9" t="n">
        <f aca="false">IF(AY$6=0,"",AY86/AY$6)</f>
        <v>0</v>
      </c>
    </row>
    <row r="87" customFormat="false" ht="15" hidden="false" customHeight="false" outlineLevel="0" collapsed="false">
      <c r="A87" s="5" t="n">
        <v>81</v>
      </c>
      <c r="B87" s="47" t="s">
        <v>159</v>
      </c>
      <c r="C87" s="48" t="n">
        <f aca="false">IFERROR(INDEX(Prices!$C$6:$C$300,MATCH($B87,Prices!$A$6:$A$300,0)),"")</f>
        <v>749.6</v>
      </c>
      <c r="D87" s="49" t="str">
        <f aca="false">IFERROR(INDEX(Prices!$D$6:$D$300,MATCH($B87,Prices!$A$6:$A$300,0)),"")</f>
        <v>Close 22.10.2026 (Screener.in)</v>
      </c>
      <c r="E87" s="6" t="n">
        <f aca="false">(M87&gt;0)+(T87&gt;0)+(AA87&gt;0)+(AH87&gt;0)+(AO87&gt;0)+(AV87&gt;0)</f>
        <v>1</v>
      </c>
      <c r="F87" s="50" t="n">
        <f aca="false">M87+T87+AA87+AH87+AO87+AV87</f>
        <v>5</v>
      </c>
      <c r="G87" s="51" t="n">
        <f aca="false">IF(AND(F87&gt;0,H87&gt;0),H87/F87,"")</f>
        <v>676</v>
      </c>
      <c r="H87" s="52" t="n">
        <f aca="false">O87+V87+AC87+AJ87+AQ87+AX87</f>
        <v>3380</v>
      </c>
      <c r="I87" s="53" t="n">
        <f aca="false">P87+W87+AD87+AK87+AR87+AY87</f>
        <v>3748</v>
      </c>
      <c r="J87" s="52" t="n">
        <f aca="false">I87-H87</f>
        <v>368</v>
      </c>
      <c r="K87" s="54" t="n">
        <f aca="false">IF(H87&gt;0,J87/H87,"")</f>
        <v>0.10887573964497</v>
      </c>
      <c r="L87" s="55" t="n">
        <f aca="false">IF(I$6=0,"",I87/I$6)</f>
        <v>9.93315771113801E-005</v>
      </c>
      <c r="M87" s="56" t="n">
        <f aca="false">SUMIFS(Gautam!$D$7:$D$300,Gautam!$B$7:$B$300,$B87)</f>
        <v>0</v>
      </c>
      <c r="N87" s="57" t="str">
        <f aca="false">IF(AND(M87&gt;0,O87&gt;0),O87/M87,"")</f>
        <v/>
      </c>
      <c r="O87" s="8" t="n">
        <f aca="false">SUMIFS(Gautam!$E$7:$E$300,Gautam!$B$7:$B$300,$B87)</f>
        <v>0</v>
      </c>
      <c r="P87" s="8" t="n">
        <f aca="false">SUMIFS(Gautam!$H$7:$H$300,Gautam!$B$7:$B$300,$B87)</f>
        <v>0</v>
      </c>
      <c r="Q87" s="8" t="n">
        <f aca="false">P87-O87</f>
        <v>0</v>
      </c>
      <c r="R87" s="9" t="str">
        <f aca="false">IF(O87&gt;0,Q87/O87,"")</f>
        <v/>
      </c>
      <c r="S87" s="9" t="n">
        <f aca="false">IF(P$6=0,"",P87/P$6)</f>
        <v>0</v>
      </c>
      <c r="T87" s="56" t="n">
        <f aca="false">SUMIFS('Manish Shilpa'!$D$7:$D$300,'Manish Shilpa'!$B$7:$B$300,$B87)</f>
        <v>5</v>
      </c>
      <c r="U87" s="57" t="n">
        <f aca="false">IF(AND(T87&gt;0,V87&gt;0),V87/T87,"")</f>
        <v>676</v>
      </c>
      <c r="V87" s="8" t="n">
        <f aca="false">SUMIFS('Manish Shilpa'!$E$7:$E$300,'Manish Shilpa'!$B$7:$B$300,$B87)</f>
        <v>3380</v>
      </c>
      <c r="W87" s="8" t="n">
        <f aca="false">SUMIFS('Manish Shilpa'!$H$7:$H$300,'Manish Shilpa'!$B$7:$B$300,$B87)</f>
        <v>3748</v>
      </c>
      <c r="X87" s="8" t="n">
        <f aca="false">W87-V87</f>
        <v>368</v>
      </c>
      <c r="Y87" s="9" t="n">
        <f aca="false">IF(V87&gt;0,X87/V87,"")</f>
        <v>0.10887573964497</v>
      </c>
      <c r="Z87" s="9" t="n">
        <f aca="false">IF(W$6=0,"",W87/W$6)</f>
        <v>0.000316931617045013</v>
      </c>
      <c r="AA87" s="56" t="n">
        <f aca="false">SUMIFS('Saloni Mehra'!$D$7:$D$300,'Saloni Mehra'!$B$7:$B$300,$B87)</f>
        <v>0</v>
      </c>
      <c r="AB87" s="57" t="str">
        <f aca="false">IF(AND(AA87&gt;0,AC87&gt;0),AC87/AA87,"")</f>
        <v/>
      </c>
      <c r="AC87" s="8" t="n">
        <f aca="false">SUMIFS('Saloni Mehra'!$E$7:$E$300,'Saloni Mehra'!$B$7:$B$300,$B87)</f>
        <v>0</v>
      </c>
      <c r="AD87" s="8" t="n">
        <f aca="false">SUMIFS('Saloni Mehra'!$H$7:$H$300,'Saloni Mehra'!$B$7:$B$300,$B87)</f>
        <v>0</v>
      </c>
      <c r="AE87" s="8" t="n">
        <f aca="false">AD87-AC87</f>
        <v>0</v>
      </c>
      <c r="AF87" s="9" t="str">
        <f aca="false">IF(AC87&gt;0,AE87/AC87,"")</f>
        <v/>
      </c>
      <c r="AG87" s="9" t="n">
        <f aca="false">IF(AD$6=0,"",AD87/AD$6)</f>
        <v>0</v>
      </c>
      <c r="AH87" s="56" t="n">
        <f aca="false">SUMIFS('Vidushi Malhotra'!$D$7:$D$300,'Vidushi Malhotra'!$B$7:$B$300,$B87)</f>
        <v>0</v>
      </c>
      <c r="AI87" s="57" t="str">
        <f aca="false">IF(AND(AH87&gt;0,AJ87&gt;0),AJ87/AH87,"")</f>
        <v/>
      </c>
      <c r="AJ87" s="8" t="n">
        <f aca="false">SUMIFS('Vidushi Malhotra'!$E$7:$E$300,'Vidushi Malhotra'!$B$7:$B$300,$B87)</f>
        <v>0</v>
      </c>
      <c r="AK87" s="8" t="n">
        <f aca="false">SUMIFS('Vidushi Malhotra'!$H$7:$H$300,'Vidushi Malhotra'!$B$7:$B$300,$B87)</f>
        <v>0</v>
      </c>
      <c r="AL87" s="8" t="n">
        <f aca="false">AK87-AJ87</f>
        <v>0</v>
      </c>
      <c r="AM87" s="9" t="str">
        <f aca="false">IF(AJ87&gt;0,AL87/AJ87,"")</f>
        <v/>
      </c>
      <c r="AN87" s="9" t="n">
        <f aca="false">IF(AK$6=0,"",AK87/AK$6)</f>
        <v>0</v>
      </c>
      <c r="AO87" s="56" t="n">
        <f aca="false">SUMIFS('Dr Umesh Choudhry'!$D$7:$D$300,'Dr Umesh Choudhry'!$B$7:$B$300,$B87)</f>
        <v>0</v>
      </c>
      <c r="AP87" s="57" t="str">
        <f aca="false">IF(AND(AO87&gt;0,AQ87&gt;0),AQ87/AO87,"")</f>
        <v/>
      </c>
      <c r="AQ87" s="8" t="n">
        <f aca="false">SUMIFS('Dr Umesh Choudhry'!$E$7:$E$300,'Dr Umesh Choudhry'!$B$7:$B$300,$B87)</f>
        <v>0</v>
      </c>
      <c r="AR87" s="8" t="n">
        <f aca="false">SUMIFS('Dr Umesh Choudhry'!$H$7:$H$300,'Dr Umesh Choudhry'!$B$7:$B$300,$B87)</f>
        <v>0</v>
      </c>
      <c r="AS87" s="8" t="n">
        <f aca="false">AR87-AQ87</f>
        <v>0</v>
      </c>
      <c r="AT87" s="9" t="str">
        <f aca="false">IF(AQ87&gt;0,AS87/AQ87,"")</f>
        <v/>
      </c>
      <c r="AU87" s="9" t="n">
        <f aca="false">IF(AR$6=0,"",AR87/AR$6)</f>
        <v>0</v>
      </c>
      <c r="AV87" s="56" t="n">
        <f aca="false">SUMIFS(DA!$D$7:$D$300,DA!$B$7:$B$300,$B87)</f>
        <v>0</v>
      </c>
      <c r="AW87" s="57" t="str">
        <f aca="false">IF(AND(AV87&gt;0,AX87&gt;0),AX87/AV87,"")</f>
        <v/>
      </c>
      <c r="AX87" s="8" t="n">
        <f aca="false">SUMIFS(DA!$E$7:$E$300,DA!$B$7:$B$300,$B87)</f>
        <v>0</v>
      </c>
      <c r="AY87" s="8" t="n">
        <f aca="false">SUMIFS(DA!$H$7:$H$300,DA!$B$7:$B$300,$B87)</f>
        <v>0</v>
      </c>
      <c r="AZ87" s="8" t="n">
        <f aca="false">AY87-AX87</f>
        <v>0</v>
      </c>
      <c r="BA87" s="9" t="str">
        <f aca="false">IF(AX87&gt;0,AZ87/AX87,"")</f>
        <v/>
      </c>
      <c r="BB87" s="9" t="n">
        <f aca="false">IF(AY$6=0,"",AY87/AY$6)</f>
        <v>0</v>
      </c>
    </row>
    <row r="88" customFormat="false" ht="15" hidden="false" customHeight="false" outlineLevel="0" collapsed="false">
      <c r="A88" s="5" t="n">
        <v>82</v>
      </c>
      <c r="B88" s="47" t="s">
        <v>160</v>
      </c>
      <c r="C88" s="48" t="n">
        <f aca="false">IFERROR(INDEX(Prices!$C$6:$C$300,MATCH($B88,Prices!$A$6:$A$300,0)),"")</f>
        <v>3688.9</v>
      </c>
      <c r="D88" s="49" t="str">
        <f aca="false">IFERROR(INDEX(Prices!$D$6:$D$300,MATCH($B88,Prices!$A$6:$A$300,0)),"")</f>
        <v>Close 22.10.2026 (Screener.in)</v>
      </c>
      <c r="E88" s="6" t="n">
        <f aca="false">(M88&gt;0)+(T88&gt;0)+(AA88&gt;0)+(AH88&gt;0)+(AO88&gt;0)+(AV88&gt;0)</f>
        <v>1</v>
      </c>
      <c r="F88" s="50" t="n">
        <f aca="false">M88+T88+AA88+AH88+AO88+AV88</f>
        <v>1</v>
      </c>
      <c r="G88" s="51" t="n">
        <f aca="false">IF(AND(F88&gt;0,H88&gt;0),H88/F88,"")</f>
        <v>6103</v>
      </c>
      <c r="H88" s="52" t="n">
        <f aca="false">O88+V88+AC88+AJ88+AQ88+AX88</f>
        <v>6103</v>
      </c>
      <c r="I88" s="53" t="n">
        <f aca="false">P88+W88+AD88+AK88+AR88+AY88</f>
        <v>3688.9</v>
      </c>
      <c r="J88" s="52" t="n">
        <f aca="false">I88-H88</f>
        <v>-2414.1</v>
      </c>
      <c r="K88" s="54" t="n">
        <f aca="false">IF(H88&gt;0,J88/H88,"")</f>
        <v>-0.395559560871702</v>
      </c>
      <c r="L88" s="55" t="n">
        <f aca="false">IF(I$6=0,"",I88/I$6)</f>
        <v>9.7765276095563E-005</v>
      </c>
      <c r="M88" s="56" t="n">
        <f aca="false">SUMIFS(Gautam!$D$7:$D$300,Gautam!$B$7:$B$300,$B88)</f>
        <v>0</v>
      </c>
      <c r="N88" s="57" t="str">
        <f aca="false">IF(AND(M88&gt;0,O88&gt;0),O88/M88,"")</f>
        <v/>
      </c>
      <c r="O88" s="8" t="n">
        <f aca="false">SUMIFS(Gautam!$E$7:$E$300,Gautam!$B$7:$B$300,$B88)</f>
        <v>0</v>
      </c>
      <c r="P88" s="8" t="n">
        <f aca="false">SUMIFS(Gautam!$H$7:$H$300,Gautam!$B$7:$B$300,$B88)</f>
        <v>0</v>
      </c>
      <c r="Q88" s="8" t="n">
        <f aca="false">P88-O88</f>
        <v>0</v>
      </c>
      <c r="R88" s="9" t="str">
        <f aca="false">IF(O88&gt;0,Q88/O88,"")</f>
        <v/>
      </c>
      <c r="S88" s="9" t="n">
        <f aca="false">IF(P$6=0,"",P88/P$6)</f>
        <v>0</v>
      </c>
      <c r="T88" s="56" t="n">
        <f aca="false">SUMIFS('Manish Shilpa'!$D$7:$D$300,'Manish Shilpa'!$B$7:$B$300,$B88)</f>
        <v>1</v>
      </c>
      <c r="U88" s="57" t="n">
        <f aca="false">IF(AND(T88&gt;0,V88&gt;0),V88/T88,"")</f>
        <v>6103</v>
      </c>
      <c r="V88" s="8" t="n">
        <f aca="false">SUMIFS('Manish Shilpa'!$E$7:$E$300,'Manish Shilpa'!$B$7:$B$300,$B88)</f>
        <v>6103</v>
      </c>
      <c r="W88" s="8" t="n">
        <f aca="false">SUMIFS('Manish Shilpa'!$H$7:$H$300,'Manish Shilpa'!$B$7:$B$300,$B88)</f>
        <v>3688.9</v>
      </c>
      <c r="X88" s="8" t="n">
        <f aca="false">W88-V88</f>
        <v>-2414.1</v>
      </c>
      <c r="Y88" s="9" t="n">
        <f aca="false">IF(V88&gt;0,X88/V88,"")</f>
        <v>-0.395559560871702</v>
      </c>
      <c r="Z88" s="9" t="n">
        <f aca="false">IF(W$6=0,"",W88/W$6)</f>
        <v>0.000311934109422985</v>
      </c>
      <c r="AA88" s="56" t="n">
        <f aca="false">SUMIFS('Saloni Mehra'!$D$7:$D$300,'Saloni Mehra'!$B$7:$B$300,$B88)</f>
        <v>0</v>
      </c>
      <c r="AB88" s="57" t="str">
        <f aca="false">IF(AND(AA88&gt;0,AC88&gt;0),AC88/AA88,"")</f>
        <v/>
      </c>
      <c r="AC88" s="8" t="n">
        <f aca="false">SUMIFS('Saloni Mehra'!$E$7:$E$300,'Saloni Mehra'!$B$7:$B$300,$B88)</f>
        <v>0</v>
      </c>
      <c r="AD88" s="8" t="n">
        <f aca="false">SUMIFS('Saloni Mehra'!$H$7:$H$300,'Saloni Mehra'!$B$7:$B$300,$B88)</f>
        <v>0</v>
      </c>
      <c r="AE88" s="8" t="n">
        <f aca="false">AD88-AC88</f>
        <v>0</v>
      </c>
      <c r="AF88" s="9" t="str">
        <f aca="false">IF(AC88&gt;0,AE88/AC88,"")</f>
        <v/>
      </c>
      <c r="AG88" s="9" t="n">
        <f aca="false">IF(AD$6=0,"",AD88/AD$6)</f>
        <v>0</v>
      </c>
      <c r="AH88" s="56" t="n">
        <f aca="false">SUMIFS('Vidushi Malhotra'!$D$7:$D$300,'Vidushi Malhotra'!$B$7:$B$300,$B88)</f>
        <v>0</v>
      </c>
      <c r="AI88" s="57" t="str">
        <f aca="false">IF(AND(AH88&gt;0,AJ88&gt;0),AJ88/AH88,"")</f>
        <v/>
      </c>
      <c r="AJ88" s="8" t="n">
        <f aca="false">SUMIFS('Vidushi Malhotra'!$E$7:$E$300,'Vidushi Malhotra'!$B$7:$B$300,$B88)</f>
        <v>0</v>
      </c>
      <c r="AK88" s="8" t="n">
        <f aca="false">SUMIFS('Vidushi Malhotra'!$H$7:$H$300,'Vidushi Malhotra'!$B$7:$B$300,$B88)</f>
        <v>0</v>
      </c>
      <c r="AL88" s="8" t="n">
        <f aca="false">AK88-AJ88</f>
        <v>0</v>
      </c>
      <c r="AM88" s="9" t="str">
        <f aca="false">IF(AJ88&gt;0,AL88/AJ88,"")</f>
        <v/>
      </c>
      <c r="AN88" s="9" t="n">
        <f aca="false">IF(AK$6=0,"",AK88/AK$6)</f>
        <v>0</v>
      </c>
      <c r="AO88" s="56" t="n">
        <f aca="false">SUMIFS('Dr Umesh Choudhry'!$D$7:$D$300,'Dr Umesh Choudhry'!$B$7:$B$300,$B88)</f>
        <v>0</v>
      </c>
      <c r="AP88" s="57" t="str">
        <f aca="false">IF(AND(AO88&gt;0,AQ88&gt;0),AQ88/AO88,"")</f>
        <v/>
      </c>
      <c r="AQ88" s="8" t="n">
        <f aca="false">SUMIFS('Dr Umesh Choudhry'!$E$7:$E$300,'Dr Umesh Choudhry'!$B$7:$B$300,$B88)</f>
        <v>0</v>
      </c>
      <c r="AR88" s="8" t="n">
        <f aca="false">SUMIFS('Dr Umesh Choudhry'!$H$7:$H$300,'Dr Umesh Choudhry'!$B$7:$B$300,$B88)</f>
        <v>0</v>
      </c>
      <c r="AS88" s="8" t="n">
        <f aca="false">AR88-AQ88</f>
        <v>0</v>
      </c>
      <c r="AT88" s="9" t="str">
        <f aca="false">IF(AQ88&gt;0,AS88/AQ88,"")</f>
        <v/>
      </c>
      <c r="AU88" s="9" t="n">
        <f aca="false">IF(AR$6=0,"",AR88/AR$6)</f>
        <v>0</v>
      </c>
      <c r="AV88" s="56" t="n">
        <f aca="false">SUMIFS(DA!$D$7:$D$300,DA!$B$7:$B$300,$B88)</f>
        <v>0</v>
      </c>
      <c r="AW88" s="57" t="str">
        <f aca="false">IF(AND(AV88&gt;0,AX88&gt;0),AX88/AV88,"")</f>
        <v/>
      </c>
      <c r="AX88" s="8" t="n">
        <f aca="false">SUMIFS(DA!$E$7:$E$300,DA!$B$7:$B$300,$B88)</f>
        <v>0</v>
      </c>
      <c r="AY88" s="8" t="n">
        <f aca="false">SUMIFS(DA!$H$7:$H$300,DA!$B$7:$B$300,$B88)</f>
        <v>0</v>
      </c>
      <c r="AZ88" s="8" t="n">
        <f aca="false">AY88-AX88</f>
        <v>0</v>
      </c>
      <c r="BA88" s="9" t="str">
        <f aca="false">IF(AX88&gt;0,AZ88/AX88,"")</f>
        <v/>
      </c>
      <c r="BB88" s="9" t="n">
        <f aca="false">IF(AY$6=0,"",AY88/AY$6)</f>
        <v>0</v>
      </c>
    </row>
    <row r="89" customFormat="false" ht="15" hidden="false" customHeight="false" outlineLevel="0" collapsed="false">
      <c r="A89" s="5" t="n">
        <v>83</v>
      </c>
      <c r="B89" s="47" t="s">
        <v>161</v>
      </c>
      <c r="C89" s="48" t="n">
        <f aca="false">IFERROR(INDEX(Prices!$C$6:$C$300,MATCH($B89,Prices!$A$6:$A$300,0)),"")</f>
        <v>116.89</v>
      </c>
      <c r="D89" s="49" t="str">
        <f aca="false">IFERROR(INDEX(Prices!$D$6:$D$300,MATCH($B89,Prices!$A$6:$A$300,0)),"")</f>
        <v>Close 22.10.2026 (Screener.in)</v>
      </c>
      <c r="E89" s="6" t="n">
        <f aca="false">(M89&gt;0)+(T89&gt;0)+(AA89&gt;0)+(AH89&gt;0)+(AO89&gt;0)+(AV89&gt;0)</f>
        <v>1</v>
      </c>
      <c r="F89" s="50" t="n">
        <f aca="false">M89+T89+AA89+AH89+AO89+AV89</f>
        <v>20</v>
      </c>
      <c r="G89" s="51" t="n">
        <f aca="false">IF(AND(F89&gt;0,H89&gt;0),H89/F89,"")</f>
        <v>316</v>
      </c>
      <c r="H89" s="52" t="n">
        <f aca="false">O89+V89+AC89+AJ89+AQ89+AX89</f>
        <v>6320</v>
      </c>
      <c r="I89" s="53" t="n">
        <f aca="false">P89+W89+AD89+AK89+AR89+AY89</f>
        <v>2337.8</v>
      </c>
      <c r="J89" s="52" t="n">
        <f aca="false">I89-H89</f>
        <v>-3982.2</v>
      </c>
      <c r="K89" s="54" t="n">
        <f aca="false">IF(H89&gt;0,J89/H89,"")</f>
        <v>-0.630094936708861</v>
      </c>
      <c r="L89" s="55" t="n">
        <f aca="false">IF(I$6=0,"",I89/I$6)</f>
        <v>6.19576736848944E-005</v>
      </c>
      <c r="M89" s="56" t="n">
        <f aca="false">SUMIFS(Gautam!$D$7:$D$300,Gautam!$B$7:$B$300,$B89)</f>
        <v>0</v>
      </c>
      <c r="N89" s="57" t="str">
        <f aca="false">IF(AND(M89&gt;0,O89&gt;0),O89/M89,"")</f>
        <v/>
      </c>
      <c r="O89" s="8" t="n">
        <f aca="false">SUMIFS(Gautam!$E$7:$E$300,Gautam!$B$7:$B$300,$B89)</f>
        <v>0</v>
      </c>
      <c r="P89" s="8" t="n">
        <f aca="false">SUMIFS(Gautam!$H$7:$H$300,Gautam!$B$7:$B$300,$B89)</f>
        <v>0</v>
      </c>
      <c r="Q89" s="8" t="n">
        <f aca="false">P89-O89</f>
        <v>0</v>
      </c>
      <c r="R89" s="9" t="str">
        <f aca="false">IF(O89&gt;0,Q89/O89,"")</f>
        <v/>
      </c>
      <c r="S89" s="9" t="n">
        <f aca="false">IF(P$6=0,"",P89/P$6)</f>
        <v>0</v>
      </c>
      <c r="T89" s="56" t="n">
        <f aca="false">SUMIFS('Manish Shilpa'!$D$7:$D$300,'Manish Shilpa'!$B$7:$B$300,$B89)</f>
        <v>0</v>
      </c>
      <c r="U89" s="57" t="str">
        <f aca="false">IF(AND(T89&gt;0,V89&gt;0),V89/T89,"")</f>
        <v/>
      </c>
      <c r="V89" s="8" t="n">
        <f aca="false">SUMIFS('Manish Shilpa'!$E$7:$E$300,'Manish Shilpa'!$B$7:$B$300,$B89)</f>
        <v>0</v>
      </c>
      <c r="W89" s="8" t="n">
        <f aca="false">SUMIFS('Manish Shilpa'!$H$7:$H$300,'Manish Shilpa'!$B$7:$B$300,$B89)</f>
        <v>0</v>
      </c>
      <c r="X89" s="8" t="n">
        <f aca="false">W89-V89</f>
        <v>0</v>
      </c>
      <c r="Y89" s="9" t="str">
        <f aca="false">IF(V89&gt;0,X89/V89,"")</f>
        <v/>
      </c>
      <c r="Z89" s="9" t="n">
        <f aca="false">IF(W$6=0,"",W89/W$6)</f>
        <v>0</v>
      </c>
      <c r="AA89" s="56" t="n">
        <f aca="false">SUMIFS('Saloni Mehra'!$D$7:$D$300,'Saloni Mehra'!$B$7:$B$300,$B89)</f>
        <v>0</v>
      </c>
      <c r="AB89" s="57" t="str">
        <f aca="false">IF(AND(AA89&gt;0,AC89&gt;0),AC89/AA89,"")</f>
        <v/>
      </c>
      <c r="AC89" s="8" t="n">
        <f aca="false">SUMIFS('Saloni Mehra'!$E$7:$E$300,'Saloni Mehra'!$B$7:$B$300,$B89)</f>
        <v>0</v>
      </c>
      <c r="AD89" s="8" t="n">
        <f aca="false">SUMIFS('Saloni Mehra'!$H$7:$H$300,'Saloni Mehra'!$B$7:$B$300,$B89)</f>
        <v>0</v>
      </c>
      <c r="AE89" s="8" t="n">
        <f aca="false">AD89-AC89</f>
        <v>0</v>
      </c>
      <c r="AF89" s="9" t="str">
        <f aca="false">IF(AC89&gt;0,AE89/AC89,"")</f>
        <v/>
      </c>
      <c r="AG89" s="9" t="n">
        <f aca="false">IF(AD$6=0,"",AD89/AD$6)</f>
        <v>0</v>
      </c>
      <c r="AH89" s="56" t="n">
        <f aca="false">SUMIFS('Vidushi Malhotra'!$D$7:$D$300,'Vidushi Malhotra'!$B$7:$B$300,$B89)</f>
        <v>0</v>
      </c>
      <c r="AI89" s="57" t="str">
        <f aca="false">IF(AND(AH89&gt;0,AJ89&gt;0),AJ89/AH89,"")</f>
        <v/>
      </c>
      <c r="AJ89" s="8" t="n">
        <f aca="false">SUMIFS('Vidushi Malhotra'!$E$7:$E$300,'Vidushi Malhotra'!$B$7:$B$300,$B89)</f>
        <v>0</v>
      </c>
      <c r="AK89" s="8" t="n">
        <f aca="false">SUMIFS('Vidushi Malhotra'!$H$7:$H$300,'Vidushi Malhotra'!$B$7:$B$300,$B89)</f>
        <v>0</v>
      </c>
      <c r="AL89" s="8" t="n">
        <f aca="false">AK89-AJ89</f>
        <v>0</v>
      </c>
      <c r="AM89" s="9" t="str">
        <f aca="false">IF(AJ89&gt;0,AL89/AJ89,"")</f>
        <v/>
      </c>
      <c r="AN89" s="9" t="n">
        <f aca="false">IF(AK$6=0,"",AK89/AK$6)</f>
        <v>0</v>
      </c>
      <c r="AO89" s="56" t="n">
        <f aca="false">SUMIFS('Dr Umesh Choudhry'!$D$7:$D$300,'Dr Umesh Choudhry'!$B$7:$B$300,$B89)</f>
        <v>0</v>
      </c>
      <c r="AP89" s="57" t="str">
        <f aca="false">IF(AND(AO89&gt;0,AQ89&gt;0),AQ89/AO89,"")</f>
        <v/>
      </c>
      <c r="AQ89" s="8" t="n">
        <f aca="false">SUMIFS('Dr Umesh Choudhry'!$E$7:$E$300,'Dr Umesh Choudhry'!$B$7:$B$300,$B89)</f>
        <v>0</v>
      </c>
      <c r="AR89" s="8" t="n">
        <f aca="false">SUMIFS('Dr Umesh Choudhry'!$H$7:$H$300,'Dr Umesh Choudhry'!$B$7:$B$300,$B89)</f>
        <v>0</v>
      </c>
      <c r="AS89" s="8" t="n">
        <f aca="false">AR89-AQ89</f>
        <v>0</v>
      </c>
      <c r="AT89" s="9" t="str">
        <f aca="false">IF(AQ89&gt;0,AS89/AQ89,"")</f>
        <v/>
      </c>
      <c r="AU89" s="9" t="n">
        <f aca="false">IF(AR$6=0,"",AR89/AR$6)</f>
        <v>0</v>
      </c>
      <c r="AV89" s="56" t="n">
        <f aca="false">SUMIFS(DA!$D$7:$D$300,DA!$B$7:$B$300,$B89)</f>
        <v>20</v>
      </c>
      <c r="AW89" s="57" t="n">
        <f aca="false">IF(AND(AV89&gt;0,AX89&gt;0),AX89/AV89,"")</f>
        <v>316</v>
      </c>
      <c r="AX89" s="8" t="n">
        <f aca="false">SUMIFS(DA!$E$7:$E$300,DA!$B$7:$B$300,$B89)</f>
        <v>6320</v>
      </c>
      <c r="AY89" s="8" t="n">
        <f aca="false">SUMIFS(DA!$H$7:$H$300,DA!$B$7:$B$300,$B89)</f>
        <v>2337.8</v>
      </c>
      <c r="AZ89" s="8" t="n">
        <f aca="false">AY89-AX89</f>
        <v>-3982.2</v>
      </c>
      <c r="BA89" s="9" t="n">
        <f aca="false">IF(AX89&gt;0,AZ89/AX89,"")</f>
        <v>-0.630094936708861</v>
      </c>
      <c r="BB89" s="9" t="n">
        <f aca="false">IF(AY$6=0,"",AY89/AY$6)</f>
        <v>0.000604706028312793</v>
      </c>
    </row>
    <row r="90" customFormat="false" ht="15" hidden="false" customHeight="false" outlineLevel="0" collapsed="false">
      <c r="A90" s="5" t="n">
        <v>84</v>
      </c>
      <c r="B90" s="47" t="s">
        <v>162</v>
      </c>
      <c r="C90" s="48" t="n">
        <f aca="false">IFERROR(INDEX(Prices!$C$6:$C$300,MATCH($B90,Prices!$A$6:$A$300,0)),"")</f>
        <v>380.05</v>
      </c>
      <c r="D90" s="49" t="str">
        <f aca="false">IFERROR(INDEX(Prices!$D$6:$D$300,MATCH($B90,Prices!$A$6:$A$300,0)),"")</f>
        <v>Close 22.10.2026 (Screener.in)</v>
      </c>
      <c r="E90" s="6" t="n">
        <f aca="false">(M90&gt;0)+(T90&gt;0)+(AA90&gt;0)+(AH90&gt;0)+(AO90&gt;0)+(AV90&gt;0)</f>
        <v>1</v>
      </c>
      <c r="F90" s="50" t="n">
        <f aca="false">M90+T90+AA90+AH90+AO90+AV90</f>
        <v>6</v>
      </c>
      <c r="G90" s="51" t="n">
        <f aca="false">IF(AND(F90&gt;0,H90&gt;0),H90/F90,"")</f>
        <v>628</v>
      </c>
      <c r="H90" s="52" t="n">
        <f aca="false">O90+V90+AC90+AJ90+AQ90+AX90</f>
        <v>3768</v>
      </c>
      <c r="I90" s="53" t="n">
        <f aca="false">P90+W90+AD90+AK90+AR90+AY90</f>
        <v>2280.3</v>
      </c>
      <c r="J90" s="52" t="n">
        <f aca="false">I90-H90</f>
        <v>-1487.7</v>
      </c>
      <c r="K90" s="54" t="n">
        <f aca="false">IF(H90&gt;0,J90/H90,"")</f>
        <v>-0.394824840764331</v>
      </c>
      <c r="L90" s="55" t="n">
        <f aca="false">IF(I$6=0,"",I90/I$6)</f>
        <v>6.0433776757492E-005</v>
      </c>
      <c r="M90" s="56" t="n">
        <f aca="false">SUMIFS(Gautam!$D$7:$D$300,Gautam!$B$7:$B$300,$B90)</f>
        <v>0</v>
      </c>
      <c r="N90" s="57" t="str">
        <f aca="false">IF(AND(M90&gt;0,O90&gt;0),O90/M90,"")</f>
        <v/>
      </c>
      <c r="O90" s="8" t="n">
        <f aca="false">SUMIFS(Gautam!$E$7:$E$300,Gautam!$B$7:$B$300,$B90)</f>
        <v>0</v>
      </c>
      <c r="P90" s="8" t="n">
        <f aca="false">SUMIFS(Gautam!$H$7:$H$300,Gautam!$B$7:$B$300,$B90)</f>
        <v>0</v>
      </c>
      <c r="Q90" s="8" t="n">
        <f aca="false">P90-O90</f>
        <v>0</v>
      </c>
      <c r="R90" s="9" t="str">
        <f aca="false">IF(O90&gt;0,Q90/O90,"")</f>
        <v/>
      </c>
      <c r="S90" s="9" t="n">
        <f aca="false">IF(P$6=0,"",P90/P$6)</f>
        <v>0</v>
      </c>
      <c r="T90" s="56" t="n">
        <f aca="false">SUMIFS('Manish Shilpa'!$D$7:$D$300,'Manish Shilpa'!$B$7:$B$300,$B90)</f>
        <v>6</v>
      </c>
      <c r="U90" s="57" t="n">
        <f aca="false">IF(AND(T90&gt;0,V90&gt;0),V90/T90,"")</f>
        <v>628</v>
      </c>
      <c r="V90" s="8" t="n">
        <f aca="false">SUMIFS('Manish Shilpa'!$E$7:$E$300,'Manish Shilpa'!$B$7:$B$300,$B90)</f>
        <v>3768</v>
      </c>
      <c r="W90" s="8" t="n">
        <f aca="false">SUMIFS('Manish Shilpa'!$H$7:$H$300,'Manish Shilpa'!$B$7:$B$300,$B90)</f>
        <v>2280.3</v>
      </c>
      <c r="X90" s="8" t="n">
        <f aca="false">W90-V90</f>
        <v>-1487.7</v>
      </c>
      <c r="Y90" s="9" t="n">
        <f aca="false">IF(V90&gt;0,X90/V90,"")</f>
        <v>-0.394824840764331</v>
      </c>
      <c r="Z90" s="9" t="n">
        <f aca="false">IF(W$6=0,"",W90/W$6)</f>
        <v>0.000192822616421489</v>
      </c>
      <c r="AA90" s="56" t="n">
        <f aca="false">SUMIFS('Saloni Mehra'!$D$7:$D$300,'Saloni Mehra'!$B$7:$B$300,$B90)</f>
        <v>0</v>
      </c>
      <c r="AB90" s="57" t="str">
        <f aca="false">IF(AND(AA90&gt;0,AC90&gt;0),AC90/AA90,"")</f>
        <v/>
      </c>
      <c r="AC90" s="8" t="n">
        <f aca="false">SUMIFS('Saloni Mehra'!$E$7:$E$300,'Saloni Mehra'!$B$7:$B$300,$B90)</f>
        <v>0</v>
      </c>
      <c r="AD90" s="8" t="n">
        <f aca="false">SUMIFS('Saloni Mehra'!$H$7:$H$300,'Saloni Mehra'!$B$7:$B$300,$B90)</f>
        <v>0</v>
      </c>
      <c r="AE90" s="8" t="n">
        <f aca="false">AD90-AC90</f>
        <v>0</v>
      </c>
      <c r="AF90" s="9" t="str">
        <f aca="false">IF(AC90&gt;0,AE90/AC90,"")</f>
        <v/>
      </c>
      <c r="AG90" s="9" t="n">
        <f aca="false">IF(AD$6=0,"",AD90/AD$6)</f>
        <v>0</v>
      </c>
      <c r="AH90" s="56" t="n">
        <f aca="false">SUMIFS('Vidushi Malhotra'!$D$7:$D$300,'Vidushi Malhotra'!$B$7:$B$300,$B90)</f>
        <v>0</v>
      </c>
      <c r="AI90" s="57" t="str">
        <f aca="false">IF(AND(AH90&gt;0,AJ90&gt;0),AJ90/AH90,"")</f>
        <v/>
      </c>
      <c r="AJ90" s="8" t="n">
        <f aca="false">SUMIFS('Vidushi Malhotra'!$E$7:$E$300,'Vidushi Malhotra'!$B$7:$B$300,$B90)</f>
        <v>0</v>
      </c>
      <c r="AK90" s="8" t="n">
        <f aca="false">SUMIFS('Vidushi Malhotra'!$H$7:$H$300,'Vidushi Malhotra'!$B$7:$B$300,$B90)</f>
        <v>0</v>
      </c>
      <c r="AL90" s="8" t="n">
        <f aca="false">AK90-AJ90</f>
        <v>0</v>
      </c>
      <c r="AM90" s="9" t="str">
        <f aca="false">IF(AJ90&gt;0,AL90/AJ90,"")</f>
        <v/>
      </c>
      <c r="AN90" s="9" t="n">
        <f aca="false">IF(AK$6=0,"",AK90/AK$6)</f>
        <v>0</v>
      </c>
      <c r="AO90" s="56" t="n">
        <f aca="false">SUMIFS('Dr Umesh Choudhry'!$D$7:$D$300,'Dr Umesh Choudhry'!$B$7:$B$300,$B90)</f>
        <v>0</v>
      </c>
      <c r="AP90" s="57" t="str">
        <f aca="false">IF(AND(AO90&gt;0,AQ90&gt;0),AQ90/AO90,"")</f>
        <v/>
      </c>
      <c r="AQ90" s="8" t="n">
        <f aca="false">SUMIFS('Dr Umesh Choudhry'!$E$7:$E$300,'Dr Umesh Choudhry'!$B$7:$B$300,$B90)</f>
        <v>0</v>
      </c>
      <c r="AR90" s="8" t="n">
        <f aca="false">SUMIFS('Dr Umesh Choudhry'!$H$7:$H$300,'Dr Umesh Choudhry'!$B$7:$B$300,$B90)</f>
        <v>0</v>
      </c>
      <c r="AS90" s="8" t="n">
        <f aca="false">AR90-AQ90</f>
        <v>0</v>
      </c>
      <c r="AT90" s="9" t="str">
        <f aca="false">IF(AQ90&gt;0,AS90/AQ90,"")</f>
        <v/>
      </c>
      <c r="AU90" s="9" t="n">
        <f aca="false">IF(AR$6=0,"",AR90/AR$6)</f>
        <v>0</v>
      </c>
      <c r="AV90" s="56" t="n">
        <f aca="false">SUMIFS(DA!$D$7:$D$300,DA!$B$7:$B$300,$B90)</f>
        <v>0</v>
      </c>
      <c r="AW90" s="57" t="str">
        <f aca="false">IF(AND(AV90&gt;0,AX90&gt;0),AX90/AV90,"")</f>
        <v/>
      </c>
      <c r="AX90" s="8" t="n">
        <f aca="false">SUMIFS(DA!$E$7:$E$300,DA!$B$7:$B$300,$B90)</f>
        <v>0</v>
      </c>
      <c r="AY90" s="8" t="n">
        <f aca="false">SUMIFS(DA!$H$7:$H$300,DA!$B$7:$B$300,$B90)</f>
        <v>0</v>
      </c>
      <c r="AZ90" s="8" t="n">
        <f aca="false">AY90-AX90</f>
        <v>0</v>
      </c>
      <c r="BA90" s="9" t="str">
        <f aca="false">IF(AX90&gt;0,AZ90/AX90,"")</f>
        <v/>
      </c>
      <c r="BB90" s="9" t="n">
        <f aca="false">IF(AY$6=0,"",AY90/AY$6)</f>
        <v>0</v>
      </c>
    </row>
    <row r="91" customFormat="false" ht="15" hidden="false" customHeight="false" outlineLevel="0" collapsed="false">
      <c r="A91" s="5" t="n">
        <v>85</v>
      </c>
      <c r="B91" s="47" t="s">
        <v>163</v>
      </c>
      <c r="C91" s="48" t="n">
        <f aca="false">IFERROR(INDEX(Prices!$C$6:$C$300,MATCH($B91,Prices!$A$6:$A$300,0)),"")</f>
        <v>1487.4</v>
      </c>
      <c r="D91" s="49" t="str">
        <f aca="false">IFERROR(INDEX(Prices!$D$6:$D$300,MATCH($B91,Prices!$A$6:$A$300,0)),"")</f>
        <v>Close 22.10.2026 (Screener.in)</v>
      </c>
      <c r="E91" s="6" t="n">
        <f aca="false">(M91&gt;0)+(T91&gt;0)+(AA91&gt;0)+(AH91&gt;0)+(AO91&gt;0)+(AV91&gt;0)</f>
        <v>1</v>
      </c>
      <c r="F91" s="50" t="n">
        <f aca="false">M91+T91+AA91+AH91+AO91+AV91</f>
        <v>1</v>
      </c>
      <c r="G91" s="51" t="n">
        <f aca="false">IF(AND(F91&gt;0,H91&gt;0),H91/F91,"")</f>
        <v>2393</v>
      </c>
      <c r="H91" s="52" t="n">
        <f aca="false">O91+V91+AC91+AJ91+AQ91+AX91</f>
        <v>2393</v>
      </c>
      <c r="I91" s="53" t="n">
        <f aca="false">P91+W91+AD91+AK91+AR91+AY91</f>
        <v>1487.4</v>
      </c>
      <c r="J91" s="52" t="n">
        <f aca="false">I91-H91</f>
        <v>-905.6</v>
      </c>
      <c r="K91" s="54" t="n">
        <f aca="false">IF(H91&gt;0,J91/H91,"")</f>
        <v>-0.378437108232344</v>
      </c>
      <c r="L91" s="55" t="n">
        <f aca="false">IF(I$6=0,"",I91/I$6)</f>
        <v>3.94199006924938E-005</v>
      </c>
      <c r="M91" s="56" t="n">
        <f aca="false">SUMIFS(Gautam!$D$7:$D$300,Gautam!$B$7:$B$300,$B91)</f>
        <v>0</v>
      </c>
      <c r="N91" s="57" t="str">
        <f aca="false">IF(AND(M91&gt;0,O91&gt;0),O91/M91,"")</f>
        <v/>
      </c>
      <c r="O91" s="8" t="n">
        <f aca="false">SUMIFS(Gautam!$E$7:$E$300,Gautam!$B$7:$B$300,$B91)</f>
        <v>0</v>
      </c>
      <c r="P91" s="8" t="n">
        <f aca="false">SUMIFS(Gautam!$H$7:$H$300,Gautam!$B$7:$B$300,$B91)</f>
        <v>0</v>
      </c>
      <c r="Q91" s="8" t="n">
        <f aca="false">P91-O91</f>
        <v>0</v>
      </c>
      <c r="R91" s="9" t="str">
        <f aca="false">IF(O91&gt;0,Q91/O91,"")</f>
        <v/>
      </c>
      <c r="S91" s="9" t="n">
        <f aca="false">IF(P$6=0,"",P91/P$6)</f>
        <v>0</v>
      </c>
      <c r="T91" s="56" t="n">
        <f aca="false">SUMIFS('Manish Shilpa'!$D$7:$D$300,'Manish Shilpa'!$B$7:$B$300,$B91)</f>
        <v>1</v>
      </c>
      <c r="U91" s="57" t="n">
        <f aca="false">IF(AND(T91&gt;0,V91&gt;0),V91/T91,"")</f>
        <v>2393</v>
      </c>
      <c r="V91" s="8" t="n">
        <f aca="false">SUMIFS('Manish Shilpa'!$E$7:$E$300,'Manish Shilpa'!$B$7:$B$300,$B91)</f>
        <v>2393</v>
      </c>
      <c r="W91" s="8" t="n">
        <f aca="false">SUMIFS('Manish Shilpa'!$H$7:$H$300,'Manish Shilpa'!$B$7:$B$300,$B91)</f>
        <v>1487.4</v>
      </c>
      <c r="X91" s="8" t="n">
        <f aca="false">W91-V91</f>
        <v>-905.6</v>
      </c>
      <c r="Y91" s="9" t="n">
        <f aca="false">IF(V91&gt;0,X91/V91,"")</f>
        <v>-0.378437108232344</v>
      </c>
      <c r="Z91" s="9" t="n">
        <f aca="false">IF(W$6=0,"",W91/W$6)</f>
        <v>0.000125774836497533</v>
      </c>
      <c r="AA91" s="56" t="n">
        <f aca="false">SUMIFS('Saloni Mehra'!$D$7:$D$300,'Saloni Mehra'!$B$7:$B$300,$B91)</f>
        <v>0</v>
      </c>
      <c r="AB91" s="57" t="str">
        <f aca="false">IF(AND(AA91&gt;0,AC91&gt;0),AC91/AA91,"")</f>
        <v/>
      </c>
      <c r="AC91" s="8" t="n">
        <f aca="false">SUMIFS('Saloni Mehra'!$E$7:$E$300,'Saloni Mehra'!$B$7:$B$300,$B91)</f>
        <v>0</v>
      </c>
      <c r="AD91" s="8" t="n">
        <f aca="false">SUMIFS('Saloni Mehra'!$H$7:$H$300,'Saloni Mehra'!$B$7:$B$300,$B91)</f>
        <v>0</v>
      </c>
      <c r="AE91" s="8" t="n">
        <f aca="false">AD91-AC91</f>
        <v>0</v>
      </c>
      <c r="AF91" s="9" t="str">
        <f aca="false">IF(AC91&gt;0,AE91/AC91,"")</f>
        <v/>
      </c>
      <c r="AG91" s="9" t="n">
        <f aca="false">IF(AD$6=0,"",AD91/AD$6)</f>
        <v>0</v>
      </c>
      <c r="AH91" s="56" t="n">
        <f aca="false">SUMIFS('Vidushi Malhotra'!$D$7:$D$300,'Vidushi Malhotra'!$B$7:$B$300,$B91)</f>
        <v>0</v>
      </c>
      <c r="AI91" s="57" t="str">
        <f aca="false">IF(AND(AH91&gt;0,AJ91&gt;0),AJ91/AH91,"")</f>
        <v/>
      </c>
      <c r="AJ91" s="8" t="n">
        <f aca="false">SUMIFS('Vidushi Malhotra'!$E$7:$E$300,'Vidushi Malhotra'!$B$7:$B$300,$B91)</f>
        <v>0</v>
      </c>
      <c r="AK91" s="8" t="n">
        <f aca="false">SUMIFS('Vidushi Malhotra'!$H$7:$H$300,'Vidushi Malhotra'!$B$7:$B$300,$B91)</f>
        <v>0</v>
      </c>
      <c r="AL91" s="8" t="n">
        <f aca="false">AK91-AJ91</f>
        <v>0</v>
      </c>
      <c r="AM91" s="9" t="str">
        <f aca="false">IF(AJ91&gt;0,AL91/AJ91,"")</f>
        <v/>
      </c>
      <c r="AN91" s="9" t="n">
        <f aca="false">IF(AK$6=0,"",AK91/AK$6)</f>
        <v>0</v>
      </c>
      <c r="AO91" s="56" t="n">
        <f aca="false">SUMIFS('Dr Umesh Choudhry'!$D$7:$D$300,'Dr Umesh Choudhry'!$B$7:$B$300,$B91)</f>
        <v>0</v>
      </c>
      <c r="AP91" s="57" t="str">
        <f aca="false">IF(AND(AO91&gt;0,AQ91&gt;0),AQ91/AO91,"")</f>
        <v/>
      </c>
      <c r="AQ91" s="8" t="n">
        <f aca="false">SUMIFS('Dr Umesh Choudhry'!$E$7:$E$300,'Dr Umesh Choudhry'!$B$7:$B$300,$B91)</f>
        <v>0</v>
      </c>
      <c r="AR91" s="8" t="n">
        <f aca="false">SUMIFS('Dr Umesh Choudhry'!$H$7:$H$300,'Dr Umesh Choudhry'!$B$7:$B$300,$B91)</f>
        <v>0</v>
      </c>
      <c r="AS91" s="8" t="n">
        <f aca="false">AR91-AQ91</f>
        <v>0</v>
      </c>
      <c r="AT91" s="9" t="str">
        <f aca="false">IF(AQ91&gt;0,AS91/AQ91,"")</f>
        <v/>
      </c>
      <c r="AU91" s="9" t="n">
        <f aca="false">IF(AR$6=0,"",AR91/AR$6)</f>
        <v>0</v>
      </c>
      <c r="AV91" s="56" t="n">
        <f aca="false">SUMIFS(DA!$D$7:$D$300,DA!$B$7:$B$300,$B91)</f>
        <v>0</v>
      </c>
      <c r="AW91" s="57" t="str">
        <f aca="false">IF(AND(AV91&gt;0,AX91&gt;0),AX91/AV91,"")</f>
        <v/>
      </c>
      <c r="AX91" s="8" t="n">
        <f aca="false">SUMIFS(DA!$E$7:$E$300,DA!$B$7:$B$300,$B91)</f>
        <v>0</v>
      </c>
      <c r="AY91" s="8" t="n">
        <f aca="false">SUMIFS(DA!$H$7:$H$300,DA!$B$7:$B$300,$B91)</f>
        <v>0</v>
      </c>
      <c r="AZ91" s="8" t="n">
        <f aca="false">AY91-AX91</f>
        <v>0</v>
      </c>
      <c r="BA91" s="9" t="str">
        <f aca="false">IF(AX91&gt;0,AZ91/AX91,"")</f>
        <v/>
      </c>
      <c r="BB91" s="9" t="n">
        <f aca="false">IF(AY$6=0,"",AY91/AY$6)</f>
        <v>0</v>
      </c>
    </row>
    <row r="92" customFormat="false" ht="15" hidden="false" customHeight="false" outlineLevel="0" collapsed="false">
      <c r="A92" s="5" t="n">
        <v>86</v>
      </c>
      <c r="B92" s="47" t="s">
        <v>164</v>
      </c>
      <c r="C92" s="48" t="n">
        <f aca="false">IFERROR(INDEX(Prices!$C$6:$C$300,MATCH($B92,Prices!$A$6:$A$300,0)),"")</f>
        <v>4</v>
      </c>
      <c r="D92" s="49" t="str">
        <f aca="false">IFERROR(INDEX(Prices!$D$6:$D$300,MATCH($B92,Prices!$A$6:$A$300,0)),"")</f>
        <v>DA stmt – older (stale)</v>
      </c>
      <c r="E92" s="6" t="n">
        <f aca="false">(M92&gt;0)+(T92&gt;0)+(AA92&gt;0)+(AH92&gt;0)+(AO92&gt;0)+(AV92&gt;0)</f>
        <v>1</v>
      </c>
      <c r="F92" s="50" t="n">
        <f aca="false">M92+T92+AA92+AH92+AO92+AV92</f>
        <v>344</v>
      </c>
      <c r="G92" s="51" t="str">
        <f aca="false">IF(AND(F92&gt;0,H92&gt;0),H92/F92,"")</f>
        <v/>
      </c>
      <c r="H92" s="52" t="n">
        <f aca="false">O92+V92+AC92+AJ92+AQ92+AX92</f>
        <v>0</v>
      </c>
      <c r="I92" s="53" t="n">
        <f aca="false">P92+W92+AD92+AK92+AR92+AY92</f>
        <v>1376</v>
      </c>
      <c r="J92" s="52" t="n">
        <f aca="false">I92-H92</f>
        <v>1376</v>
      </c>
      <c r="K92" s="54" t="str">
        <f aca="false">IF(H92&gt;0,J92/H92,"")</f>
        <v/>
      </c>
      <c r="L92" s="55" t="n">
        <f aca="false">IF(I$6=0,"",I92/I$6)</f>
        <v>3.64675160366219E-005</v>
      </c>
      <c r="M92" s="56" t="n">
        <f aca="false">SUMIFS(Gautam!$D$7:$D$300,Gautam!$B$7:$B$300,$B92)</f>
        <v>0</v>
      </c>
      <c r="N92" s="57" t="str">
        <f aca="false">IF(AND(M92&gt;0,O92&gt;0),O92/M92,"")</f>
        <v/>
      </c>
      <c r="O92" s="8" t="n">
        <f aca="false">SUMIFS(Gautam!$E$7:$E$300,Gautam!$B$7:$B$300,$B92)</f>
        <v>0</v>
      </c>
      <c r="P92" s="8" t="n">
        <f aca="false">SUMIFS(Gautam!$H$7:$H$300,Gautam!$B$7:$B$300,$B92)</f>
        <v>0</v>
      </c>
      <c r="Q92" s="8" t="n">
        <f aca="false">P92-O92</f>
        <v>0</v>
      </c>
      <c r="R92" s="9" t="str">
        <f aca="false">IF(O92&gt;0,Q92/O92,"")</f>
        <v/>
      </c>
      <c r="S92" s="9" t="n">
        <f aca="false">IF(P$6=0,"",P92/P$6)</f>
        <v>0</v>
      </c>
      <c r="T92" s="56" t="n">
        <f aca="false">SUMIFS('Manish Shilpa'!$D$7:$D$300,'Manish Shilpa'!$B$7:$B$300,$B92)</f>
        <v>0</v>
      </c>
      <c r="U92" s="57" t="str">
        <f aca="false">IF(AND(T92&gt;0,V92&gt;0),V92/T92,"")</f>
        <v/>
      </c>
      <c r="V92" s="8" t="n">
        <f aca="false">SUMIFS('Manish Shilpa'!$E$7:$E$300,'Manish Shilpa'!$B$7:$B$300,$B92)</f>
        <v>0</v>
      </c>
      <c r="W92" s="8" t="n">
        <f aca="false">SUMIFS('Manish Shilpa'!$H$7:$H$300,'Manish Shilpa'!$B$7:$B$300,$B92)</f>
        <v>0</v>
      </c>
      <c r="X92" s="8" t="n">
        <f aca="false">W92-V92</f>
        <v>0</v>
      </c>
      <c r="Y92" s="9" t="str">
        <f aca="false">IF(V92&gt;0,X92/V92,"")</f>
        <v/>
      </c>
      <c r="Z92" s="9" t="n">
        <f aca="false">IF(W$6=0,"",W92/W$6)</f>
        <v>0</v>
      </c>
      <c r="AA92" s="56" t="n">
        <f aca="false">SUMIFS('Saloni Mehra'!$D$7:$D$300,'Saloni Mehra'!$B$7:$B$300,$B92)</f>
        <v>0</v>
      </c>
      <c r="AB92" s="57" t="str">
        <f aca="false">IF(AND(AA92&gt;0,AC92&gt;0),AC92/AA92,"")</f>
        <v/>
      </c>
      <c r="AC92" s="8" t="n">
        <f aca="false">SUMIFS('Saloni Mehra'!$E$7:$E$300,'Saloni Mehra'!$B$7:$B$300,$B92)</f>
        <v>0</v>
      </c>
      <c r="AD92" s="8" t="n">
        <f aca="false">SUMIFS('Saloni Mehra'!$H$7:$H$300,'Saloni Mehra'!$B$7:$B$300,$B92)</f>
        <v>0</v>
      </c>
      <c r="AE92" s="8" t="n">
        <f aca="false">AD92-AC92</f>
        <v>0</v>
      </c>
      <c r="AF92" s="9" t="str">
        <f aca="false">IF(AC92&gt;0,AE92/AC92,"")</f>
        <v/>
      </c>
      <c r="AG92" s="9" t="n">
        <f aca="false">IF(AD$6=0,"",AD92/AD$6)</f>
        <v>0</v>
      </c>
      <c r="AH92" s="56" t="n">
        <f aca="false">SUMIFS('Vidushi Malhotra'!$D$7:$D$300,'Vidushi Malhotra'!$B$7:$B$300,$B92)</f>
        <v>0</v>
      </c>
      <c r="AI92" s="57" t="str">
        <f aca="false">IF(AND(AH92&gt;0,AJ92&gt;0),AJ92/AH92,"")</f>
        <v/>
      </c>
      <c r="AJ92" s="8" t="n">
        <f aca="false">SUMIFS('Vidushi Malhotra'!$E$7:$E$300,'Vidushi Malhotra'!$B$7:$B$300,$B92)</f>
        <v>0</v>
      </c>
      <c r="AK92" s="8" t="n">
        <f aca="false">SUMIFS('Vidushi Malhotra'!$H$7:$H$300,'Vidushi Malhotra'!$B$7:$B$300,$B92)</f>
        <v>0</v>
      </c>
      <c r="AL92" s="8" t="n">
        <f aca="false">AK92-AJ92</f>
        <v>0</v>
      </c>
      <c r="AM92" s="9" t="str">
        <f aca="false">IF(AJ92&gt;0,AL92/AJ92,"")</f>
        <v/>
      </c>
      <c r="AN92" s="9" t="n">
        <f aca="false">IF(AK$6=0,"",AK92/AK$6)</f>
        <v>0</v>
      </c>
      <c r="AO92" s="56" t="n">
        <f aca="false">SUMIFS('Dr Umesh Choudhry'!$D$7:$D$300,'Dr Umesh Choudhry'!$B$7:$B$300,$B92)</f>
        <v>0</v>
      </c>
      <c r="AP92" s="57" t="str">
        <f aca="false">IF(AND(AO92&gt;0,AQ92&gt;0),AQ92/AO92,"")</f>
        <v/>
      </c>
      <c r="AQ92" s="8" t="n">
        <f aca="false">SUMIFS('Dr Umesh Choudhry'!$E$7:$E$300,'Dr Umesh Choudhry'!$B$7:$B$300,$B92)</f>
        <v>0</v>
      </c>
      <c r="AR92" s="8" t="n">
        <f aca="false">SUMIFS('Dr Umesh Choudhry'!$H$7:$H$300,'Dr Umesh Choudhry'!$B$7:$B$300,$B92)</f>
        <v>0</v>
      </c>
      <c r="AS92" s="8" t="n">
        <f aca="false">AR92-AQ92</f>
        <v>0</v>
      </c>
      <c r="AT92" s="9" t="str">
        <f aca="false">IF(AQ92&gt;0,AS92/AQ92,"")</f>
        <v/>
      </c>
      <c r="AU92" s="9" t="n">
        <f aca="false">IF(AR$6=0,"",AR92/AR$6)</f>
        <v>0</v>
      </c>
      <c r="AV92" s="56" t="n">
        <f aca="false">SUMIFS(DA!$D$7:$D$300,DA!$B$7:$B$300,$B92)</f>
        <v>344</v>
      </c>
      <c r="AW92" s="57" t="str">
        <f aca="false">IF(AND(AV92&gt;0,AX92&gt;0),AX92/AV92,"")</f>
        <v/>
      </c>
      <c r="AX92" s="8" t="n">
        <f aca="false">SUMIFS(DA!$E$7:$E$300,DA!$B$7:$B$300,$B92)</f>
        <v>0</v>
      </c>
      <c r="AY92" s="8" t="n">
        <f aca="false">SUMIFS(DA!$H$7:$H$300,DA!$B$7:$B$300,$B92)</f>
        <v>1376</v>
      </c>
      <c r="AZ92" s="8" t="n">
        <f aca="false">AY92-AX92</f>
        <v>1376</v>
      </c>
      <c r="BA92" s="9" t="str">
        <f aca="false">IF(AX92&gt;0,AZ92/AX92,"")</f>
        <v/>
      </c>
      <c r="BB92" s="9" t="n">
        <f aca="false">IF(AY$6=0,"",AY92/AY$6)</f>
        <v>0.000355922446299257</v>
      </c>
    </row>
    <row r="93" customFormat="false" ht="15" hidden="false" customHeight="false" outlineLevel="0" collapsed="false">
      <c r="A93" s="5" t="n">
        <v>87</v>
      </c>
      <c r="B93" s="47" t="s">
        <v>165</v>
      </c>
      <c r="C93" s="48" t="n">
        <f aca="false">IFERROR(INDEX(Prices!$C$6:$C$300,MATCH($B93,Prices!$A$6:$A$300,0)),"")</f>
        <v>195.22</v>
      </c>
      <c r="D93" s="49" t="str">
        <f aca="false">IFERROR(INDEX(Prices!$D$6:$D$300,MATCH($B93,Prices!$A$6:$A$300,0)),"")</f>
        <v>Close 22.10.2026 (Screener.in)</v>
      </c>
      <c r="E93" s="6" t="n">
        <f aca="false">(M93&gt;0)+(T93&gt;0)+(AA93&gt;0)+(AH93&gt;0)+(AO93&gt;0)+(AV93&gt;0)</f>
        <v>1</v>
      </c>
      <c r="F93" s="50" t="n">
        <f aca="false">M93+T93+AA93+AH93+AO93+AV93</f>
        <v>5</v>
      </c>
      <c r="G93" s="51" t="n">
        <f aca="false">IF(AND(F93&gt;0,H93&gt;0),H93/F93,"")</f>
        <v>336</v>
      </c>
      <c r="H93" s="52" t="n">
        <f aca="false">O93+V93+AC93+AJ93+AQ93+AX93</f>
        <v>1680</v>
      </c>
      <c r="I93" s="53" t="n">
        <f aca="false">P93+W93+AD93+AK93+AR93+AY93</f>
        <v>976.1</v>
      </c>
      <c r="J93" s="52" t="n">
        <f aca="false">I93-H93</f>
        <v>-703.9</v>
      </c>
      <c r="K93" s="54" t="n">
        <f aca="false">IF(H93&gt;0,J93/H93,"")</f>
        <v>-0.418988095238095</v>
      </c>
      <c r="L93" s="55" t="n">
        <f aca="false">IF(I$6=0,"",I93/I$6)</f>
        <v>2.58691441884787E-005</v>
      </c>
      <c r="M93" s="56" t="n">
        <f aca="false">SUMIFS(Gautam!$D$7:$D$300,Gautam!$B$7:$B$300,$B93)</f>
        <v>0</v>
      </c>
      <c r="N93" s="57" t="str">
        <f aca="false">IF(AND(M93&gt;0,O93&gt;0),O93/M93,"")</f>
        <v/>
      </c>
      <c r="O93" s="8" t="n">
        <f aca="false">SUMIFS(Gautam!$E$7:$E$300,Gautam!$B$7:$B$300,$B93)</f>
        <v>0</v>
      </c>
      <c r="P93" s="8" t="n">
        <f aca="false">SUMIFS(Gautam!$H$7:$H$300,Gautam!$B$7:$B$300,$B93)</f>
        <v>0</v>
      </c>
      <c r="Q93" s="8" t="n">
        <f aca="false">P93-O93</f>
        <v>0</v>
      </c>
      <c r="R93" s="9" t="str">
        <f aca="false">IF(O93&gt;0,Q93/O93,"")</f>
        <v/>
      </c>
      <c r="S93" s="9" t="n">
        <f aca="false">IF(P$6=0,"",P93/P$6)</f>
        <v>0</v>
      </c>
      <c r="T93" s="56" t="n">
        <f aca="false">SUMIFS('Manish Shilpa'!$D$7:$D$300,'Manish Shilpa'!$B$7:$B$300,$B93)</f>
        <v>5</v>
      </c>
      <c r="U93" s="57" t="n">
        <f aca="false">IF(AND(T93&gt;0,V93&gt;0),V93/T93,"")</f>
        <v>336</v>
      </c>
      <c r="V93" s="8" t="n">
        <f aca="false">SUMIFS('Manish Shilpa'!$E$7:$E$300,'Manish Shilpa'!$B$7:$B$300,$B93)</f>
        <v>1680</v>
      </c>
      <c r="W93" s="8" t="n">
        <f aca="false">SUMIFS('Manish Shilpa'!$H$7:$H$300,'Manish Shilpa'!$B$7:$B$300,$B93)</f>
        <v>976.1</v>
      </c>
      <c r="X93" s="8" t="n">
        <f aca="false">W93-V93</f>
        <v>-703.9</v>
      </c>
      <c r="Y93" s="9" t="n">
        <f aca="false">IF(V93&gt;0,X93/V93,"")</f>
        <v>-0.418988095238095</v>
      </c>
      <c r="Z93" s="9" t="n">
        <f aca="false">IF(W$6=0,"",W93/W$6)</f>
        <v>8.25392079502766E-005</v>
      </c>
      <c r="AA93" s="56" t="n">
        <f aca="false">SUMIFS('Saloni Mehra'!$D$7:$D$300,'Saloni Mehra'!$B$7:$B$300,$B93)</f>
        <v>0</v>
      </c>
      <c r="AB93" s="57" t="str">
        <f aca="false">IF(AND(AA93&gt;0,AC93&gt;0),AC93/AA93,"")</f>
        <v/>
      </c>
      <c r="AC93" s="8" t="n">
        <f aca="false">SUMIFS('Saloni Mehra'!$E$7:$E$300,'Saloni Mehra'!$B$7:$B$300,$B93)</f>
        <v>0</v>
      </c>
      <c r="AD93" s="8" t="n">
        <f aca="false">SUMIFS('Saloni Mehra'!$H$7:$H$300,'Saloni Mehra'!$B$7:$B$300,$B93)</f>
        <v>0</v>
      </c>
      <c r="AE93" s="8" t="n">
        <f aca="false">AD93-AC93</f>
        <v>0</v>
      </c>
      <c r="AF93" s="9" t="str">
        <f aca="false">IF(AC93&gt;0,AE93/AC93,"")</f>
        <v/>
      </c>
      <c r="AG93" s="9" t="n">
        <f aca="false">IF(AD$6=0,"",AD93/AD$6)</f>
        <v>0</v>
      </c>
      <c r="AH93" s="56" t="n">
        <f aca="false">SUMIFS('Vidushi Malhotra'!$D$7:$D$300,'Vidushi Malhotra'!$B$7:$B$300,$B93)</f>
        <v>0</v>
      </c>
      <c r="AI93" s="57" t="str">
        <f aca="false">IF(AND(AH93&gt;0,AJ93&gt;0),AJ93/AH93,"")</f>
        <v/>
      </c>
      <c r="AJ93" s="8" t="n">
        <f aca="false">SUMIFS('Vidushi Malhotra'!$E$7:$E$300,'Vidushi Malhotra'!$B$7:$B$300,$B93)</f>
        <v>0</v>
      </c>
      <c r="AK93" s="8" t="n">
        <f aca="false">SUMIFS('Vidushi Malhotra'!$H$7:$H$300,'Vidushi Malhotra'!$B$7:$B$300,$B93)</f>
        <v>0</v>
      </c>
      <c r="AL93" s="8" t="n">
        <f aca="false">AK93-AJ93</f>
        <v>0</v>
      </c>
      <c r="AM93" s="9" t="str">
        <f aca="false">IF(AJ93&gt;0,AL93/AJ93,"")</f>
        <v/>
      </c>
      <c r="AN93" s="9" t="n">
        <f aca="false">IF(AK$6=0,"",AK93/AK$6)</f>
        <v>0</v>
      </c>
      <c r="AO93" s="56" t="n">
        <f aca="false">SUMIFS('Dr Umesh Choudhry'!$D$7:$D$300,'Dr Umesh Choudhry'!$B$7:$B$300,$B93)</f>
        <v>0</v>
      </c>
      <c r="AP93" s="57" t="str">
        <f aca="false">IF(AND(AO93&gt;0,AQ93&gt;0),AQ93/AO93,"")</f>
        <v/>
      </c>
      <c r="AQ93" s="8" t="n">
        <f aca="false">SUMIFS('Dr Umesh Choudhry'!$E$7:$E$300,'Dr Umesh Choudhry'!$B$7:$B$300,$B93)</f>
        <v>0</v>
      </c>
      <c r="AR93" s="8" t="n">
        <f aca="false">SUMIFS('Dr Umesh Choudhry'!$H$7:$H$300,'Dr Umesh Choudhry'!$B$7:$B$300,$B93)</f>
        <v>0</v>
      </c>
      <c r="AS93" s="8" t="n">
        <f aca="false">AR93-AQ93</f>
        <v>0</v>
      </c>
      <c r="AT93" s="9" t="str">
        <f aca="false">IF(AQ93&gt;0,AS93/AQ93,"")</f>
        <v/>
      </c>
      <c r="AU93" s="9" t="n">
        <f aca="false">IF(AR$6=0,"",AR93/AR$6)</f>
        <v>0</v>
      </c>
      <c r="AV93" s="56" t="n">
        <f aca="false">SUMIFS(DA!$D$7:$D$300,DA!$B$7:$B$300,$B93)</f>
        <v>0</v>
      </c>
      <c r="AW93" s="57" t="str">
        <f aca="false">IF(AND(AV93&gt;0,AX93&gt;0),AX93/AV93,"")</f>
        <v/>
      </c>
      <c r="AX93" s="8" t="n">
        <f aca="false">SUMIFS(DA!$E$7:$E$300,DA!$B$7:$B$300,$B93)</f>
        <v>0</v>
      </c>
      <c r="AY93" s="8" t="n">
        <f aca="false">SUMIFS(DA!$H$7:$H$300,DA!$B$7:$B$300,$B93)</f>
        <v>0</v>
      </c>
      <c r="AZ93" s="8" t="n">
        <f aca="false">AY93-AX93</f>
        <v>0</v>
      </c>
      <c r="BA93" s="9" t="str">
        <f aca="false">IF(AX93&gt;0,AZ93/AX93,"")</f>
        <v/>
      </c>
      <c r="BB93" s="9" t="n">
        <f aca="false">IF(AY$6=0,"",AY93/AY$6)</f>
        <v>0</v>
      </c>
    </row>
    <row r="94" customFormat="false" ht="15" hidden="false" customHeight="false" outlineLevel="0" collapsed="false">
      <c r="A94" s="5" t="n">
        <v>88</v>
      </c>
      <c r="B94" s="47" t="s">
        <v>166</v>
      </c>
      <c r="C94" s="48" t="str">
        <f aca="false">IFERROR(INDEX(Prices!$C$6:$C$300,MATCH($B94,Prices!$A$6:$A$300,0)),"")</f>
        <v/>
      </c>
      <c r="D94" s="49" t="str">
        <f aca="false">IFERROR(INDEX(Prices!$D$6:$D$300,MATCH($B94,Prices!$A$6:$A$300,0)),"")</f>
        <v>No price on any statement</v>
      </c>
      <c r="E94" s="6" t="n">
        <f aca="false">(M94&gt;0)+(T94&gt;0)+(AA94&gt;0)+(AH94&gt;0)+(AO94&gt;0)+(AV94&gt;0)</f>
        <v>1</v>
      </c>
      <c r="F94" s="50" t="n">
        <f aca="false">M94+T94+AA94+AH94+AO94+AV94</f>
        <v>144</v>
      </c>
      <c r="G94" s="51" t="str">
        <f aca="false">IF(AND(F94&gt;0,H94&gt;0),H94/F94,"")</f>
        <v/>
      </c>
      <c r="H94" s="52" t="n">
        <f aca="false">O94+V94+AC94+AJ94+AQ94+AX94</f>
        <v>0</v>
      </c>
      <c r="I94" s="53" t="n">
        <f aca="false">P94+W94+AD94+AK94+AR94+AY94</f>
        <v>0</v>
      </c>
      <c r="J94" s="52" t="n">
        <f aca="false">I94-H94</f>
        <v>0</v>
      </c>
      <c r="K94" s="54" t="str">
        <f aca="false">IF(H94&gt;0,J94/H94,"")</f>
        <v/>
      </c>
      <c r="L94" s="55" t="n">
        <f aca="false">IF(I$6=0,"",I94/I$6)</f>
        <v>0</v>
      </c>
      <c r="M94" s="56" t="n">
        <f aca="false">SUMIFS(Gautam!$D$7:$D$300,Gautam!$B$7:$B$300,$B94)</f>
        <v>144</v>
      </c>
      <c r="N94" s="57" t="str">
        <f aca="false">IF(AND(M94&gt;0,O94&gt;0),O94/M94,"")</f>
        <v/>
      </c>
      <c r="O94" s="8" t="n">
        <f aca="false">SUMIFS(Gautam!$E$7:$E$300,Gautam!$B$7:$B$300,$B94)</f>
        <v>0</v>
      </c>
      <c r="P94" s="8" t="n">
        <f aca="false">SUMIFS(Gautam!$H$7:$H$300,Gautam!$B$7:$B$300,$B94)</f>
        <v>0</v>
      </c>
      <c r="Q94" s="8" t="n">
        <f aca="false">P94-O94</f>
        <v>0</v>
      </c>
      <c r="R94" s="9" t="str">
        <f aca="false">IF(O94&gt;0,Q94/O94,"")</f>
        <v/>
      </c>
      <c r="S94" s="9" t="n">
        <f aca="false">IF(P$6=0,"",P94/P$6)</f>
        <v>0</v>
      </c>
      <c r="T94" s="56" t="n">
        <f aca="false">SUMIFS('Manish Shilpa'!$D$7:$D$300,'Manish Shilpa'!$B$7:$B$300,$B94)</f>
        <v>0</v>
      </c>
      <c r="U94" s="57" t="str">
        <f aca="false">IF(AND(T94&gt;0,V94&gt;0),V94/T94,"")</f>
        <v/>
      </c>
      <c r="V94" s="8" t="n">
        <f aca="false">SUMIFS('Manish Shilpa'!$E$7:$E$300,'Manish Shilpa'!$B$7:$B$300,$B94)</f>
        <v>0</v>
      </c>
      <c r="W94" s="8" t="n">
        <f aca="false">SUMIFS('Manish Shilpa'!$H$7:$H$300,'Manish Shilpa'!$B$7:$B$300,$B94)</f>
        <v>0</v>
      </c>
      <c r="X94" s="8" t="n">
        <f aca="false">W94-V94</f>
        <v>0</v>
      </c>
      <c r="Y94" s="9" t="str">
        <f aca="false">IF(V94&gt;0,X94/V94,"")</f>
        <v/>
      </c>
      <c r="Z94" s="9" t="n">
        <f aca="false">IF(W$6=0,"",W94/W$6)</f>
        <v>0</v>
      </c>
      <c r="AA94" s="56" t="n">
        <f aca="false">SUMIFS('Saloni Mehra'!$D$7:$D$300,'Saloni Mehra'!$B$7:$B$300,$B94)</f>
        <v>0</v>
      </c>
      <c r="AB94" s="57" t="str">
        <f aca="false">IF(AND(AA94&gt;0,AC94&gt;0),AC94/AA94,"")</f>
        <v/>
      </c>
      <c r="AC94" s="8" t="n">
        <f aca="false">SUMIFS('Saloni Mehra'!$E$7:$E$300,'Saloni Mehra'!$B$7:$B$300,$B94)</f>
        <v>0</v>
      </c>
      <c r="AD94" s="8" t="n">
        <f aca="false">SUMIFS('Saloni Mehra'!$H$7:$H$300,'Saloni Mehra'!$B$7:$B$300,$B94)</f>
        <v>0</v>
      </c>
      <c r="AE94" s="8" t="n">
        <f aca="false">AD94-AC94</f>
        <v>0</v>
      </c>
      <c r="AF94" s="9" t="str">
        <f aca="false">IF(AC94&gt;0,AE94/AC94,"")</f>
        <v/>
      </c>
      <c r="AG94" s="9" t="n">
        <f aca="false">IF(AD$6=0,"",AD94/AD$6)</f>
        <v>0</v>
      </c>
      <c r="AH94" s="56" t="n">
        <f aca="false">SUMIFS('Vidushi Malhotra'!$D$7:$D$300,'Vidushi Malhotra'!$B$7:$B$300,$B94)</f>
        <v>0</v>
      </c>
      <c r="AI94" s="57" t="str">
        <f aca="false">IF(AND(AH94&gt;0,AJ94&gt;0),AJ94/AH94,"")</f>
        <v/>
      </c>
      <c r="AJ94" s="8" t="n">
        <f aca="false">SUMIFS('Vidushi Malhotra'!$E$7:$E$300,'Vidushi Malhotra'!$B$7:$B$300,$B94)</f>
        <v>0</v>
      </c>
      <c r="AK94" s="8" t="n">
        <f aca="false">SUMIFS('Vidushi Malhotra'!$H$7:$H$300,'Vidushi Malhotra'!$B$7:$B$300,$B94)</f>
        <v>0</v>
      </c>
      <c r="AL94" s="8" t="n">
        <f aca="false">AK94-AJ94</f>
        <v>0</v>
      </c>
      <c r="AM94" s="9" t="str">
        <f aca="false">IF(AJ94&gt;0,AL94/AJ94,"")</f>
        <v/>
      </c>
      <c r="AN94" s="9" t="n">
        <f aca="false">IF(AK$6=0,"",AK94/AK$6)</f>
        <v>0</v>
      </c>
      <c r="AO94" s="56" t="n">
        <f aca="false">SUMIFS('Dr Umesh Choudhry'!$D$7:$D$300,'Dr Umesh Choudhry'!$B$7:$B$300,$B94)</f>
        <v>0</v>
      </c>
      <c r="AP94" s="57" t="str">
        <f aca="false">IF(AND(AO94&gt;0,AQ94&gt;0),AQ94/AO94,"")</f>
        <v/>
      </c>
      <c r="AQ94" s="8" t="n">
        <f aca="false">SUMIFS('Dr Umesh Choudhry'!$E$7:$E$300,'Dr Umesh Choudhry'!$B$7:$B$300,$B94)</f>
        <v>0</v>
      </c>
      <c r="AR94" s="8" t="n">
        <f aca="false">SUMIFS('Dr Umesh Choudhry'!$H$7:$H$300,'Dr Umesh Choudhry'!$B$7:$B$300,$B94)</f>
        <v>0</v>
      </c>
      <c r="AS94" s="8" t="n">
        <f aca="false">AR94-AQ94</f>
        <v>0</v>
      </c>
      <c r="AT94" s="9" t="str">
        <f aca="false">IF(AQ94&gt;0,AS94/AQ94,"")</f>
        <v/>
      </c>
      <c r="AU94" s="9" t="n">
        <f aca="false">IF(AR$6=0,"",AR94/AR$6)</f>
        <v>0</v>
      </c>
      <c r="AV94" s="56" t="n">
        <f aca="false">SUMIFS(DA!$D$7:$D$300,DA!$B$7:$B$300,$B94)</f>
        <v>0</v>
      </c>
      <c r="AW94" s="57" t="str">
        <f aca="false">IF(AND(AV94&gt;0,AX94&gt;0),AX94/AV94,"")</f>
        <v/>
      </c>
      <c r="AX94" s="8" t="n">
        <f aca="false">SUMIFS(DA!$E$7:$E$300,DA!$B$7:$B$300,$B94)</f>
        <v>0</v>
      </c>
      <c r="AY94" s="8" t="n">
        <f aca="false">SUMIFS(DA!$H$7:$H$300,DA!$B$7:$B$300,$B94)</f>
        <v>0</v>
      </c>
      <c r="AZ94" s="8" t="n">
        <f aca="false">AY94-AX94</f>
        <v>0</v>
      </c>
      <c r="BA94" s="9" t="str">
        <f aca="false">IF(AX94&gt;0,AZ94/AX94,"")</f>
        <v/>
      </c>
      <c r="BB94" s="9" t="n">
        <f aca="false">IF(AY$6=0,"",AY94/AY$6)</f>
        <v>0</v>
      </c>
    </row>
    <row r="95" customFormat="false" ht="15" hidden="false" customHeight="false" outlineLevel="0" collapsed="false">
      <c r="A95" s="5" t="n">
        <v>89</v>
      </c>
      <c r="B95" s="47" t="s">
        <v>167</v>
      </c>
      <c r="C95" s="48" t="str">
        <f aca="false">IFERROR(INDEX(Prices!$C$6:$C$300,MATCH($B95,Prices!$A$6:$A$300,0)),"")</f>
        <v/>
      </c>
      <c r="D95" s="49" t="str">
        <f aca="false">IFERROR(INDEX(Prices!$D$6:$D$300,MATCH($B95,Prices!$A$6:$A$300,0)),"")</f>
        <v>No price on any statement</v>
      </c>
      <c r="E95" s="6" t="n">
        <f aca="false">(M95&gt;0)+(T95&gt;0)+(AA95&gt;0)+(AH95&gt;0)+(AO95&gt;0)+(AV95&gt;0)</f>
        <v>1</v>
      </c>
      <c r="F95" s="50" t="n">
        <f aca="false">M95+T95+AA95+AH95+AO95+AV95</f>
        <v>1000</v>
      </c>
      <c r="G95" s="51" t="str">
        <f aca="false">IF(AND(F95&gt;0,H95&gt;0),H95/F95,"")</f>
        <v/>
      </c>
      <c r="H95" s="52" t="n">
        <f aca="false">O95+V95+AC95+AJ95+AQ95+AX95</f>
        <v>0</v>
      </c>
      <c r="I95" s="53" t="n">
        <f aca="false">P95+W95+AD95+AK95+AR95+AY95</f>
        <v>0</v>
      </c>
      <c r="J95" s="52" t="n">
        <f aca="false">I95-H95</f>
        <v>0</v>
      </c>
      <c r="K95" s="54" t="str">
        <f aca="false">IF(H95&gt;0,J95/H95,"")</f>
        <v/>
      </c>
      <c r="L95" s="55" t="n">
        <f aca="false">IF(I$6=0,"",I95/I$6)</f>
        <v>0</v>
      </c>
      <c r="M95" s="56" t="n">
        <f aca="false">SUMIFS(Gautam!$D$7:$D$300,Gautam!$B$7:$B$300,$B95)</f>
        <v>1000</v>
      </c>
      <c r="N95" s="57" t="str">
        <f aca="false">IF(AND(M95&gt;0,O95&gt;0),O95/M95,"")</f>
        <v/>
      </c>
      <c r="O95" s="8" t="n">
        <f aca="false">SUMIFS(Gautam!$E$7:$E$300,Gautam!$B$7:$B$300,$B95)</f>
        <v>0</v>
      </c>
      <c r="P95" s="8" t="n">
        <f aca="false">SUMIFS(Gautam!$H$7:$H$300,Gautam!$B$7:$B$300,$B95)</f>
        <v>0</v>
      </c>
      <c r="Q95" s="8" t="n">
        <f aca="false">P95-O95</f>
        <v>0</v>
      </c>
      <c r="R95" s="9" t="str">
        <f aca="false">IF(O95&gt;0,Q95/O95,"")</f>
        <v/>
      </c>
      <c r="S95" s="9" t="n">
        <f aca="false">IF(P$6=0,"",P95/P$6)</f>
        <v>0</v>
      </c>
      <c r="T95" s="56" t="n">
        <f aca="false">SUMIFS('Manish Shilpa'!$D$7:$D$300,'Manish Shilpa'!$B$7:$B$300,$B95)</f>
        <v>0</v>
      </c>
      <c r="U95" s="57" t="str">
        <f aca="false">IF(AND(T95&gt;0,V95&gt;0),V95/T95,"")</f>
        <v/>
      </c>
      <c r="V95" s="8" t="n">
        <f aca="false">SUMIFS('Manish Shilpa'!$E$7:$E$300,'Manish Shilpa'!$B$7:$B$300,$B95)</f>
        <v>0</v>
      </c>
      <c r="W95" s="8" t="n">
        <f aca="false">SUMIFS('Manish Shilpa'!$H$7:$H$300,'Manish Shilpa'!$B$7:$B$300,$B95)</f>
        <v>0</v>
      </c>
      <c r="X95" s="8" t="n">
        <f aca="false">W95-V95</f>
        <v>0</v>
      </c>
      <c r="Y95" s="9" t="str">
        <f aca="false">IF(V95&gt;0,X95/V95,"")</f>
        <v/>
      </c>
      <c r="Z95" s="9" t="n">
        <f aca="false">IF(W$6=0,"",W95/W$6)</f>
        <v>0</v>
      </c>
      <c r="AA95" s="56" t="n">
        <f aca="false">SUMIFS('Saloni Mehra'!$D$7:$D$300,'Saloni Mehra'!$B$7:$B$300,$B95)</f>
        <v>0</v>
      </c>
      <c r="AB95" s="57" t="str">
        <f aca="false">IF(AND(AA95&gt;0,AC95&gt;0),AC95/AA95,"")</f>
        <v/>
      </c>
      <c r="AC95" s="8" t="n">
        <f aca="false">SUMIFS('Saloni Mehra'!$E$7:$E$300,'Saloni Mehra'!$B$7:$B$300,$B95)</f>
        <v>0</v>
      </c>
      <c r="AD95" s="8" t="n">
        <f aca="false">SUMIFS('Saloni Mehra'!$H$7:$H$300,'Saloni Mehra'!$B$7:$B$300,$B95)</f>
        <v>0</v>
      </c>
      <c r="AE95" s="8" t="n">
        <f aca="false">AD95-AC95</f>
        <v>0</v>
      </c>
      <c r="AF95" s="9" t="str">
        <f aca="false">IF(AC95&gt;0,AE95/AC95,"")</f>
        <v/>
      </c>
      <c r="AG95" s="9" t="n">
        <f aca="false">IF(AD$6=0,"",AD95/AD$6)</f>
        <v>0</v>
      </c>
      <c r="AH95" s="56" t="n">
        <f aca="false">SUMIFS('Vidushi Malhotra'!$D$7:$D$300,'Vidushi Malhotra'!$B$7:$B$300,$B95)</f>
        <v>0</v>
      </c>
      <c r="AI95" s="57" t="str">
        <f aca="false">IF(AND(AH95&gt;0,AJ95&gt;0),AJ95/AH95,"")</f>
        <v/>
      </c>
      <c r="AJ95" s="8" t="n">
        <f aca="false">SUMIFS('Vidushi Malhotra'!$E$7:$E$300,'Vidushi Malhotra'!$B$7:$B$300,$B95)</f>
        <v>0</v>
      </c>
      <c r="AK95" s="8" t="n">
        <f aca="false">SUMIFS('Vidushi Malhotra'!$H$7:$H$300,'Vidushi Malhotra'!$B$7:$B$300,$B95)</f>
        <v>0</v>
      </c>
      <c r="AL95" s="8" t="n">
        <f aca="false">AK95-AJ95</f>
        <v>0</v>
      </c>
      <c r="AM95" s="9" t="str">
        <f aca="false">IF(AJ95&gt;0,AL95/AJ95,"")</f>
        <v/>
      </c>
      <c r="AN95" s="9" t="n">
        <f aca="false">IF(AK$6=0,"",AK95/AK$6)</f>
        <v>0</v>
      </c>
      <c r="AO95" s="56" t="n">
        <f aca="false">SUMIFS('Dr Umesh Choudhry'!$D$7:$D$300,'Dr Umesh Choudhry'!$B$7:$B$300,$B95)</f>
        <v>0</v>
      </c>
      <c r="AP95" s="57" t="str">
        <f aca="false">IF(AND(AO95&gt;0,AQ95&gt;0),AQ95/AO95,"")</f>
        <v/>
      </c>
      <c r="AQ95" s="8" t="n">
        <f aca="false">SUMIFS('Dr Umesh Choudhry'!$E$7:$E$300,'Dr Umesh Choudhry'!$B$7:$B$300,$B95)</f>
        <v>0</v>
      </c>
      <c r="AR95" s="8" t="n">
        <f aca="false">SUMIFS('Dr Umesh Choudhry'!$H$7:$H$300,'Dr Umesh Choudhry'!$B$7:$B$300,$B95)</f>
        <v>0</v>
      </c>
      <c r="AS95" s="8" t="n">
        <f aca="false">AR95-AQ95</f>
        <v>0</v>
      </c>
      <c r="AT95" s="9" t="str">
        <f aca="false">IF(AQ95&gt;0,AS95/AQ95,"")</f>
        <v/>
      </c>
      <c r="AU95" s="9" t="n">
        <f aca="false">IF(AR$6=0,"",AR95/AR$6)</f>
        <v>0</v>
      </c>
      <c r="AV95" s="56" t="n">
        <f aca="false">SUMIFS(DA!$D$7:$D$300,DA!$B$7:$B$300,$B95)</f>
        <v>0</v>
      </c>
      <c r="AW95" s="57" t="str">
        <f aca="false">IF(AND(AV95&gt;0,AX95&gt;0),AX95/AV95,"")</f>
        <v/>
      </c>
      <c r="AX95" s="8" t="n">
        <f aca="false">SUMIFS(DA!$E$7:$E$300,DA!$B$7:$B$300,$B95)</f>
        <v>0</v>
      </c>
      <c r="AY95" s="8" t="n">
        <f aca="false">SUMIFS(DA!$H$7:$H$300,DA!$B$7:$B$300,$B95)</f>
        <v>0</v>
      </c>
      <c r="AZ95" s="8" t="n">
        <f aca="false">AY95-AX95</f>
        <v>0</v>
      </c>
      <c r="BA95" s="9" t="str">
        <f aca="false">IF(AX95&gt;0,AZ95/AX95,"")</f>
        <v/>
      </c>
      <c r="BB95" s="9" t="n">
        <f aca="false">IF(AY$6=0,"",AY95/AY$6)</f>
        <v>0</v>
      </c>
    </row>
  </sheetData>
  <mergeCells count="7">
    <mergeCell ref="F4:L4"/>
    <mergeCell ref="M4:S4"/>
    <mergeCell ref="T4:Z4"/>
    <mergeCell ref="AA4:AG4"/>
    <mergeCell ref="AH4:AN4"/>
    <mergeCell ref="AO4:AU4"/>
    <mergeCell ref="AV4:BB4"/>
  </mergeCells>
  <conditionalFormatting sqref="C7:C95">
    <cfRule type="expression" priority="2" aboveAverage="0" equalAverage="0" bottom="0" percent="0" rank="0" text="" dxfId="0">
      <formula>ISNUMBER(SEARCH("stale",$D7))</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3"/>
    <col collapsed="false" customWidth="true" hidden="false" outlineLevel="0" max="4" min="4" style="0" width="30"/>
    <col collapsed="false" customWidth="true" hidden="false" outlineLevel="0" max="10" min="5" style="0" width="12"/>
    <col collapsed="false" customWidth="true" hidden="false" outlineLevel="0" max="11" min="11" style="0" width="30"/>
    <col collapsed="false" customWidth="true" hidden="false" outlineLevel="0" max="12" min="12" style="0" width="12"/>
    <col collapsed="false" customWidth="true" hidden="false" outlineLevel="0" max="13" min="13" style="0" width="9"/>
  </cols>
  <sheetData>
    <row r="1" customFormat="false" ht="17.35" hidden="false" customHeight="false" outlineLevel="0" collapsed="false">
      <c r="A1" s="1" t="s">
        <v>168</v>
      </c>
    </row>
    <row r="2" customFormat="false" ht="15" hidden="false" customHeight="false" outlineLevel="0" collapsed="false">
      <c r="A2" s="2" t="s">
        <v>169</v>
      </c>
    </row>
    <row r="3" customFormat="false" ht="15" hidden="false" customHeight="false" outlineLevel="0" collapsed="false">
      <c r="A3" s="58" t="s">
        <v>170</v>
      </c>
    </row>
    <row r="5" customFormat="false" ht="31.5" hidden="false" customHeight="true" outlineLevel="0" collapsed="false">
      <c r="A5" s="3" t="s">
        <v>44</v>
      </c>
      <c r="B5" s="3" t="s">
        <v>171</v>
      </c>
      <c r="C5" s="3" t="s">
        <v>172</v>
      </c>
      <c r="D5" s="3" t="s">
        <v>71</v>
      </c>
      <c r="E5" s="3" t="s">
        <v>173</v>
      </c>
      <c r="F5" s="3" t="s">
        <v>174</v>
      </c>
      <c r="G5" s="3" t="s">
        <v>175</v>
      </c>
      <c r="H5" s="3" t="s">
        <v>176</v>
      </c>
      <c r="I5" s="3" t="s">
        <v>177</v>
      </c>
      <c r="J5" s="3" t="s">
        <v>178</v>
      </c>
      <c r="K5" s="3" t="s">
        <v>179</v>
      </c>
      <c r="L5" s="3" t="s">
        <v>180</v>
      </c>
      <c r="M5" s="3" t="s">
        <v>181</v>
      </c>
    </row>
    <row r="6" customFormat="false" ht="15" hidden="false" customHeight="false" outlineLevel="0" collapsed="false">
      <c r="A6" s="5" t="s">
        <v>162</v>
      </c>
      <c r="B6" s="59" t="n">
        <v>380.05</v>
      </c>
      <c r="C6" s="60" t="n">
        <f aca="false">IF(ISNUMBER(B6),B6,IF(ISNUMBER(E6),E6,IF(ISNUMBER(F6),F6,IF(ISNUMBER(G6),G6,IF(ISNUMBER(H6),H6,IF(ISNUMBER(I6),I6,IF(ISNUMBER(J6),J6,"")))))))</f>
        <v>380.05</v>
      </c>
      <c r="D6" s="61" t="str">
        <f aca="false">IF(ISNUMBER(B6),IF(K6&lt;&gt;"",K6,"Manual override"),IF(ISNUMBER(E6),"Gautam stmt – 23.10",IF(ISNUMBER(F6),"Manish Shilpa stmt – live 23.10",IF(ISNUMBER(G6),"Saloni stmt – 20.10 (stale)",IF(ISNUMBER(H6),"Vidushi stmt – LTP 05.10",IF(ISNUMBER(I6),"Umesh stmt – NSE live 09.10",IF(ISNUMBER(J6),"DA stmt – older (stale)","No price on any statement")))))))</f>
        <v>Close 22.10.2026 (Screener.in)</v>
      </c>
      <c r="E6" s="48" t="str">
        <f aca="false">IFERROR(INDEX(Gautam!$M$7:$M$300,MATCH($A6,Gautam!$B$7:$B$300,0)),"")</f>
        <v/>
      </c>
      <c r="F6" s="48" t="n">
        <f aca="false">IFERROR(INDEX('Manish Shilpa'!$M$7:$M$300,MATCH($A6,'Manish Shilpa'!$B$7:$B$300,0)),"")</f>
        <v>373.5</v>
      </c>
      <c r="G6" s="48" t="str">
        <f aca="false">IFERROR(INDEX('Saloni Mehra'!$M$7:$M$300,MATCH($A6,'Saloni Mehra'!$B$7:$B$300,0)),"")</f>
        <v/>
      </c>
      <c r="H6" s="48" t="str">
        <f aca="false">IFERROR(INDEX('Vidushi Malhotra'!$M$7:$M$300,MATCH($A6,'Vidushi Malhotra'!$B$7:$B$300,0)),"")</f>
        <v/>
      </c>
      <c r="I6" s="48" t="str">
        <f aca="false">IFERROR(INDEX('Dr Umesh Choudhry'!$M$7:$M$300,MATCH($A6,'Dr Umesh Choudhry'!$B$7:$B$300,0)),"")</f>
        <v/>
      </c>
      <c r="J6" s="48" t="str">
        <f aca="false">IFERROR(INDEX(DA!$M$7:$M$300,MATCH($A6,DA!$B$7:$B$300,0)),"")</f>
        <v/>
      </c>
      <c r="K6" s="62" t="s">
        <v>182</v>
      </c>
      <c r="L6" s="63" t="n">
        <v>388.6</v>
      </c>
      <c r="M6" s="9" t="n">
        <f aca="false">IF(AND(ISNUMBER(B6),ISNUMBER(L6),N(L6)&gt;0),B6/L6-1,"")</f>
        <v>-0.0220020586721564</v>
      </c>
    </row>
    <row r="7" customFormat="false" ht="15" hidden="false" customHeight="false" outlineLevel="0" collapsed="false">
      <c r="A7" s="5" t="s">
        <v>110</v>
      </c>
      <c r="B7" s="59" t="n">
        <v>25360</v>
      </c>
      <c r="C7" s="60" t="n">
        <f aca="false">IF(ISNUMBER(B7),B7,IF(ISNUMBER(E7),E7,IF(ISNUMBER(F7),F7,IF(ISNUMBER(G7),G7,IF(ISNUMBER(H7),H7,IF(ISNUMBER(I7),I7,IF(ISNUMBER(J7),J7,"")))))))</f>
        <v>25360</v>
      </c>
      <c r="D7" s="61" t="str">
        <f aca="false">IF(ISNUMBER(B7),IF(K7&lt;&gt;"",K7,"Manual override"),IF(ISNUMBER(E7),"Gautam stmt – 23.10",IF(ISNUMBER(F7),"Manish Shilpa stmt – live 23.10",IF(ISNUMBER(G7),"Saloni stmt – 20.10 (stale)",IF(ISNUMBER(H7),"Vidushi stmt – LTP 05.10",IF(ISNUMBER(I7),"Umesh stmt – NSE live 09.10",IF(ISNUMBER(J7),"DA stmt – older (stale)","No price on any statement")))))))</f>
        <v>Close 22.10.2026 (Screener.in)</v>
      </c>
      <c r="E7" s="48" t="str">
        <f aca="false">IFERROR(INDEX(Gautam!$M$7:$M$300,MATCH($A7,Gautam!$B$7:$B$300,0)),"")</f>
        <v/>
      </c>
      <c r="F7" s="48" t="n">
        <f aca="false">IFERROR(INDEX('Manish Shilpa'!$M$7:$M$300,MATCH($A7,'Manish Shilpa'!$B$7:$B$300,0)),"")</f>
        <v>24800</v>
      </c>
      <c r="G7" s="48" t="str">
        <f aca="false">IFERROR(INDEX('Saloni Mehra'!$M$7:$M$300,MATCH($A7,'Saloni Mehra'!$B$7:$B$300,0)),"")</f>
        <v/>
      </c>
      <c r="H7" s="48" t="str">
        <f aca="false">IFERROR(INDEX('Vidushi Malhotra'!$M$7:$M$300,MATCH($A7,'Vidushi Malhotra'!$B$7:$B$300,0)),"")</f>
        <v/>
      </c>
      <c r="I7" s="48" t="str">
        <f aca="false">IFERROR(INDEX('Dr Umesh Choudhry'!$M$7:$M$300,MATCH($A7,'Dr Umesh Choudhry'!$B$7:$B$300,0)),"")</f>
        <v/>
      </c>
      <c r="J7" s="48" t="str">
        <f aca="false">IFERROR(INDEX(DA!$M$7:$M$300,MATCH($A7,DA!$B$7:$B$300,0)),"")</f>
        <v/>
      </c>
      <c r="K7" s="62" t="s">
        <v>182</v>
      </c>
      <c r="L7" s="63" t="n">
        <v>25680</v>
      </c>
      <c r="M7" s="9" t="n">
        <f aca="false">IF(AND(ISNUMBER(B7),ISNUMBER(L7),N(L7)&gt;0),B7/L7-1,"")</f>
        <v>-0.0124610591900312</v>
      </c>
    </row>
    <row r="8" customFormat="false" ht="15" hidden="false" customHeight="false" outlineLevel="0" collapsed="false">
      <c r="A8" s="5" t="s">
        <v>84</v>
      </c>
      <c r="B8" s="59" t="n">
        <v>1371.45</v>
      </c>
      <c r="C8" s="60" t="n">
        <f aca="false">IF(ISNUMBER(B8),B8,IF(ISNUMBER(E8),E8,IF(ISNUMBER(F8),F8,IF(ISNUMBER(G8),G8,IF(ISNUMBER(H8),H8,IF(ISNUMBER(I8),I8,IF(ISNUMBER(J8),J8,"")))))))</f>
        <v>1371.45</v>
      </c>
      <c r="D8" s="61" t="str">
        <f aca="false">IF(ISNUMBER(B8),IF(K8&lt;&gt;"",K8,"Manual override"),IF(ISNUMBER(E8),"Gautam stmt – 23.10",IF(ISNUMBER(F8),"Manish Shilpa stmt – live 23.10",IF(ISNUMBER(G8),"Saloni stmt – 20.10 (stale)",IF(ISNUMBER(H8),"Vidushi stmt – LTP 05.10",IF(ISNUMBER(I8),"Umesh stmt – NSE live 09.10",IF(ISNUMBER(J8),"DA stmt – older (stale)","No price on any statement")))))))</f>
        <v>Close 22.10.2026 (Screener.in)</v>
      </c>
      <c r="E8" s="48" t="n">
        <f aca="false">IFERROR(INDEX(Gautam!$M$7:$M$300,MATCH($A8,Gautam!$B$7:$B$300,0)),"")</f>
        <v>1377</v>
      </c>
      <c r="F8" s="48" t="n">
        <f aca="false">IFERROR(INDEX('Manish Shilpa'!$M$7:$M$300,MATCH($A8,'Manish Shilpa'!$B$7:$B$300,0)),"")</f>
        <v>1270</v>
      </c>
      <c r="G8" s="48" t="n">
        <f aca="false">IFERROR(INDEX('Saloni Mehra'!$M$7:$M$300,MATCH($A8,'Saloni Mehra'!$B$7:$B$300,0)),"")</f>
        <v>1490.95</v>
      </c>
      <c r="H8" s="48" t="str">
        <f aca="false">IFERROR(INDEX('Vidushi Malhotra'!$M$7:$M$300,MATCH($A8,'Vidushi Malhotra'!$B$7:$B$300,0)),"")</f>
        <v/>
      </c>
      <c r="I8" s="48" t="n">
        <f aca="false">IFERROR(INDEX('Dr Umesh Choudhry'!$M$7:$M$300,MATCH($A8,'Dr Umesh Choudhry'!$B$7:$B$300,0)),"")</f>
        <v>1425</v>
      </c>
      <c r="J8" s="48" t="n">
        <f aca="false">IFERROR(INDEX(DA!$M$7:$M$300,MATCH($A8,DA!$B$7:$B$300,0)),"")</f>
        <v>1540</v>
      </c>
      <c r="K8" s="62" t="s">
        <v>182</v>
      </c>
      <c r="L8" s="63" t="n">
        <v>1414.9</v>
      </c>
      <c r="M8" s="9" t="n">
        <f aca="false">IF(AND(ISNUMBER(B8),ISNUMBER(L8),N(L8)&gt;0),B8/L8-1,"")</f>
        <v>-0.0307088840200721</v>
      </c>
    </row>
    <row r="9" customFormat="false" ht="15" hidden="false" customHeight="false" outlineLevel="0" collapsed="false">
      <c r="A9" s="5" t="s">
        <v>94</v>
      </c>
      <c r="B9" s="59" t="n">
        <v>1362.8</v>
      </c>
      <c r="C9" s="60" t="n">
        <f aca="false">IF(ISNUMBER(B9),B9,IF(ISNUMBER(E9),E9,IF(ISNUMBER(F9),F9,IF(ISNUMBER(G9),G9,IF(ISNUMBER(H9),H9,IF(ISNUMBER(I9),I9,IF(ISNUMBER(J9),J9,"")))))))</f>
        <v>1362.8</v>
      </c>
      <c r="D9" s="61" t="str">
        <f aca="false">IF(ISNUMBER(B9),IF(K9&lt;&gt;"",K9,"Manual override"),IF(ISNUMBER(E9),"Gautam stmt – 23.10",IF(ISNUMBER(F9),"Manish Shilpa stmt – live 23.10",IF(ISNUMBER(G9),"Saloni stmt – 20.10 (stale)",IF(ISNUMBER(H9),"Vidushi stmt – LTP 05.10",IF(ISNUMBER(I9),"Umesh stmt – NSE live 09.10",IF(ISNUMBER(J9),"DA stmt – older (stale)","No price on any statement")))))))</f>
        <v>Close 22.10.2026 (Screener.in)</v>
      </c>
      <c r="E9" s="48" t="n">
        <f aca="false">IFERROR(INDEX(Gautam!$M$7:$M$300,MATCH($A9,Gautam!$B$7:$B$300,0)),"")</f>
        <v>1363</v>
      </c>
      <c r="F9" s="48" t="n">
        <f aca="false">IFERROR(INDEX('Manish Shilpa'!$M$7:$M$300,MATCH($A9,'Manish Shilpa'!$B$7:$B$300,0)),"")</f>
        <v>1324.55319148936</v>
      </c>
      <c r="G9" s="48" t="str">
        <f aca="false">IFERROR(INDEX('Saloni Mehra'!$M$7:$M$300,MATCH($A9,'Saloni Mehra'!$B$7:$B$300,0)),"")</f>
        <v/>
      </c>
      <c r="H9" s="48" t="n">
        <f aca="false">IFERROR(INDEX('Vidushi Malhotra'!$M$7:$M$300,MATCH($A9,'Vidushi Malhotra'!$B$7:$B$300,0)),"")</f>
        <v>1456.66666666667</v>
      </c>
      <c r="I9" s="48" t="n">
        <f aca="false">IFERROR(INDEX('Dr Umesh Choudhry'!$M$7:$M$300,MATCH($A9,'Dr Umesh Choudhry'!$B$7:$B$300,0)),"")</f>
        <v>1422.89361702128</v>
      </c>
      <c r="J9" s="48" t="n">
        <f aca="false">IFERROR(INDEX(DA!$M$7:$M$300,MATCH($A9,DA!$B$7:$B$300,0)),"")</f>
        <v>1568</v>
      </c>
      <c r="K9" s="62" t="s">
        <v>182</v>
      </c>
      <c r="L9" s="63" t="n">
        <v>1395.3</v>
      </c>
      <c r="M9" s="9" t="n">
        <f aca="false">IF(AND(ISNUMBER(B9),ISNUMBER(L9),N(L9)&gt;0),B9/L9-1,"")</f>
        <v>-0.0232924819035333</v>
      </c>
    </row>
    <row r="10" customFormat="false" ht="15" hidden="false" customHeight="false" outlineLevel="0" collapsed="false">
      <c r="A10" s="5" t="s">
        <v>157</v>
      </c>
      <c r="B10" s="59" t="n">
        <v>1704.2</v>
      </c>
      <c r="C10" s="60" t="n">
        <f aca="false">IF(ISNUMBER(B10),B10,IF(ISNUMBER(E10),E10,IF(ISNUMBER(F10),F10,IF(ISNUMBER(G10),G10,IF(ISNUMBER(H10),H10,IF(ISNUMBER(I10),I10,IF(ISNUMBER(J10),J10,"")))))))</f>
        <v>1704.2</v>
      </c>
      <c r="D10" s="61" t="str">
        <f aca="false">IF(ISNUMBER(B10),IF(K10&lt;&gt;"",K10,"Manual override"),IF(ISNUMBER(E10),"Gautam stmt – 23.10",IF(ISNUMBER(F10),"Manish Shilpa stmt – live 23.10",IF(ISNUMBER(G10),"Saloni stmt – 20.10 (stale)",IF(ISNUMBER(H10),"Vidushi stmt – LTP 05.10",IF(ISNUMBER(I10),"Umesh stmt – NSE live 09.10",IF(ISNUMBER(J10),"DA stmt – older (stale)","No price on any statement")))))))</f>
        <v>Close 22.10.2026 (Screener.in)</v>
      </c>
      <c r="E10" s="48" t="str">
        <f aca="false">IFERROR(INDEX(Gautam!$M$7:$M$300,MATCH($A10,Gautam!$B$7:$B$300,0)),"")</f>
        <v/>
      </c>
      <c r="F10" s="48" t="n">
        <f aca="false">IFERROR(INDEX('Manish Shilpa'!$M$7:$M$300,MATCH($A10,'Manish Shilpa'!$B$7:$B$300,0)),"")</f>
        <v>1621.66666666667</v>
      </c>
      <c r="G10" s="48" t="str">
        <f aca="false">IFERROR(INDEX('Saloni Mehra'!$M$7:$M$300,MATCH($A10,'Saloni Mehra'!$B$7:$B$300,0)),"")</f>
        <v/>
      </c>
      <c r="H10" s="48" t="str">
        <f aca="false">IFERROR(INDEX('Vidushi Malhotra'!$M$7:$M$300,MATCH($A10,'Vidushi Malhotra'!$B$7:$B$300,0)),"")</f>
        <v/>
      </c>
      <c r="I10" s="48" t="str">
        <f aca="false">IFERROR(INDEX('Dr Umesh Choudhry'!$M$7:$M$300,MATCH($A10,'Dr Umesh Choudhry'!$B$7:$B$300,0)),"")</f>
        <v/>
      </c>
      <c r="J10" s="48" t="str">
        <f aca="false">IFERROR(INDEX(DA!$M$7:$M$300,MATCH($A10,DA!$B$7:$B$300,0)),"")</f>
        <v/>
      </c>
      <c r="K10" s="62" t="s">
        <v>182</v>
      </c>
      <c r="L10" s="63" t="n">
        <v>1721.4</v>
      </c>
      <c r="M10" s="9" t="n">
        <f aca="false">IF(AND(ISNUMBER(B10),ISNUMBER(L10),N(L10)&gt;0),B10/L10-1,"")</f>
        <v>-0.00999186708493094</v>
      </c>
    </row>
    <row r="11" customFormat="false" ht="15" hidden="false" customHeight="false" outlineLevel="0" collapsed="false">
      <c r="A11" s="5" t="s">
        <v>138</v>
      </c>
      <c r="B11" s="59" t="n">
        <v>363</v>
      </c>
      <c r="C11" s="60" t="n">
        <f aca="false">IF(ISNUMBER(B11),B11,IF(ISNUMBER(E11),E11,IF(ISNUMBER(F11),F11,IF(ISNUMBER(G11),G11,IF(ISNUMBER(H11),H11,IF(ISNUMBER(I11),I11,IF(ISNUMBER(J11),J11,"")))))))</f>
        <v>363</v>
      </c>
      <c r="D11" s="61" t="str">
        <f aca="false">IF(ISNUMBER(B11),IF(K11&lt;&gt;"",K11,"Manual override"),IF(ISNUMBER(E11),"Gautam stmt – 23.10",IF(ISNUMBER(F11),"Manish Shilpa stmt – live 23.10",IF(ISNUMBER(G11),"Saloni stmt – 20.10 (stale)",IF(ISNUMBER(H11),"Vidushi stmt – LTP 05.10",IF(ISNUMBER(I11),"Umesh stmt – NSE live 09.10",IF(ISNUMBER(J11),"DA stmt – older (stale)","No price on any statement")))))))</f>
        <v>Close 22.10.2026 (Screener.in)</v>
      </c>
      <c r="E11" s="48" t="str">
        <f aca="false">IFERROR(INDEX(Gautam!$M$7:$M$300,MATCH($A11,Gautam!$B$7:$B$300,0)),"")</f>
        <v/>
      </c>
      <c r="F11" s="48" t="str">
        <f aca="false">IFERROR(INDEX('Manish Shilpa'!$M$7:$M$300,MATCH($A11,'Manish Shilpa'!$B$7:$B$300,0)),"")</f>
        <v/>
      </c>
      <c r="G11" s="48" t="str">
        <f aca="false">IFERROR(INDEX('Saloni Mehra'!$M$7:$M$300,MATCH($A11,'Saloni Mehra'!$B$7:$B$300,0)),"")</f>
        <v/>
      </c>
      <c r="H11" s="48" t="str">
        <f aca="false">IFERROR(INDEX('Vidushi Malhotra'!$M$7:$M$300,MATCH($A11,'Vidushi Malhotra'!$B$7:$B$300,0)),"")</f>
        <v/>
      </c>
      <c r="I11" s="48" t="str">
        <f aca="false">IFERROR(INDEX('Dr Umesh Choudhry'!$M$7:$M$300,MATCH($A11,'Dr Umesh Choudhry'!$B$7:$B$300,0)),"")</f>
        <v/>
      </c>
      <c r="J11" s="48" t="n">
        <f aca="false">IFERROR(INDEX(DA!$M$7:$M$300,MATCH($A11,DA!$B$7:$B$300,0)),"")</f>
        <v>392</v>
      </c>
      <c r="K11" s="62" t="s">
        <v>182</v>
      </c>
      <c r="L11" s="63" t="n">
        <v>359.9</v>
      </c>
      <c r="M11" s="9" t="n">
        <f aca="false">IF(AND(ISNUMBER(B11),ISNUMBER(L11),N(L11)&gt;0),B11/L11-1,"")</f>
        <v>0.00861350375104197</v>
      </c>
    </row>
    <row r="12" customFormat="false" ht="15" hidden="false" customHeight="false" outlineLevel="0" collapsed="false">
      <c r="A12" s="5" t="s">
        <v>147</v>
      </c>
      <c r="B12" s="59" t="n">
        <v>101.09</v>
      </c>
      <c r="C12" s="60" t="n">
        <f aca="false">IF(ISNUMBER(B12),B12,IF(ISNUMBER(E12),E12,IF(ISNUMBER(F12),F12,IF(ISNUMBER(G12),G12,IF(ISNUMBER(H12),H12,IF(ISNUMBER(I12),I12,IF(ISNUMBER(J12),J12,"")))))))</f>
        <v>101.09</v>
      </c>
      <c r="D12" s="61" t="str">
        <f aca="false">IF(ISNUMBER(B12),IF(K12&lt;&gt;"",K12,"Manual override"),IF(ISNUMBER(E12),"Gautam stmt – 23.10",IF(ISNUMBER(F12),"Manish Shilpa stmt – live 23.10",IF(ISNUMBER(G12),"Saloni stmt – 20.10 (stale)",IF(ISNUMBER(H12),"Vidushi stmt – LTP 05.10",IF(ISNUMBER(I12),"Umesh stmt – NSE live 09.10",IF(ISNUMBER(J12),"DA stmt – older (stale)","No price on any statement")))))))</f>
        <v>Close 22.10.2026 (Screener.in)</v>
      </c>
      <c r="E12" s="48" t="str">
        <f aca="false">IFERROR(INDEX(Gautam!$M$7:$M$300,MATCH($A12,Gautam!$B$7:$B$300,0)),"")</f>
        <v/>
      </c>
      <c r="F12" s="48" t="str">
        <f aca="false">IFERROR(INDEX('Manish Shilpa'!$M$7:$M$300,MATCH($A12,'Manish Shilpa'!$B$7:$B$300,0)),"")</f>
        <v/>
      </c>
      <c r="G12" s="48" t="str">
        <f aca="false">IFERROR(INDEX('Saloni Mehra'!$M$7:$M$300,MATCH($A12,'Saloni Mehra'!$B$7:$B$300,0)),"")</f>
        <v/>
      </c>
      <c r="H12" s="48" t="str">
        <f aca="false">IFERROR(INDEX('Vidushi Malhotra'!$M$7:$M$300,MATCH($A12,'Vidushi Malhotra'!$B$7:$B$300,0)),"")</f>
        <v/>
      </c>
      <c r="I12" s="48" t="str">
        <f aca="false">IFERROR(INDEX('Dr Umesh Choudhry'!$M$7:$M$300,MATCH($A12,'Dr Umesh Choudhry'!$B$7:$B$300,0)),"")</f>
        <v/>
      </c>
      <c r="J12" s="48" t="n">
        <f aca="false">IFERROR(INDEX(DA!$M$7:$M$300,MATCH($A12,DA!$B$7:$B$300,0)),"")</f>
        <v>114</v>
      </c>
      <c r="K12" s="62" t="s">
        <v>182</v>
      </c>
      <c r="L12" s="63" t="n">
        <v>102.18</v>
      </c>
      <c r="M12" s="9" t="n">
        <f aca="false">IF(AND(ISNUMBER(B12),ISNUMBER(L12),N(L12)&gt;0),B12/L12-1,"")</f>
        <v>-0.0106674495987473</v>
      </c>
    </row>
    <row r="13" customFormat="false" ht="15" hidden="false" customHeight="false" outlineLevel="0" collapsed="false">
      <c r="A13" s="5" t="s">
        <v>115</v>
      </c>
      <c r="B13" s="59" t="n">
        <v>2284.8</v>
      </c>
      <c r="C13" s="60" t="n">
        <f aca="false">IF(ISNUMBER(B13),B13,IF(ISNUMBER(E13),E13,IF(ISNUMBER(F13),F13,IF(ISNUMBER(G13),G13,IF(ISNUMBER(H13),H13,IF(ISNUMBER(I13),I13,IF(ISNUMBER(J13),J13,"")))))))</f>
        <v>2284.8</v>
      </c>
      <c r="D13" s="61" t="str">
        <f aca="false">IF(ISNUMBER(B13),IF(K13&lt;&gt;"",K13,"Manual override"),IF(ISNUMBER(E13),"Gautam stmt – 23.10",IF(ISNUMBER(F13),"Manish Shilpa stmt – live 23.10",IF(ISNUMBER(G13),"Saloni stmt – 20.10 (stale)",IF(ISNUMBER(H13),"Vidushi stmt – LTP 05.10",IF(ISNUMBER(I13),"Umesh stmt – NSE live 09.10",IF(ISNUMBER(J13),"DA stmt – older (stale)","No price on any statement")))))))</f>
        <v>Close 22.10.2026 (Screener.in)</v>
      </c>
      <c r="E13" s="48" t="str">
        <f aca="false">IFERROR(INDEX(Gautam!$M$7:$M$300,MATCH($A13,Gautam!$B$7:$B$300,0)),"")</f>
        <v/>
      </c>
      <c r="F13" s="48" t="n">
        <f aca="false">IFERROR(INDEX('Manish Shilpa'!$M$7:$M$300,MATCH($A13,'Manish Shilpa'!$B$7:$B$300,0)),"")</f>
        <v>2274.81818181818</v>
      </c>
      <c r="G13" s="48" t="str">
        <f aca="false">IFERROR(INDEX('Saloni Mehra'!$M$7:$M$300,MATCH($A13,'Saloni Mehra'!$B$7:$B$300,0)),"")</f>
        <v/>
      </c>
      <c r="H13" s="48" t="str">
        <f aca="false">IFERROR(INDEX('Vidushi Malhotra'!$M$7:$M$300,MATCH($A13,'Vidushi Malhotra'!$B$7:$B$300,0)),"")</f>
        <v/>
      </c>
      <c r="I13" s="48" t="str">
        <f aca="false">IFERROR(INDEX('Dr Umesh Choudhry'!$M$7:$M$300,MATCH($A13,'Dr Umesh Choudhry'!$B$7:$B$300,0)),"")</f>
        <v/>
      </c>
      <c r="J13" s="48" t="str">
        <f aca="false">IFERROR(INDEX(DA!$M$7:$M$300,MATCH($A13,DA!$B$7:$B$300,0)),"")</f>
        <v/>
      </c>
      <c r="K13" s="62" t="s">
        <v>182</v>
      </c>
      <c r="L13" s="63" t="n">
        <v>2319.4</v>
      </c>
      <c r="M13" s="9" t="n">
        <f aca="false">IF(AND(ISNUMBER(B13),ISNUMBER(L13),N(L13)&gt;0),B13/L13-1,"")</f>
        <v>-0.0149176511166681</v>
      </c>
    </row>
    <row r="14" customFormat="false" ht="15" hidden="false" customHeight="false" outlineLevel="0" collapsed="false">
      <c r="A14" s="5" t="s">
        <v>131</v>
      </c>
      <c r="B14" s="59" t="n">
        <v>669.2</v>
      </c>
      <c r="C14" s="60" t="n">
        <f aca="false">IF(ISNUMBER(B14),B14,IF(ISNUMBER(E14),E14,IF(ISNUMBER(F14),F14,IF(ISNUMBER(G14),G14,IF(ISNUMBER(H14),H14,IF(ISNUMBER(I14),I14,IF(ISNUMBER(J14),J14,"")))))))</f>
        <v>669.2</v>
      </c>
      <c r="D14" s="61" t="str">
        <f aca="false">IF(ISNUMBER(B14),IF(K14&lt;&gt;"",K14,"Manual override"),IF(ISNUMBER(E14),"Gautam stmt – 23.10",IF(ISNUMBER(F14),"Manish Shilpa stmt – live 23.10",IF(ISNUMBER(G14),"Saloni stmt – 20.10 (stale)",IF(ISNUMBER(H14),"Vidushi stmt – LTP 05.10",IF(ISNUMBER(I14),"Umesh stmt – NSE live 09.10",IF(ISNUMBER(J14),"DA stmt – older (stale)","No price on any statement")))))))</f>
        <v>Close 22.10.2026 (Screener.in)</v>
      </c>
      <c r="E14" s="48" t="str">
        <f aca="false">IFERROR(INDEX(Gautam!$M$7:$M$300,MATCH($A14,Gautam!$B$7:$B$300,0)),"")</f>
        <v/>
      </c>
      <c r="F14" s="48" t="str">
        <f aca="false">IFERROR(INDEX('Manish Shilpa'!$M$7:$M$300,MATCH($A14,'Manish Shilpa'!$B$7:$B$300,0)),"")</f>
        <v/>
      </c>
      <c r="G14" s="48" t="str">
        <f aca="false">IFERROR(INDEX('Saloni Mehra'!$M$7:$M$300,MATCH($A14,'Saloni Mehra'!$B$7:$B$300,0)),"")</f>
        <v/>
      </c>
      <c r="H14" s="48" t="str">
        <f aca="false">IFERROR(INDEX('Vidushi Malhotra'!$M$7:$M$300,MATCH($A14,'Vidushi Malhotra'!$B$7:$B$300,0)),"")</f>
        <v/>
      </c>
      <c r="I14" s="48" t="str">
        <f aca="false">IFERROR(INDEX('Dr Umesh Choudhry'!$M$7:$M$300,MATCH($A14,'Dr Umesh Choudhry'!$B$7:$B$300,0)),"")</f>
        <v/>
      </c>
      <c r="J14" s="48" t="n">
        <f aca="false">IFERROR(INDEX(DA!$M$7:$M$300,MATCH($A14,DA!$B$7:$B$300,0)),"")</f>
        <v>700</v>
      </c>
      <c r="K14" s="62" t="s">
        <v>182</v>
      </c>
      <c r="L14" s="63" t="n">
        <v>665.9</v>
      </c>
      <c r="M14" s="9" t="n">
        <f aca="false">IF(AND(ISNUMBER(B14),ISNUMBER(L14),N(L14)&gt;0),B14/L14-1,"")</f>
        <v>0.00495569905391213</v>
      </c>
    </row>
    <row r="15" customFormat="false" ht="15" hidden="false" customHeight="false" outlineLevel="0" collapsed="false">
      <c r="A15" s="5" t="s">
        <v>102</v>
      </c>
      <c r="B15" s="59" t="n">
        <v>3166</v>
      </c>
      <c r="C15" s="60" t="n">
        <f aca="false">IF(ISNUMBER(B15),B15,IF(ISNUMBER(E15),E15,IF(ISNUMBER(F15),F15,IF(ISNUMBER(G15),G15,IF(ISNUMBER(H15),H15,IF(ISNUMBER(I15),I15,IF(ISNUMBER(J15),J15,"")))))))</f>
        <v>3166</v>
      </c>
      <c r="D15" s="61" t="str">
        <f aca="false">IF(ISNUMBER(B15),IF(K15&lt;&gt;"",K15,"Manual override"),IF(ISNUMBER(E15),"Gautam stmt – 23.10",IF(ISNUMBER(F15),"Manish Shilpa stmt – live 23.10",IF(ISNUMBER(G15),"Saloni stmt – 20.10 (stale)",IF(ISNUMBER(H15),"Vidushi stmt – LTP 05.10",IF(ISNUMBER(I15),"Umesh stmt – NSE live 09.10",IF(ISNUMBER(J15),"DA stmt – older (stale)","No price on any statement")))))))</f>
        <v>Close 22.10.2026 (Screener.in)</v>
      </c>
      <c r="E15" s="48" t="n">
        <f aca="false">IFERROR(INDEX(Gautam!$M$7:$M$300,MATCH($A15,Gautam!$B$7:$B$300,0)),"")</f>
        <v>3166</v>
      </c>
      <c r="F15" s="48" t="n">
        <f aca="false">IFERROR(INDEX('Manish Shilpa'!$M$7:$M$300,MATCH($A15,'Manish Shilpa'!$B$7:$B$300,0)),"")</f>
        <v>3126.33333333333</v>
      </c>
      <c r="G15" s="48" t="str">
        <f aca="false">IFERROR(INDEX('Saloni Mehra'!$M$7:$M$300,MATCH($A15,'Saloni Mehra'!$B$7:$B$300,0)),"")</f>
        <v/>
      </c>
      <c r="H15" s="48" t="str">
        <f aca="false">IFERROR(INDEX('Vidushi Malhotra'!$M$7:$M$300,MATCH($A15,'Vidushi Malhotra'!$B$7:$B$300,0)),"")</f>
        <v/>
      </c>
      <c r="I15" s="48" t="n">
        <f aca="false">IFERROR(INDEX('Dr Umesh Choudhry'!$M$7:$M$300,MATCH($A15,'Dr Umesh Choudhry'!$B$7:$B$300,0)),"")</f>
        <v>3567.5</v>
      </c>
      <c r="J15" s="48" t="n">
        <f aca="false">IFERROR(INDEX(DA!$M$7:$M$300,MATCH($A15,DA!$B$7:$B$300,0)),"")</f>
        <v>3688</v>
      </c>
      <c r="K15" s="62" t="s">
        <v>182</v>
      </c>
      <c r="L15" s="63" t="n">
        <v>3250.9</v>
      </c>
      <c r="M15" s="9" t="n">
        <f aca="false">IF(AND(ISNUMBER(B15),ISNUMBER(L15),N(L15)&gt;0),B15/L15-1,"")</f>
        <v>-0.0261158448429666</v>
      </c>
    </row>
    <row r="16" customFormat="false" ht="15" hidden="false" customHeight="false" outlineLevel="0" collapsed="false">
      <c r="A16" s="5" t="s">
        <v>144</v>
      </c>
      <c r="B16" s="59" t="n">
        <v>105.54</v>
      </c>
      <c r="C16" s="60" t="n">
        <f aca="false">IF(ISNUMBER(B16),B16,IF(ISNUMBER(E16),E16,IF(ISNUMBER(F16),F16,IF(ISNUMBER(G16),G16,IF(ISNUMBER(H16),H16,IF(ISNUMBER(I16),I16,IF(ISNUMBER(J16),J16,"")))))))</f>
        <v>105.54</v>
      </c>
      <c r="D16" s="61" t="str">
        <f aca="false">IF(ISNUMBER(B16),IF(K16&lt;&gt;"",K16,"Manual override"),IF(ISNUMBER(E16),"Gautam stmt – 23.10",IF(ISNUMBER(F16),"Manish Shilpa stmt – live 23.10",IF(ISNUMBER(G16),"Saloni stmt – 20.10 (stale)",IF(ISNUMBER(H16),"Vidushi stmt – LTP 05.10",IF(ISNUMBER(I16),"Umesh stmt – NSE live 09.10",IF(ISNUMBER(J16),"DA stmt – older (stale)","No price on any statement")))))))</f>
        <v>Close 22.10.2026 (Screener.in)</v>
      </c>
      <c r="E16" s="48" t="n">
        <f aca="false">IFERROR(INDEX(Gautam!$M$7:$M$300,MATCH($A16,Gautam!$B$7:$B$300,0)),"")</f>
        <v>106</v>
      </c>
      <c r="F16" s="48" t="str">
        <f aca="false">IFERROR(INDEX('Manish Shilpa'!$M$7:$M$300,MATCH($A16,'Manish Shilpa'!$B$7:$B$300,0)),"")</f>
        <v/>
      </c>
      <c r="G16" s="48" t="str">
        <f aca="false">IFERROR(INDEX('Saloni Mehra'!$M$7:$M$300,MATCH($A16,'Saloni Mehra'!$B$7:$B$300,0)),"")</f>
        <v/>
      </c>
      <c r="H16" s="48" t="str">
        <f aca="false">IFERROR(INDEX('Vidushi Malhotra'!$M$7:$M$300,MATCH($A16,'Vidushi Malhotra'!$B$7:$B$300,0)),"")</f>
        <v/>
      </c>
      <c r="I16" s="48" t="str">
        <f aca="false">IFERROR(INDEX('Dr Umesh Choudhry'!$M$7:$M$300,MATCH($A16,'Dr Umesh Choudhry'!$B$7:$B$300,0)),"")</f>
        <v/>
      </c>
      <c r="J16" s="48" t="str">
        <f aca="false">IFERROR(INDEX(DA!$M$7:$M$300,MATCH($A16,DA!$B$7:$B$300,0)),"")</f>
        <v/>
      </c>
      <c r="K16" s="62" t="s">
        <v>182</v>
      </c>
      <c r="L16" s="63" t="n">
        <v>105.53</v>
      </c>
      <c r="M16" s="9" t="n">
        <f aca="false">IF(AND(ISNUMBER(B16),ISNUMBER(L16),N(L16)&gt;0),B16/L16-1,"")</f>
        <v>9.47597839477954E-005</v>
      </c>
    </row>
    <row r="17" customFormat="false" ht="15" hidden="false" customHeight="false" outlineLevel="0" collapsed="false">
      <c r="A17" s="5" t="s">
        <v>79</v>
      </c>
      <c r="B17" s="59" t="n">
        <v>942.1</v>
      </c>
      <c r="C17" s="60" t="n">
        <f aca="false">IF(ISNUMBER(B17),B17,IF(ISNUMBER(E17),E17,IF(ISNUMBER(F17),F17,IF(ISNUMBER(G17),G17,IF(ISNUMBER(H17),H17,IF(ISNUMBER(I17),I17,IF(ISNUMBER(J17),J17,"")))))))</f>
        <v>942.1</v>
      </c>
      <c r="D17" s="61" t="str">
        <f aca="false">IF(ISNUMBER(B17),IF(K17&lt;&gt;"",K17,"Manual override"),IF(ISNUMBER(E17),"Gautam stmt – 23.10",IF(ISNUMBER(F17),"Manish Shilpa stmt – live 23.10",IF(ISNUMBER(G17),"Saloni stmt – 20.10 (stale)",IF(ISNUMBER(H17),"Vidushi stmt – LTP 05.10",IF(ISNUMBER(I17),"Umesh stmt – NSE live 09.10",IF(ISNUMBER(J17),"DA stmt – older (stale)","No price on any statement")))))))</f>
        <v>Close 22.10.2026 (Screener.in)</v>
      </c>
      <c r="E17" s="48" t="n">
        <f aca="false">IFERROR(INDEX(Gautam!$M$7:$M$300,MATCH($A17,Gautam!$B$7:$B$300,0)),"")</f>
        <v>938</v>
      </c>
      <c r="F17" s="48" t="n">
        <f aca="false">IFERROR(INDEX('Manish Shilpa'!$M$7:$M$300,MATCH($A17,'Manish Shilpa'!$B$7:$B$300,0)),"")</f>
        <v>930.911424903723</v>
      </c>
      <c r="G17" s="48" t="str">
        <f aca="false">IFERROR(INDEX('Saloni Mehra'!$M$7:$M$300,MATCH($A17,'Saloni Mehra'!$B$7:$B$300,0)),"")</f>
        <v/>
      </c>
      <c r="H17" s="48" t="n">
        <f aca="false">IFERROR(INDEX('Vidushi Malhotra'!$M$7:$M$300,MATCH($A17,'Vidushi Malhotra'!$B$7:$B$300,0)),"")</f>
        <v>973.900826446281</v>
      </c>
      <c r="I17" s="48" t="n">
        <f aca="false">IFERROR(INDEX('Dr Umesh Choudhry'!$M$7:$M$300,MATCH($A17,'Dr Umesh Choudhry'!$B$7:$B$300,0)),"")</f>
        <v>961.34991708126</v>
      </c>
      <c r="J17" s="48" t="n">
        <f aca="false">IFERROR(INDEX(DA!$M$7:$M$300,MATCH($A17,DA!$B$7:$B$300,0)),"")</f>
        <v>1034</v>
      </c>
      <c r="K17" s="62" t="s">
        <v>182</v>
      </c>
      <c r="L17" s="63" t="n">
        <v>926</v>
      </c>
      <c r="M17" s="9" t="n">
        <f aca="false">IF(AND(ISNUMBER(B17),ISNUMBER(L17),N(L17)&gt;0),B17/L17-1,"")</f>
        <v>0.0173866090712744</v>
      </c>
    </row>
    <row r="18" customFormat="false" ht="15" hidden="false" customHeight="false" outlineLevel="0" collapsed="false">
      <c r="A18" s="5" t="s">
        <v>87</v>
      </c>
      <c r="B18" s="59" t="n">
        <v>81.02</v>
      </c>
      <c r="C18" s="60" t="n">
        <f aca="false">IF(ISNUMBER(B18),B18,IF(ISNUMBER(E18),E18,IF(ISNUMBER(F18),F18,IF(ISNUMBER(G18),G18,IF(ISNUMBER(H18),H18,IF(ISNUMBER(I18),I18,IF(ISNUMBER(J18),J18,"")))))))</f>
        <v>81.02</v>
      </c>
      <c r="D18" s="61" t="str">
        <f aca="false">IF(ISNUMBER(B18),IF(K18&lt;&gt;"",K18,"Manual override"),IF(ISNUMBER(E18),"Gautam stmt – 23.10",IF(ISNUMBER(F18),"Manish Shilpa stmt – live 23.10",IF(ISNUMBER(G18),"Saloni stmt – 20.10 (stale)",IF(ISNUMBER(H18),"Vidushi stmt – LTP 05.10",IF(ISNUMBER(I18),"Umesh stmt – NSE live 09.10",IF(ISNUMBER(J18),"DA stmt – older (stale)","No price on any statement")))))))</f>
        <v>Close 22.10.2026 (Screener.in)</v>
      </c>
      <c r="E18" s="48" t="n">
        <f aca="false">IFERROR(INDEX(Gautam!$M$7:$M$300,MATCH($A18,Gautam!$B$7:$B$300,0)),"")</f>
        <v>81.2</v>
      </c>
      <c r="F18" s="48" t="n">
        <f aca="false">IFERROR(INDEX('Manish Shilpa'!$M$7:$M$300,MATCH($A18,'Manish Shilpa'!$B$7:$B$300,0)),"")</f>
        <v>77.6406166932483</v>
      </c>
      <c r="G18" s="48" t="str">
        <f aca="false">IFERROR(INDEX('Saloni Mehra'!$M$7:$M$300,MATCH($A18,'Saloni Mehra'!$B$7:$B$300,0)),"")</f>
        <v/>
      </c>
      <c r="H18" s="48" t="n">
        <f aca="false">IFERROR(INDEX('Vidushi Malhotra'!$M$7:$M$300,MATCH($A18,'Vidushi Malhotra'!$B$7:$B$300,0)),"")</f>
        <v>81.801652892562</v>
      </c>
      <c r="I18" s="48" t="n">
        <f aca="false">IFERROR(INDEX('Dr Umesh Choudhry'!$M$7:$M$300,MATCH($A18,'Dr Umesh Choudhry'!$B$7:$B$300,0)),"")</f>
        <v>82.2101910828026</v>
      </c>
      <c r="J18" s="48" t="n">
        <f aca="false">IFERROR(INDEX(DA!$M$7:$M$300,MATCH($A18,DA!$B$7:$B$300,0)),"")</f>
        <v>84</v>
      </c>
      <c r="K18" s="62" t="s">
        <v>182</v>
      </c>
      <c r="L18" s="63" t="n">
        <v>81.17</v>
      </c>
      <c r="M18" s="9" t="n">
        <f aca="false">IF(AND(ISNUMBER(B18),ISNUMBER(L18),N(L18)&gt;0),B18/L18-1,"")</f>
        <v>-0.0018479733891833</v>
      </c>
    </row>
    <row r="19" customFormat="false" ht="15" hidden="false" customHeight="false" outlineLevel="0" collapsed="false">
      <c r="A19" s="5" t="s">
        <v>154</v>
      </c>
      <c r="B19" s="59" t="n">
        <v>1895</v>
      </c>
      <c r="C19" s="60" t="n">
        <f aca="false">IF(ISNUMBER(B19),B19,IF(ISNUMBER(E19),E19,IF(ISNUMBER(F19),F19,IF(ISNUMBER(G19),G19,IF(ISNUMBER(H19),H19,IF(ISNUMBER(I19),I19,IF(ISNUMBER(J19),J19,"")))))))</f>
        <v>1895</v>
      </c>
      <c r="D19" s="61" t="str">
        <f aca="false">IF(ISNUMBER(B19),IF(K19&lt;&gt;"",K19,"Manual override"),IF(ISNUMBER(E19),"Gautam stmt – 23.10",IF(ISNUMBER(F19),"Manish Shilpa stmt – live 23.10",IF(ISNUMBER(G19),"Saloni stmt – 20.10 (stale)",IF(ISNUMBER(H19),"Vidushi stmt – LTP 05.10",IF(ISNUMBER(I19),"Umesh stmt – NSE live 09.10",IF(ISNUMBER(J19),"DA stmt – older (stale)","No price on any statement")))))))</f>
        <v>Close 22.10.2026 (Screener.in)</v>
      </c>
      <c r="E19" s="48" t="n">
        <f aca="false">IFERROR(INDEX(Gautam!$M$7:$M$300,MATCH($A19,Gautam!$B$7:$B$300,0)),"")</f>
        <v>1895</v>
      </c>
      <c r="F19" s="48" t="str">
        <f aca="false">IFERROR(INDEX('Manish Shilpa'!$M$7:$M$300,MATCH($A19,'Manish Shilpa'!$B$7:$B$300,0)),"")</f>
        <v/>
      </c>
      <c r="G19" s="48" t="str">
        <f aca="false">IFERROR(INDEX('Saloni Mehra'!$M$7:$M$300,MATCH($A19,'Saloni Mehra'!$B$7:$B$300,0)),"")</f>
        <v/>
      </c>
      <c r="H19" s="48" t="str">
        <f aca="false">IFERROR(INDEX('Vidushi Malhotra'!$M$7:$M$300,MATCH($A19,'Vidushi Malhotra'!$B$7:$B$300,0)),"")</f>
        <v/>
      </c>
      <c r="I19" s="48" t="str">
        <f aca="false">IFERROR(INDEX('Dr Umesh Choudhry'!$M$7:$M$300,MATCH($A19,'Dr Umesh Choudhry'!$B$7:$B$300,0)),"")</f>
        <v/>
      </c>
      <c r="J19" s="48" t="str">
        <f aca="false">IFERROR(INDEX(DA!$M$7:$M$300,MATCH($A19,DA!$B$7:$B$300,0)),"")</f>
        <v/>
      </c>
      <c r="K19" s="62" t="s">
        <v>182</v>
      </c>
      <c r="L19" s="63" t="n">
        <v>1891.7</v>
      </c>
      <c r="M19" s="9" t="n">
        <f aca="false">IF(AND(ISNUMBER(B19),ISNUMBER(L19),N(L19)&gt;0),B19/L19-1,"")</f>
        <v>0.00174446265264039</v>
      </c>
    </row>
    <row r="20" customFormat="false" ht="15" hidden="false" customHeight="false" outlineLevel="0" collapsed="false">
      <c r="A20" s="5" t="s">
        <v>134</v>
      </c>
      <c r="B20" s="59" t="n">
        <v>557.1</v>
      </c>
      <c r="C20" s="60" t="n">
        <f aca="false">IF(ISNUMBER(B20),B20,IF(ISNUMBER(E20),E20,IF(ISNUMBER(F20),F20,IF(ISNUMBER(G20),G20,IF(ISNUMBER(H20),H20,IF(ISNUMBER(I20),I20,IF(ISNUMBER(J20),J20,"")))))))</f>
        <v>557.1</v>
      </c>
      <c r="D20" s="61" t="str">
        <f aca="false">IF(ISNUMBER(B20),IF(K20&lt;&gt;"",K20,"Manual override"),IF(ISNUMBER(E20),"Gautam stmt – 23.10",IF(ISNUMBER(F20),"Manish Shilpa stmt – live 23.10",IF(ISNUMBER(G20),"Saloni stmt – 20.10 (stale)",IF(ISNUMBER(H20),"Vidushi stmt – LTP 05.10",IF(ISNUMBER(I20),"Umesh stmt – NSE live 09.10",IF(ISNUMBER(J20),"DA stmt – older (stale)","No price on any statement")))))))</f>
        <v>Close 22.10.2026 (Screener.in)</v>
      </c>
      <c r="E20" s="48" t="str">
        <f aca="false">IFERROR(INDEX(Gautam!$M$7:$M$300,MATCH($A20,Gautam!$B$7:$B$300,0)),"")</f>
        <v/>
      </c>
      <c r="F20" s="48" t="str">
        <f aca="false">IFERROR(INDEX('Manish Shilpa'!$M$7:$M$300,MATCH($A20,'Manish Shilpa'!$B$7:$B$300,0)),"")</f>
        <v/>
      </c>
      <c r="G20" s="48" t="str">
        <f aca="false">IFERROR(INDEX('Saloni Mehra'!$M$7:$M$300,MATCH($A20,'Saloni Mehra'!$B$7:$B$300,0)),"")</f>
        <v/>
      </c>
      <c r="H20" s="48" t="str">
        <f aca="false">IFERROR(INDEX('Vidushi Malhotra'!$M$7:$M$300,MATCH($A20,'Vidushi Malhotra'!$B$7:$B$300,0)),"")</f>
        <v/>
      </c>
      <c r="I20" s="48" t="str">
        <f aca="false">IFERROR(INDEX('Dr Umesh Choudhry'!$M$7:$M$300,MATCH($A20,'Dr Umesh Choudhry'!$B$7:$B$300,0)),"")</f>
        <v/>
      </c>
      <c r="J20" s="48" t="n">
        <f aca="false">IFERROR(INDEX(DA!$M$7:$M$300,MATCH($A20,DA!$B$7:$B$300,0)),"")</f>
        <v>639</v>
      </c>
      <c r="K20" s="62" t="s">
        <v>182</v>
      </c>
      <c r="L20" s="63" t="n">
        <v>570.2</v>
      </c>
      <c r="M20" s="9" t="n">
        <f aca="false">IF(AND(ISNUMBER(B20),ISNUMBER(L20),N(L20)&gt;0),B20/L20-1,"")</f>
        <v>-0.0229743949491407</v>
      </c>
    </row>
    <row r="21" customFormat="false" ht="15" hidden="false" customHeight="false" outlineLevel="0" collapsed="false">
      <c r="A21" s="5" t="s">
        <v>120</v>
      </c>
      <c r="B21" s="59" t="n">
        <v>154.93</v>
      </c>
      <c r="C21" s="60" t="n">
        <f aca="false">IF(ISNUMBER(B21),B21,IF(ISNUMBER(E21),E21,IF(ISNUMBER(F21),F21,IF(ISNUMBER(G21),G21,IF(ISNUMBER(H21),H21,IF(ISNUMBER(I21),I21,IF(ISNUMBER(J21),J21,"")))))))</f>
        <v>154.93</v>
      </c>
      <c r="D21" s="61" t="str">
        <f aca="false">IF(ISNUMBER(B21),IF(K21&lt;&gt;"",K21,"Manual override"),IF(ISNUMBER(E21),"Gautam stmt – 23.10",IF(ISNUMBER(F21),"Manish Shilpa stmt – live 23.10",IF(ISNUMBER(G21),"Saloni stmt – 20.10 (stale)",IF(ISNUMBER(H21),"Vidushi stmt – LTP 05.10",IF(ISNUMBER(I21),"Umesh stmt – NSE live 09.10",IF(ISNUMBER(J21),"DA stmt – older (stale)","No price on any statement")))))))</f>
        <v>Close 22.10.2026 (Screener.in)</v>
      </c>
      <c r="E21" s="48" t="str">
        <f aca="false">IFERROR(INDEX(Gautam!$M$7:$M$300,MATCH($A21,Gautam!$B$7:$B$300,0)),"")</f>
        <v/>
      </c>
      <c r="F21" s="48" t="str">
        <f aca="false">IFERROR(INDEX('Manish Shilpa'!$M$7:$M$300,MATCH($A21,'Manish Shilpa'!$B$7:$B$300,0)),"")</f>
        <v/>
      </c>
      <c r="G21" s="48" t="str">
        <f aca="false">IFERROR(INDEX('Saloni Mehra'!$M$7:$M$300,MATCH($A21,'Saloni Mehra'!$B$7:$B$300,0)),"")</f>
        <v/>
      </c>
      <c r="H21" s="48" t="str">
        <f aca="false">IFERROR(INDEX('Vidushi Malhotra'!$M$7:$M$300,MATCH($A21,'Vidushi Malhotra'!$B$7:$B$300,0)),"")</f>
        <v/>
      </c>
      <c r="I21" s="48" t="str">
        <f aca="false">IFERROR(INDEX('Dr Umesh Choudhry'!$M$7:$M$300,MATCH($A21,'Dr Umesh Choudhry'!$B$7:$B$300,0)),"")</f>
        <v/>
      </c>
      <c r="J21" s="48" t="n">
        <f aca="false">IFERROR(INDEX(DA!$M$7:$M$300,MATCH($A21,DA!$B$7:$B$300,0)),"")</f>
        <v>192</v>
      </c>
      <c r="K21" s="62" t="s">
        <v>182</v>
      </c>
      <c r="L21" s="63" t="n">
        <v>161.42</v>
      </c>
      <c r="M21" s="9" t="n">
        <f aca="false">IF(AND(ISNUMBER(B21),ISNUMBER(L21),N(L21)&gt;0),B21/L21-1,"")</f>
        <v>-0.0402056746375913</v>
      </c>
    </row>
    <row r="22" customFormat="false" ht="15" hidden="false" customHeight="false" outlineLevel="0" collapsed="false">
      <c r="A22" s="5" t="s">
        <v>119</v>
      </c>
      <c r="B22" s="59" t="n">
        <v>1</v>
      </c>
      <c r="C22" s="60" t="n">
        <f aca="false">IF(ISNUMBER(B22),B22,IF(ISNUMBER(E22),E22,IF(ISNUMBER(F22),F22,IF(ISNUMBER(G22),G22,IF(ISNUMBER(H22),H22,IF(ISNUMBER(I22),I22,IF(ISNUMBER(J22),J22,"")))))))</f>
        <v>1</v>
      </c>
      <c r="D22" s="61" t="str">
        <f aca="false">IF(ISNUMBER(B22),IF(K22&lt;&gt;"",K22,"Manual override"),IF(ISNUMBER(E22),"Gautam stmt – 23.10",IF(ISNUMBER(F22),"Manish Shilpa stmt – live 23.10",IF(ISNUMBER(G22),"Saloni stmt – 20.10 (stale)",IF(ISNUMBER(H22),"Vidushi stmt – LTP 05.10",IF(ISNUMBER(I22),"Umesh stmt – NSE live 09.10",IF(ISNUMBER(J22),"DA stmt – older (stale)","No price on any statement")))))))</f>
        <v>Cash at par (₹1)</v>
      </c>
      <c r="E22" s="48" t="str">
        <f aca="false">IFERROR(INDEX(Gautam!$M$7:$M$300,MATCH($A22,Gautam!$B$7:$B$300,0)),"")</f>
        <v/>
      </c>
      <c r="F22" s="48" t="str">
        <f aca="false">IFERROR(INDEX('Manish Shilpa'!$M$7:$M$300,MATCH($A22,'Manish Shilpa'!$B$7:$B$300,0)),"")</f>
        <v/>
      </c>
      <c r="G22" s="48" t="str">
        <f aca="false">IFERROR(INDEX('Saloni Mehra'!$M$7:$M$300,MATCH($A22,'Saloni Mehra'!$B$7:$B$300,0)),"")</f>
        <v/>
      </c>
      <c r="H22" s="48" t="str">
        <f aca="false">IFERROR(INDEX('Vidushi Malhotra'!$M$7:$M$300,MATCH($A22,'Vidushi Malhotra'!$B$7:$B$300,0)),"")</f>
        <v/>
      </c>
      <c r="I22" s="48" t="n">
        <f aca="false">IFERROR(INDEX('Dr Umesh Choudhry'!$M$7:$M$300,MATCH($A22,'Dr Umesh Choudhry'!$B$7:$B$300,0)),"")</f>
        <v>1</v>
      </c>
      <c r="J22" s="48" t="str">
        <f aca="false">IFERROR(INDEX(DA!$M$7:$M$300,MATCH($A22,DA!$B$7:$B$300,0)),"")</f>
        <v/>
      </c>
      <c r="K22" s="62" t="s">
        <v>183</v>
      </c>
      <c r="L22" s="63"/>
      <c r="M22" s="9" t="str">
        <f aca="false">IF(AND(ISNUMBER(B22),ISNUMBER(L22),N(L22)&gt;0),B22/L22-1,"")</f>
        <v/>
      </c>
    </row>
    <row r="23" customFormat="false" ht="15" hidden="false" customHeight="false" outlineLevel="0" collapsed="false">
      <c r="A23" s="5" t="s">
        <v>103</v>
      </c>
      <c r="B23" s="59" t="n">
        <v>1225</v>
      </c>
      <c r="C23" s="60" t="n">
        <f aca="false">IF(ISNUMBER(B23),B23,IF(ISNUMBER(E23),E23,IF(ISNUMBER(F23),F23,IF(ISNUMBER(G23),G23,IF(ISNUMBER(H23),H23,IF(ISNUMBER(I23),I23,IF(ISNUMBER(J23),J23,"")))))))</f>
        <v>1225</v>
      </c>
      <c r="D23" s="61" t="str">
        <f aca="false">IF(ISNUMBER(B23),IF(K23&lt;&gt;"",K23,"Manual override"),IF(ISNUMBER(E23),"Gautam stmt – 23.10",IF(ISNUMBER(F23),"Manish Shilpa stmt – live 23.10",IF(ISNUMBER(G23),"Saloni stmt – 20.10 (stale)",IF(ISNUMBER(H23),"Vidushi stmt – LTP 05.10",IF(ISNUMBER(I23),"Umesh stmt – NSE live 09.10",IF(ISNUMBER(J23),"DA stmt – older (stale)","No price on any statement")))))))</f>
        <v>Close 22.10.2026 (Screener.in)</v>
      </c>
      <c r="E23" s="48" t="str">
        <f aca="false">IFERROR(INDEX(Gautam!$M$7:$M$300,MATCH($A23,Gautam!$B$7:$B$300,0)),"")</f>
        <v/>
      </c>
      <c r="F23" s="48" t="n">
        <f aca="false">IFERROR(INDEX('Manish Shilpa'!$M$7:$M$300,MATCH($A23,'Manish Shilpa'!$B$7:$B$300,0)),"")</f>
        <v>1183.90298507463</v>
      </c>
      <c r="G23" s="48" t="str">
        <f aca="false">IFERROR(INDEX('Saloni Mehra'!$M$7:$M$300,MATCH($A23,'Saloni Mehra'!$B$7:$B$300,0)),"")</f>
        <v/>
      </c>
      <c r="H23" s="48" t="str">
        <f aca="false">IFERROR(INDEX('Vidushi Malhotra'!$M$7:$M$300,MATCH($A23,'Vidushi Malhotra'!$B$7:$B$300,0)),"")</f>
        <v/>
      </c>
      <c r="I23" s="48" t="str">
        <f aca="false">IFERROR(INDEX('Dr Umesh Choudhry'!$M$7:$M$300,MATCH($A23,'Dr Umesh Choudhry'!$B$7:$B$300,0)),"")</f>
        <v/>
      </c>
      <c r="J23" s="48" t="str">
        <f aca="false">IFERROR(INDEX(DA!$M$7:$M$300,MATCH($A23,DA!$B$7:$B$300,0)),"")</f>
        <v/>
      </c>
      <c r="K23" s="62" t="s">
        <v>182</v>
      </c>
      <c r="L23" s="63" t="n">
        <v>1237.2</v>
      </c>
      <c r="M23" s="9" t="n">
        <f aca="false">IF(AND(ISNUMBER(B23),ISNUMBER(L23),N(L23)&gt;0),B23/L23-1,"")</f>
        <v>-0.00986097639831884</v>
      </c>
    </row>
    <row r="24" customFormat="false" ht="15" hidden="false" customHeight="false" outlineLevel="0" collapsed="false">
      <c r="A24" s="5" t="s">
        <v>151</v>
      </c>
      <c r="B24" s="59" t="n">
        <v>748.05</v>
      </c>
      <c r="C24" s="60" t="n">
        <f aca="false">IF(ISNUMBER(B24),B24,IF(ISNUMBER(E24),E24,IF(ISNUMBER(F24),F24,IF(ISNUMBER(G24),G24,IF(ISNUMBER(H24),H24,IF(ISNUMBER(I24),I24,IF(ISNUMBER(J24),J24,"")))))))</f>
        <v>748.05</v>
      </c>
      <c r="D24" s="61" t="str">
        <f aca="false">IF(ISNUMBER(B24),IF(K24&lt;&gt;"",K24,"Manual override"),IF(ISNUMBER(E24),"Gautam stmt – 23.10",IF(ISNUMBER(F24),"Manish Shilpa stmt – live 23.10",IF(ISNUMBER(G24),"Saloni stmt – 20.10 (stale)",IF(ISNUMBER(H24),"Vidushi stmt – LTP 05.10",IF(ISNUMBER(I24),"Umesh stmt – NSE live 09.10",IF(ISNUMBER(J24),"DA stmt – older (stale)","No price on any statement")))))))</f>
        <v>Close 22.10.2026 (Screener.in)</v>
      </c>
      <c r="E24" s="48" t="str">
        <f aca="false">IFERROR(INDEX(Gautam!$M$7:$M$300,MATCH($A24,Gautam!$B$7:$B$300,0)),"")</f>
        <v/>
      </c>
      <c r="F24" s="48" t="n">
        <f aca="false">IFERROR(INDEX('Manish Shilpa'!$M$7:$M$300,MATCH($A24,'Manish Shilpa'!$B$7:$B$300,0)),"")</f>
        <v>726.285714285714</v>
      </c>
      <c r="G24" s="48" t="str">
        <f aca="false">IFERROR(INDEX('Saloni Mehra'!$M$7:$M$300,MATCH($A24,'Saloni Mehra'!$B$7:$B$300,0)),"")</f>
        <v/>
      </c>
      <c r="H24" s="48" t="str">
        <f aca="false">IFERROR(INDEX('Vidushi Malhotra'!$M$7:$M$300,MATCH($A24,'Vidushi Malhotra'!$B$7:$B$300,0)),"")</f>
        <v/>
      </c>
      <c r="I24" s="48" t="str">
        <f aca="false">IFERROR(INDEX('Dr Umesh Choudhry'!$M$7:$M$300,MATCH($A24,'Dr Umesh Choudhry'!$B$7:$B$300,0)),"")</f>
        <v/>
      </c>
      <c r="J24" s="48" t="str">
        <f aca="false">IFERROR(INDEX(DA!$M$7:$M$300,MATCH($A24,DA!$B$7:$B$300,0)),"")</f>
        <v/>
      </c>
      <c r="K24" s="62" t="s">
        <v>182</v>
      </c>
      <c r="L24" s="63" t="n">
        <v>741.1</v>
      </c>
      <c r="M24" s="9" t="n">
        <f aca="false">IF(AND(ISNUMBER(B24),ISNUMBER(L24),N(L24)&gt;0),B24/L24-1,"")</f>
        <v>0.0093779516934287</v>
      </c>
    </row>
    <row r="25" customFormat="false" ht="15" hidden="false" customHeight="false" outlineLevel="0" collapsed="false">
      <c r="A25" s="5" t="s">
        <v>88</v>
      </c>
      <c r="B25" s="59" t="n">
        <v>234.25</v>
      </c>
      <c r="C25" s="60" t="n">
        <f aca="false">IF(ISNUMBER(B25),B25,IF(ISNUMBER(E25),E25,IF(ISNUMBER(F25),F25,IF(ISNUMBER(G25),G25,IF(ISNUMBER(H25),H25,IF(ISNUMBER(I25),I25,IF(ISNUMBER(J25),J25,"")))))))</f>
        <v>234.25</v>
      </c>
      <c r="D25" s="61" t="str">
        <f aca="false">IF(ISNUMBER(B25),IF(K25&lt;&gt;"",K25,"Manual override"),IF(ISNUMBER(E25),"Gautam stmt – 23.10",IF(ISNUMBER(F25),"Manish Shilpa stmt – live 23.10",IF(ISNUMBER(G25),"Saloni stmt – 20.10 (stale)",IF(ISNUMBER(H25),"Vidushi stmt – LTP 05.10",IF(ISNUMBER(I25),"Umesh stmt – NSE live 09.10",IF(ISNUMBER(J25),"DA stmt – older (stale)","No price on any statement")))))))</f>
        <v>Close 22.10.2026 (Screener.in)</v>
      </c>
      <c r="E25" s="48" t="n">
        <f aca="false">IFERROR(INDEX(Gautam!$M$7:$M$300,MATCH($A25,Gautam!$B$7:$B$300,0)),"")</f>
        <v>240</v>
      </c>
      <c r="F25" s="48" t="n">
        <f aca="false">IFERROR(INDEX('Manish Shilpa'!$M$7:$M$300,MATCH($A25,'Manish Shilpa'!$B$7:$B$300,0)),"")</f>
        <v>219</v>
      </c>
      <c r="G25" s="48" t="n">
        <f aca="false">IFERROR(INDEX('Saloni Mehra'!$M$7:$M$300,MATCH($A25,'Saloni Mehra'!$B$7:$B$300,0)),"")</f>
        <v>248</v>
      </c>
      <c r="H25" s="48" t="str">
        <f aca="false">IFERROR(INDEX('Vidushi Malhotra'!$M$7:$M$300,MATCH($A25,'Vidushi Malhotra'!$B$7:$B$300,0)),"")</f>
        <v/>
      </c>
      <c r="I25" s="48" t="n">
        <f aca="false">IFERROR(INDEX('Dr Umesh Choudhry'!$M$7:$M$300,MATCH($A25,'Dr Umesh Choudhry'!$B$7:$B$300,0)),"")</f>
        <v>245</v>
      </c>
      <c r="J25" s="48" t="n">
        <f aca="false">IFERROR(INDEX(DA!$M$7:$M$300,MATCH($A25,DA!$B$7:$B$300,0)),"")</f>
        <v>265</v>
      </c>
      <c r="K25" s="62" t="s">
        <v>182</v>
      </c>
      <c r="L25" s="63" t="n">
        <v>239.7</v>
      </c>
      <c r="M25" s="9" t="n">
        <f aca="false">IF(AND(ISNUMBER(B25),ISNUMBER(L25),N(L25)&gt;0),B25/L25-1,"")</f>
        <v>-0.0227367542761785</v>
      </c>
    </row>
    <row r="26" customFormat="false" ht="15" hidden="false" customHeight="false" outlineLevel="0" collapsed="false">
      <c r="A26" s="5" t="s">
        <v>153</v>
      </c>
      <c r="B26" s="59" t="n">
        <v>1143.7</v>
      </c>
      <c r="C26" s="60" t="n">
        <f aca="false">IF(ISNUMBER(B26),B26,IF(ISNUMBER(E26),E26,IF(ISNUMBER(F26),F26,IF(ISNUMBER(G26),G26,IF(ISNUMBER(H26),H26,IF(ISNUMBER(I26),I26,IF(ISNUMBER(J26),J26,"")))))))</f>
        <v>1143.7</v>
      </c>
      <c r="D26" s="61" t="str">
        <f aca="false">IF(ISNUMBER(B26),IF(K26&lt;&gt;"",K26,"Manual override"),IF(ISNUMBER(E26),"Gautam stmt – 23.10",IF(ISNUMBER(F26),"Manish Shilpa stmt – live 23.10",IF(ISNUMBER(G26),"Saloni stmt – 20.10 (stale)",IF(ISNUMBER(H26),"Vidushi stmt – LTP 05.10",IF(ISNUMBER(I26),"Umesh stmt – NSE live 09.10",IF(ISNUMBER(J26),"DA stmt – older (stale)","No price on any statement")))))))</f>
        <v>Close 22.10.2026 (Screener.in)</v>
      </c>
      <c r="E26" s="48" t="str">
        <f aca="false">IFERROR(INDEX(Gautam!$M$7:$M$300,MATCH($A26,Gautam!$B$7:$B$300,0)),"")</f>
        <v/>
      </c>
      <c r="F26" s="48" t="str">
        <f aca="false">IFERROR(INDEX('Manish Shilpa'!$M$7:$M$300,MATCH($A26,'Manish Shilpa'!$B$7:$B$300,0)),"")</f>
        <v/>
      </c>
      <c r="G26" s="48" t="str">
        <f aca="false">IFERROR(INDEX('Saloni Mehra'!$M$7:$M$300,MATCH($A26,'Saloni Mehra'!$B$7:$B$300,0)),"")</f>
        <v/>
      </c>
      <c r="H26" s="48" t="str">
        <f aca="false">IFERROR(INDEX('Vidushi Malhotra'!$M$7:$M$300,MATCH($A26,'Vidushi Malhotra'!$B$7:$B$300,0)),"")</f>
        <v/>
      </c>
      <c r="I26" s="48" t="str">
        <f aca="false">IFERROR(INDEX('Dr Umesh Choudhry'!$M$7:$M$300,MATCH($A26,'Dr Umesh Choudhry'!$B$7:$B$300,0)),"")</f>
        <v/>
      </c>
      <c r="J26" s="48" t="n">
        <f aca="false">IFERROR(INDEX(DA!$M$7:$M$300,MATCH($A26,DA!$B$7:$B$300,0)),"")</f>
        <v>1059</v>
      </c>
      <c r="K26" s="62" t="s">
        <v>182</v>
      </c>
      <c r="L26" s="63" t="n">
        <v>1169.7</v>
      </c>
      <c r="M26" s="9" t="n">
        <f aca="false">IF(AND(ISNUMBER(B26),ISNUMBER(L26),N(L26)&gt;0),B26/L26-1,"")</f>
        <v>-0.0222279216893221</v>
      </c>
    </row>
    <row r="27" customFormat="false" ht="15" hidden="false" customHeight="false" outlineLevel="0" collapsed="false">
      <c r="A27" s="5" t="s">
        <v>163</v>
      </c>
      <c r="B27" s="59" t="n">
        <v>1487.4</v>
      </c>
      <c r="C27" s="60" t="n">
        <f aca="false">IF(ISNUMBER(B27),B27,IF(ISNUMBER(E27),E27,IF(ISNUMBER(F27),F27,IF(ISNUMBER(G27),G27,IF(ISNUMBER(H27),H27,IF(ISNUMBER(I27),I27,IF(ISNUMBER(J27),J27,"")))))))</f>
        <v>1487.4</v>
      </c>
      <c r="D27" s="61" t="str">
        <f aca="false">IF(ISNUMBER(B27),IF(K27&lt;&gt;"",K27,"Manual override"),IF(ISNUMBER(E27),"Gautam stmt – 23.10",IF(ISNUMBER(F27),"Manish Shilpa stmt – live 23.10",IF(ISNUMBER(G27),"Saloni stmt – 20.10 (stale)",IF(ISNUMBER(H27),"Vidushi stmt – LTP 05.10",IF(ISNUMBER(I27),"Umesh stmt – NSE live 09.10",IF(ISNUMBER(J27),"DA stmt – older (stale)","No price on any statement")))))))</f>
        <v>Close 22.10.2026 (Screener.in)</v>
      </c>
      <c r="E27" s="48" t="str">
        <f aca="false">IFERROR(INDEX(Gautam!$M$7:$M$300,MATCH($A27,Gautam!$B$7:$B$300,0)),"")</f>
        <v/>
      </c>
      <c r="F27" s="48" t="n">
        <f aca="false">IFERROR(INDEX('Manish Shilpa'!$M$7:$M$300,MATCH($A27,'Manish Shilpa'!$B$7:$B$300,0)),"")</f>
        <v>1427</v>
      </c>
      <c r="G27" s="48" t="str">
        <f aca="false">IFERROR(INDEX('Saloni Mehra'!$M$7:$M$300,MATCH($A27,'Saloni Mehra'!$B$7:$B$300,0)),"")</f>
        <v/>
      </c>
      <c r="H27" s="48" t="str">
        <f aca="false">IFERROR(INDEX('Vidushi Malhotra'!$M$7:$M$300,MATCH($A27,'Vidushi Malhotra'!$B$7:$B$300,0)),"")</f>
        <v/>
      </c>
      <c r="I27" s="48" t="str">
        <f aca="false">IFERROR(INDEX('Dr Umesh Choudhry'!$M$7:$M$300,MATCH($A27,'Dr Umesh Choudhry'!$B$7:$B$300,0)),"")</f>
        <v/>
      </c>
      <c r="J27" s="48" t="str">
        <f aca="false">IFERROR(INDEX(DA!$M$7:$M$300,MATCH($A27,DA!$B$7:$B$300,0)),"")</f>
        <v/>
      </c>
      <c r="K27" s="62" t="s">
        <v>182</v>
      </c>
      <c r="L27" s="63" t="n">
        <v>1506.2</v>
      </c>
      <c r="M27" s="9" t="n">
        <f aca="false">IF(AND(ISNUMBER(B27),ISNUMBER(L27),N(L27)&gt;0),B27/L27-1,"")</f>
        <v>-0.0124817421325188</v>
      </c>
    </row>
    <row r="28" customFormat="false" ht="15" hidden="false" customHeight="false" outlineLevel="0" collapsed="false">
      <c r="A28" s="5" t="s">
        <v>109</v>
      </c>
      <c r="B28" s="59" t="n">
        <v>1843.7</v>
      </c>
      <c r="C28" s="60" t="n">
        <f aca="false">IF(ISNUMBER(B28),B28,IF(ISNUMBER(E28),E28,IF(ISNUMBER(F28),F28,IF(ISNUMBER(G28),G28,IF(ISNUMBER(H28),H28,IF(ISNUMBER(I28),I28,IF(ISNUMBER(J28),J28,"")))))))</f>
        <v>1843.7</v>
      </c>
      <c r="D28" s="61" t="str">
        <f aca="false">IF(ISNUMBER(B28),IF(K28&lt;&gt;"",K28,"Manual override"),IF(ISNUMBER(E28),"Gautam stmt – 23.10",IF(ISNUMBER(F28),"Manish Shilpa stmt – live 23.10",IF(ISNUMBER(G28),"Saloni stmt – 20.10 (stale)",IF(ISNUMBER(H28),"Vidushi stmt – LTP 05.10",IF(ISNUMBER(I28),"Umesh stmt – NSE live 09.10",IF(ISNUMBER(J28),"DA stmt – older (stale)","No price on any statement")))))))</f>
        <v>Close 22.10.2026 (Screener.in)</v>
      </c>
      <c r="E28" s="48" t="str">
        <f aca="false">IFERROR(INDEX(Gautam!$M$7:$M$300,MATCH($A28,Gautam!$B$7:$B$300,0)),"")</f>
        <v/>
      </c>
      <c r="F28" s="48" t="n">
        <f aca="false">IFERROR(INDEX('Manish Shilpa'!$M$7:$M$300,MATCH($A28,'Manish Shilpa'!$B$7:$B$300,0)),"")</f>
        <v>1825.29545454545</v>
      </c>
      <c r="G28" s="48" t="str">
        <f aca="false">IFERROR(INDEX('Saloni Mehra'!$M$7:$M$300,MATCH($A28,'Saloni Mehra'!$B$7:$B$300,0)),"")</f>
        <v/>
      </c>
      <c r="H28" s="48" t="str">
        <f aca="false">IFERROR(INDEX('Vidushi Malhotra'!$M$7:$M$300,MATCH($A28,'Vidushi Malhotra'!$B$7:$B$300,0)),"")</f>
        <v/>
      </c>
      <c r="I28" s="48" t="str">
        <f aca="false">IFERROR(INDEX('Dr Umesh Choudhry'!$M$7:$M$300,MATCH($A28,'Dr Umesh Choudhry'!$B$7:$B$300,0)),"")</f>
        <v/>
      </c>
      <c r="J28" s="48" t="str">
        <f aca="false">IFERROR(INDEX(DA!$M$7:$M$300,MATCH($A28,DA!$B$7:$B$300,0)),"")</f>
        <v/>
      </c>
      <c r="K28" s="62" t="s">
        <v>182</v>
      </c>
      <c r="L28" s="63" t="n">
        <v>1836.1</v>
      </c>
      <c r="M28" s="9" t="n">
        <f aca="false">IF(AND(ISNUMBER(B28),ISNUMBER(L28),N(L28)&gt;0),B28/L28-1,"")</f>
        <v>0.00413920810413382</v>
      </c>
    </row>
    <row r="29" customFormat="false" ht="15" hidden="false" customHeight="false" outlineLevel="0" collapsed="false">
      <c r="A29" s="5" t="s">
        <v>97</v>
      </c>
      <c r="B29" s="59" t="n">
        <v>7084.5</v>
      </c>
      <c r="C29" s="60" t="n">
        <f aca="false">IF(ISNUMBER(B29),B29,IF(ISNUMBER(E29),E29,IF(ISNUMBER(F29),F29,IF(ISNUMBER(G29),G29,IF(ISNUMBER(H29),H29,IF(ISNUMBER(I29),I29,IF(ISNUMBER(J29),J29,"")))))))</f>
        <v>7084.5</v>
      </c>
      <c r="D29" s="61" t="str">
        <f aca="false">IF(ISNUMBER(B29),IF(K29&lt;&gt;"",K29,"Manual override"),IF(ISNUMBER(E29),"Gautam stmt – 23.10",IF(ISNUMBER(F29),"Manish Shilpa stmt – live 23.10",IF(ISNUMBER(G29),"Saloni stmt – 20.10 (stale)",IF(ISNUMBER(H29),"Vidushi stmt – LTP 05.10",IF(ISNUMBER(I29),"Umesh stmt – NSE live 09.10",IF(ISNUMBER(J29),"DA stmt – older (stale)","No price on any statement")))))))</f>
        <v>Close 22.10.2026 (Screener.in)</v>
      </c>
      <c r="E29" s="48" t="n">
        <f aca="false">IFERROR(INDEX(Gautam!$M$7:$M$300,MATCH($A29,Gautam!$B$7:$B$300,0)),"")</f>
        <v>7084</v>
      </c>
      <c r="F29" s="48" t="n">
        <f aca="false">IFERROR(INDEX('Manish Shilpa'!$M$7:$M$300,MATCH($A29,'Manish Shilpa'!$B$7:$B$300,0)),"")</f>
        <v>6960</v>
      </c>
      <c r="G29" s="48" t="str">
        <f aca="false">IFERROR(INDEX('Saloni Mehra'!$M$7:$M$300,MATCH($A29,'Saloni Mehra'!$B$7:$B$300,0)),"")</f>
        <v/>
      </c>
      <c r="H29" s="48" t="str">
        <f aca="false">IFERROR(INDEX('Vidushi Malhotra'!$M$7:$M$300,MATCH($A29,'Vidushi Malhotra'!$B$7:$B$300,0)),"")</f>
        <v/>
      </c>
      <c r="I29" s="48" t="n">
        <f aca="false">IFERROR(INDEX('Dr Umesh Choudhry'!$M$7:$M$300,MATCH($A29,'Dr Umesh Choudhry'!$B$7:$B$300,0)),"")</f>
        <v>6935</v>
      </c>
      <c r="J29" s="48" t="n">
        <f aca="false">IFERROR(INDEX(DA!$M$7:$M$300,MATCH($A29,DA!$B$7:$B$300,0)),"")</f>
        <v>7530</v>
      </c>
      <c r="K29" s="62" t="s">
        <v>182</v>
      </c>
      <c r="L29" s="63" t="n">
        <v>7170.5</v>
      </c>
      <c r="M29" s="9" t="n">
        <f aca="false">IF(AND(ISNUMBER(B29),ISNUMBER(L29),N(L29)&gt;0),B29/L29-1,"")</f>
        <v>-0.0119935848267206</v>
      </c>
    </row>
    <row r="30" customFormat="false" ht="15" hidden="false" customHeight="false" outlineLevel="0" collapsed="false">
      <c r="A30" s="5" t="s">
        <v>152</v>
      </c>
      <c r="B30" s="59" t="n">
        <v>304.45</v>
      </c>
      <c r="C30" s="60" t="n">
        <f aca="false">IF(ISNUMBER(B30),B30,IF(ISNUMBER(E30),E30,IF(ISNUMBER(F30),F30,IF(ISNUMBER(G30),G30,IF(ISNUMBER(H30),H30,IF(ISNUMBER(I30),I30,IF(ISNUMBER(J30),J30,"")))))))</f>
        <v>304.45</v>
      </c>
      <c r="D30" s="61" t="str">
        <f aca="false">IF(ISNUMBER(B30),IF(K30&lt;&gt;"",K30,"Manual override"),IF(ISNUMBER(E30),"Gautam stmt – 23.10",IF(ISNUMBER(F30),"Manish Shilpa stmt – live 23.10",IF(ISNUMBER(G30),"Saloni stmt – 20.10 (stale)",IF(ISNUMBER(H30),"Vidushi stmt – LTP 05.10",IF(ISNUMBER(I30),"Umesh stmt – NSE live 09.10",IF(ISNUMBER(J30),"DA stmt – older (stale)","No price on any statement")))))))</f>
        <v>Close 22.10.2026 (Screener.in)</v>
      </c>
      <c r="E30" s="48" t="str">
        <f aca="false">IFERROR(INDEX(Gautam!$M$7:$M$300,MATCH($A30,Gautam!$B$7:$B$300,0)),"")</f>
        <v/>
      </c>
      <c r="F30" s="48" t="n">
        <f aca="false">IFERROR(INDEX('Manish Shilpa'!$M$7:$M$300,MATCH($A30,'Manish Shilpa'!$B$7:$B$300,0)),"")</f>
        <v>306.205882352941</v>
      </c>
      <c r="G30" s="48" t="str">
        <f aca="false">IFERROR(INDEX('Saloni Mehra'!$M$7:$M$300,MATCH($A30,'Saloni Mehra'!$B$7:$B$300,0)),"")</f>
        <v/>
      </c>
      <c r="H30" s="48" t="str">
        <f aca="false">IFERROR(INDEX('Vidushi Malhotra'!$M$7:$M$300,MATCH($A30,'Vidushi Malhotra'!$B$7:$B$300,0)),"")</f>
        <v/>
      </c>
      <c r="I30" s="48" t="str">
        <f aca="false">IFERROR(INDEX('Dr Umesh Choudhry'!$M$7:$M$300,MATCH($A30,'Dr Umesh Choudhry'!$B$7:$B$300,0)),"")</f>
        <v/>
      </c>
      <c r="J30" s="48" t="str">
        <f aca="false">IFERROR(INDEX(DA!$M$7:$M$300,MATCH($A30,DA!$B$7:$B$300,0)),"")</f>
        <v/>
      </c>
      <c r="K30" s="62" t="s">
        <v>182</v>
      </c>
      <c r="L30" s="63" t="n">
        <v>312.35</v>
      </c>
      <c r="M30" s="9" t="n">
        <f aca="false">IF(AND(ISNUMBER(B30),ISNUMBER(L30),N(L30)&gt;0),B30/L30-1,"")</f>
        <v>-0.0252921402273092</v>
      </c>
    </row>
    <row r="31" customFormat="false" ht="15" hidden="false" customHeight="false" outlineLevel="0" collapsed="false">
      <c r="A31" s="5" t="s">
        <v>150</v>
      </c>
      <c r="B31" s="59" t="n">
        <v>316.8</v>
      </c>
      <c r="C31" s="60" t="n">
        <f aca="false">IF(ISNUMBER(B31),B31,IF(ISNUMBER(E31),E31,IF(ISNUMBER(F31),F31,IF(ISNUMBER(G31),G31,IF(ISNUMBER(H31),H31,IF(ISNUMBER(I31),I31,IF(ISNUMBER(J31),J31,"")))))))</f>
        <v>316.8</v>
      </c>
      <c r="D31" s="61" t="str">
        <f aca="false">IF(ISNUMBER(B31),IF(K31&lt;&gt;"",K31,"Manual override"),IF(ISNUMBER(E31),"Gautam stmt – 23.10",IF(ISNUMBER(F31),"Manish Shilpa stmt – live 23.10",IF(ISNUMBER(G31),"Saloni stmt – 20.10 (stale)",IF(ISNUMBER(H31),"Vidushi stmt – LTP 05.10",IF(ISNUMBER(I31),"Umesh stmt – NSE live 09.10",IF(ISNUMBER(J31),"DA stmt – older (stale)","No price on any statement")))))))</f>
        <v>Close 22.10.2026 (Screener.in)</v>
      </c>
      <c r="E31" s="48" t="str">
        <f aca="false">IFERROR(INDEX(Gautam!$M$7:$M$300,MATCH($A31,Gautam!$B$7:$B$300,0)),"")</f>
        <v/>
      </c>
      <c r="F31" s="48" t="n">
        <f aca="false">IFERROR(INDEX('Manish Shilpa'!$M$7:$M$300,MATCH($A31,'Manish Shilpa'!$B$7:$B$300,0)),"")</f>
        <v>307.057142857143</v>
      </c>
      <c r="G31" s="48" t="str">
        <f aca="false">IFERROR(INDEX('Saloni Mehra'!$M$7:$M$300,MATCH($A31,'Saloni Mehra'!$B$7:$B$300,0)),"")</f>
        <v/>
      </c>
      <c r="H31" s="48" t="str">
        <f aca="false">IFERROR(INDEX('Vidushi Malhotra'!$M$7:$M$300,MATCH($A31,'Vidushi Malhotra'!$B$7:$B$300,0)),"")</f>
        <v/>
      </c>
      <c r="I31" s="48" t="str">
        <f aca="false">IFERROR(INDEX('Dr Umesh Choudhry'!$M$7:$M$300,MATCH($A31,'Dr Umesh Choudhry'!$B$7:$B$300,0)),"")</f>
        <v/>
      </c>
      <c r="J31" s="48" t="str">
        <f aca="false">IFERROR(INDEX(DA!$M$7:$M$300,MATCH($A31,DA!$B$7:$B$300,0)),"")</f>
        <v/>
      </c>
      <c r="K31" s="62" t="s">
        <v>182</v>
      </c>
      <c r="L31" s="63" t="n">
        <v>326.15</v>
      </c>
      <c r="M31" s="9" t="n">
        <f aca="false">IF(AND(ISNUMBER(B31),ISNUMBER(L31),N(L31)&gt;0),B31/L31-1,"")</f>
        <v>-0.0286677908937605</v>
      </c>
    </row>
    <row r="32" customFormat="false" ht="15" hidden="false" customHeight="false" outlineLevel="0" collapsed="false">
      <c r="A32" s="5" t="s">
        <v>91</v>
      </c>
      <c r="B32" s="59" t="n">
        <v>51.55</v>
      </c>
      <c r="C32" s="60" t="n">
        <f aca="false">IF(ISNUMBER(B32),B32,IF(ISNUMBER(E32),E32,IF(ISNUMBER(F32),F32,IF(ISNUMBER(G32),G32,IF(ISNUMBER(H32),H32,IF(ISNUMBER(I32),I32,IF(ISNUMBER(J32),J32,"")))))))</f>
        <v>51.55</v>
      </c>
      <c r="D32" s="61" t="str">
        <f aca="false">IF(ISNUMBER(B32),IF(K32&lt;&gt;"",K32,"Manual override"),IF(ISNUMBER(E32),"Gautam stmt – 23.10",IF(ISNUMBER(F32),"Manish Shilpa stmt – live 23.10",IF(ISNUMBER(G32),"Saloni stmt – 20.10 (stale)",IF(ISNUMBER(H32),"Vidushi stmt – LTP 05.10",IF(ISNUMBER(I32),"Umesh stmt – NSE live 09.10",IF(ISNUMBER(J32),"DA stmt – older (stale)","No price on any statement")))))))</f>
        <v>Close 22.10.2026 (Screener.in)</v>
      </c>
      <c r="E32" s="48" t="n">
        <f aca="false">IFERROR(INDEX(Gautam!$M$7:$M$300,MATCH($A32,Gautam!$B$7:$B$300,0)),"")</f>
        <v>52.5</v>
      </c>
      <c r="F32" s="48" t="n">
        <f aca="false">IFERROR(INDEX('Manish Shilpa'!$M$7:$M$300,MATCH($A32,'Manish Shilpa'!$B$7:$B$300,0)),"")</f>
        <v>47.93</v>
      </c>
      <c r="G32" s="48" t="n">
        <f aca="false">IFERROR(INDEX('Saloni Mehra'!$M$7:$M$300,MATCH($A32,'Saloni Mehra'!$B$7:$B$300,0)),"")</f>
        <v>55.8099378881988</v>
      </c>
      <c r="H32" s="48" t="n">
        <f aca="false">IFERROR(INDEX('Vidushi Malhotra'!$M$7:$M$300,MATCH($A32,'Vidushi Malhotra'!$B$7:$B$300,0)),"")</f>
        <v>54.22</v>
      </c>
      <c r="I32" s="48" t="n">
        <f aca="false">IFERROR(INDEX('Dr Umesh Choudhry'!$M$7:$M$300,MATCH($A32,'Dr Umesh Choudhry'!$B$7:$B$300,0)),"")</f>
        <v>56.3299578059072</v>
      </c>
      <c r="J32" s="48" t="n">
        <f aca="false">IFERROR(INDEX(DA!$M$7:$M$300,MATCH($A32,DA!$B$7:$B$300,0)),"")</f>
        <v>57.7</v>
      </c>
      <c r="K32" s="62" t="s">
        <v>182</v>
      </c>
      <c r="L32" s="63" t="n">
        <v>52.73</v>
      </c>
      <c r="M32" s="9" t="n">
        <f aca="false">IF(AND(ISNUMBER(B32),ISNUMBER(L32),N(L32)&gt;0),B32/L32-1,"")</f>
        <v>-0.0223781528541627</v>
      </c>
    </row>
    <row r="33" customFormat="false" ht="15" hidden="false" customHeight="false" outlineLevel="0" collapsed="false">
      <c r="A33" s="5" t="s">
        <v>159</v>
      </c>
      <c r="B33" s="59" t="n">
        <v>749.6</v>
      </c>
      <c r="C33" s="60" t="n">
        <f aca="false">IF(ISNUMBER(B33),B33,IF(ISNUMBER(E33),E33,IF(ISNUMBER(F33),F33,IF(ISNUMBER(G33),G33,IF(ISNUMBER(H33),H33,IF(ISNUMBER(I33),I33,IF(ISNUMBER(J33),J33,"")))))))</f>
        <v>749.6</v>
      </c>
      <c r="D33" s="61" t="str">
        <f aca="false">IF(ISNUMBER(B33),IF(K33&lt;&gt;"",K33,"Manual override"),IF(ISNUMBER(E33),"Gautam stmt – 23.10",IF(ISNUMBER(F33),"Manish Shilpa stmt – live 23.10",IF(ISNUMBER(G33),"Saloni stmt – 20.10 (stale)",IF(ISNUMBER(H33),"Vidushi stmt – LTP 05.10",IF(ISNUMBER(I33),"Umesh stmt – NSE live 09.10",IF(ISNUMBER(J33),"DA stmt – older (stale)","No price on any statement")))))))</f>
        <v>Close 22.10.2026 (Screener.in)</v>
      </c>
      <c r="E33" s="48" t="str">
        <f aca="false">IFERROR(INDEX(Gautam!$M$7:$M$300,MATCH($A33,Gautam!$B$7:$B$300,0)),"")</f>
        <v/>
      </c>
      <c r="F33" s="48" t="n">
        <f aca="false">IFERROR(INDEX('Manish Shilpa'!$M$7:$M$300,MATCH($A33,'Manish Shilpa'!$B$7:$B$300,0)),"")</f>
        <v>721.2</v>
      </c>
      <c r="G33" s="48" t="str">
        <f aca="false">IFERROR(INDEX('Saloni Mehra'!$M$7:$M$300,MATCH($A33,'Saloni Mehra'!$B$7:$B$300,0)),"")</f>
        <v/>
      </c>
      <c r="H33" s="48" t="str">
        <f aca="false">IFERROR(INDEX('Vidushi Malhotra'!$M$7:$M$300,MATCH($A33,'Vidushi Malhotra'!$B$7:$B$300,0)),"")</f>
        <v/>
      </c>
      <c r="I33" s="48" t="str">
        <f aca="false">IFERROR(INDEX('Dr Umesh Choudhry'!$M$7:$M$300,MATCH($A33,'Dr Umesh Choudhry'!$B$7:$B$300,0)),"")</f>
        <v/>
      </c>
      <c r="J33" s="48" t="str">
        <f aca="false">IFERROR(INDEX(DA!$M$7:$M$300,MATCH($A33,DA!$B$7:$B$300,0)),"")</f>
        <v/>
      </c>
      <c r="K33" s="62" t="s">
        <v>182</v>
      </c>
      <c r="L33" s="63" t="n">
        <v>740.7</v>
      </c>
      <c r="M33" s="9" t="n">
        <f aca="false">IF(AND(ISNUMBER(B33),ISNUMBER(L33),N(L33)&gt;0),B33/L33-1,"")</f>
        <v>0.0120156608613473</v>
      </c>
    </row>
    <row r="34" customFormat="false" ht="15" hidden="false" customHeight="false" outlineLevel="0" collapsed="false">
      <c r="A34" s="5" t="s">
        <v>132</v>
      </c>
      <c r="B34" s="59" t="n">
        <v>54.58</v>
      </c>
      <c r="C34" s="60" t="n">
        <f aca="false">IF(ISNUMBER(B34),B34,IF(ISNUMBER(E34),E34,IF(ISNUMBER(F34),F34,IF(ISNUMBER(G34),G34,IF(ISNUMBER(H34),H34,IF(ISNUMBER(I34),I34,IF(ISNUMBER(J34),J34,"")))))))</f>
        <v>54.58</v>
      </c>
      <c r="D34" s="61" t="str">
        <f aca="false">IF(ISNUMBER(B34),IF(K34&lt;&gt;"",K34,"Manual override"),IF(ISNUMBER(E34),"Gautam stmt – 23.10",IF(ISNUMBER(F34),"Manish Shilpa stmt – live 23.10",IF(ISNUMBER(G34),"Saloni stmt – 20.10 (stale)",IF(ISNUMBER(H34),"Vidushi stmt – LTP 05.10",IF(ISNUMBER(I34),"Umesh stmt – NSE live 09.10",IF(ISNUMBER(J34),"DA stmt – older (stale)","No price on any statement")))))))</f>
        <v>Close 22.10.2026 (Screener.in)</v>
      </c>
      <c r="E34" s="48" t="str">
        <f aca="false">IFERROR(INDEX(Gautam!$M$7:$M$300,MATCH($A34,Gautam!$B$7:$B$300,0)),"")</f>
        <v/>
      </c>
      <c r="F34" s="48" t="str">
        <f aca="false">IFERROR(INDEX('Manish Shilpa'!$M$7:$M$300,MATCH($A34,'Manish Shilpa'!$B$7:$B$300,0)),"")</f>
        <v/>
      </c>
      <c r="G34" s="48" t="str">
        <f aca="false">IFERROR(INDEX('Saloni Mehra'!$M$7:$M$300,MATCH($A34,'Saloni Mehra'!$B$7:$B$300,0)),"")</f>
        <v/>
      </c>
      <c r="H34" s="48" t="str">
        <f aca="false">IFERROR(INDEX('Vidushi Malhotra'!$M$7:$M$300,MATCH($A34,'Vidushi Malhotra'!$B$7:$B$300,0)),"")</f>
        <v/>
      </c>
      <c r="I34" s="48" t="str">
        <f aca="false">IFERROR(INDEX('Dr Umesh Choudhry'!$M$7:$M$300,MATCH($A34,'Dr Umesh Choudhry'!$B$7:$B$300,0)),"")</f>
        <v/>
      </c>
      <c r="J34" s="48" t="n">
        <f aca="false">IFERROR(INDEX(DA!$M$7:$M$300,MATCH($A34,DA!$B$7:$B$300,0)),"")</f>
        <v>58</v>
      </c>
      <c r="K34" s="62" t="s">
        <v>182</v>
      </c>
      <c r="L34" s="63" t="n">
        <v>55.21</v>
      </c>
      <c r="M34" s="9" t="n">
        <f aca="false">IF(AND(ISNUMBER(B34),ISNUMBER(L34),N(L34)&gt;0),B34/L34-1,"")</f>
        <v>-0.0114109762724145</v>
      </c>
    </row>
    <row r="35" customFormat="false" ht="15" hidden="false" customHeight="false" outlineLevel="0" collapsed="false">
      <c r="A35" s="5" t="s">
        <v>121</v>
      </c>
      <c r="B35" s="59" t="n">
        <v>860.2</v>
      </c>
      <c r="C35" s="60" t="n">
        <f aca="false">IF(ISNUMBER(B35),B35,IF(ISNUMBER(E35),E35,IF(ISNUMBER(F35),F35,IF(ISNUMBER(G35),G35,IF(ISNUMBER(H35),H35,IF(ISNUMBER(I35),I35,IF(ISNUMBER(J35),J35,"")))))))</f>
        <v>860.2</v>
      </c>
      <c r="D35" s="61" t="str">
        <f aca="false">IF(ISNUMBER(B35),IF(K35&lt;&gt;"",K35,"Manual override"),IF(ISNUMBER(E35),"Gautam stmt – 23.10",IF(ISNUMBER(F35),"Manish Shilpa stmt – live 23.10",IF(ISNUMBER(G35),"Saloni stmt – 20.10 (stale)",IF(ISNUMBER(H35),"Vidushi stmt – LTP 05.10",IF(ISNUMBER(I35),"Umesh stmt – NSE live 09.10",IF(ISNUMBER(J35),"DA stmt – older (stale)","No price on any statement")))))))</f>
        <v>Close 22.10.2026 (Screener.in)</v>
      </c>
      <c r="E35" s="48" t="str">
        <f aca="false">IFERROR(INDEX(Gautam!$M$7:$M$300,MATCH($A35,Gautam!$B$7:$B$300,0)),"")</f>
        <v/>
      </c>
      <c r="F35" s="48" t="str">
        <f aca="false">IFERROR(INDEX('Manish Shilpa'!$M$7:$M$300,MATCH($A35,'Manish Shilpa'!$B$7:$B$300,0)),"")</f>
        <v/>
      </c>
      <c r="G35" s="48" t="str">
        <f aca="false">IFERROR(INDEX('Saloni Mehra'!$M$7:$M$300,MATCH($A35,'Saloni Mehra'!$B$7:$B$300,0)),"")</f>
        <v/>
      </c>
      <c r="H35" s="48" t="str">
        <f aca="false">IFERROR(INDEX('Vidushi Malhotra'!$M$7:$M$300,MATCH($A35,'Vidushi Malhotra'!$B$7:$B$300,0)),"")</f>
        <v/>
      </c>
      <c r="I35" s="48" t="str">
        <f aca="false">IFERROR(INDEX('Dr Umesh Choudhry'!$M$7:$M$300,MATCH($A35,'Dr Umesh Choudhry'!$B$7:$B$300,0)),"")</f>
        <v/>
      </c>
      <c r="J35" s="48" t="n">
        <f aca="false">IFERROR(INDEX(DA!$M$7:$M$300,MATCH($A35,DA!$B$7:$B$300,0)),"")</f>
        <v>865</v>
      </c>
      <c r="K35" s="62" t="s">
        <v>182</v>
      </c>
      <c r="L35" s="63" t="n">
        <v>859</v>
      </c>
      <c r="M35" s="9" t="n">
        <f aca="false">IF(AND(ISNUMBER(B35),ISNUMBER(L35),N(L35)&gt;0),B35/L35-1,"")</f>
        <v>0.00139697322467991</v>
      </c>
    </row>
    <row r="36" customFormat="false" ht="15" hidden="false" customHeight="false" outlineLevel="0" collapsed="false">
      <c r="A36" s="5" t="s">
        <v>126</v>
      </c>
      <c r="B36" s="59" t="n">
        <v>1518.6</v>
      </c>
      <c r="C36" s="60" t="n">
        <f aca="false">IF(ISNUMBER(B36),B36,IF(ISNUMBER(E36),E36,IF(ISNUMBER(F36),F36,IF(ISNUMBER(G36),G36,IF(ISNUMBER(H36),H36,IF(ISNUMBER(I36),I36,IF(ISNUMBER(J36),J36,"")))))))</f>
        <v>1518.6</v>
      </c>
      <c r="D36" s="61" t="str">
        <f aca="false">IF(ISNUMBER(B36),IF(K36&lt;&gt;"",K36,"Manual override"),IF(ISNUMBER(E36),"Gautam stmt – 23.10",IF(ISNUMBER(F36),"Manish Shilpa stmt – live 23.10",IF(ISNUMBER(G36),"Saloni stmt – 20.10 (stale)",IF(ISNUMBER(H36),"Vidushi stmt – LTP 05.10",IF(ISNUMBER(I36),"Umesh stmt – NSE live 09.10",IF(ISNUMBER(J36),"DA stmt – older (stale)","No price on any statement")))))))</f>
        <v>Close 22.10.2026 (Screener.in)</v>
      </c>
      <c r="E36" s="48" t="str">
        <f aca="false">IFERROR(INDEX(Gautam!$M$7:$M$300,MATCH($A36,Gautam!$B$7:$B$300,0)),"")</f>
        <v/>
      </c>
      <c r="F36" s="48" t="str">
        <f aca="false">IFERROR(INDEX('Manish Shilpa'!$M$7:$M$300,MATCH($A36,'Manish Shilpa'!$B$7:$B$300,0)),"")</f>
        <v/>
      </c>
      <c r="G36" s="48" t="str">
        <f aca="false">IFERROR(INDEX('Saloni Mehra'!$M$7:$M$300,MATCH($A36,'Saloni Mehra'!$B$7:$B$300,0)),"")</f>
        <v/>
      </c>
      <c r="H36" s="48" t="str">
        <f aca="false">IFERROR(INDEX('Vidushi Malhotra'!$M$7:$M$300,MATCH($A36,'Vidushi Malhotra'!$B$7:$B$300,0)),"")</f>
        <v/>
      </c>
      <c r="I36" s="48" t="str">
        <f aca="false">IFERROR(INDEX('Dr Umesh Choudhry'!$M$7:$M$300,MATCH($A36,'Dr Umesh Choudhry'!$B$7:$B$300,0)),"")</f>
        <v/>
      </c>
      <c r="J36" s="48" t="n">
        <f aca="false">IFERROR(INDEX(DA!$M$7:$M$300,MATCH($A36,DA!$B$7:$B$300,0)),"")</f>
        <v>1412</v>
      </c>
      <c r="K36" s="62" t="s">
        <v>182</v>
      </c>
      <c r="L36" s="63" t="n">
        <v>1506.3</v>
      </c>
      <c r="M36" s="9" t="n">
        <f aca="false">IF(AND(ISNUMBER(B36),ISNUMBER(L36),N(L36)&gt;0),B36/L36-1,"")</f>
        <v>0.0081657040430192</v>
      </c>
    </row>
    <row r="37" customFormat="false" ht="15" hidden="false" customHeight="false" outlineLevel="0" collapsed="false">
      <c r="A37" s="5" t="s">
        <v>127</v>
      </c>
      <c r="B37" s="59" t="n">
        <v>218.13</v>
      </c>
      <c r="C37" s="60" t="n">
        <f aca="false">IF(ISNUMBER(B37),B37,IF(ISNUMBER(E37),E37,IF(ISNUMBER(F37),F37,IF(ISNUMBER(G37),G37,IF(ISNUMBER(H37),H37,IF(ISNUMBER(I37),I37,IF(ISNUMBER(J37),J37,"")))))))</f>
        <v>218.13</v>
      </c>
      <c r="D37" s="61" t="str">
        <f aca="false">IF(ISNUMBER(B37),IF(K37&lt;&gt;"",K37,"Manual override"),IF(ISNUMBER(E37),"Gautam stmt – 23.10",IF(ISNUMBER(F37),"Manish Shilpa stmt – live 23.10",IF(ISNUMBER(G37),"Saloni stmt – 20.10 (stale)",IF(ISNUMBER(H37),"Vidushi stmt – LTP 05.10",IF(ISNUMBER(I37),"Umesh stmt – NSE live 09.10",IF(ISNUMBER(J37),"DA stmt – older (stale)","No price on any statement")))))))</f>
        <v>Close 22.10.2026 (Screener.in)</v>
      </c>
      <c r="E37" s="48" t="str">
        <f aca="false">IFERROR(INDEX(Gautam!$M$7:$M$300,MATCH($A37,Gautam!$B$7:$B$300,0)),"")</f>
        <v/>
      </c>
      <c r="F37" s="48" t="str">
        <f aca="false">IFERROR(INDEX('Manish Shilpa'!$M$7:$M$300,MATCH($A37,'Manish Shilpa'!$B$7:$B$300,0)),"")</f>
        <v/>
      </c>
      <c r="G37" s="48" t="str">
        <f aca="false">IFERROR(INDEX('Saloni Mehra'!$M$7:$M$300,MATCH($A37,'Saloni Mehra'!$B$7:$B$300,0)),"")</f>
        <v/>
      </c>
      <c r="H37" s="48" t="str">
        <f aca="false">IFERROR(INDEX('Vidushi Malhotra'!$M$7:$M$300,MATCH($A37,'Vidushi Malhotra'!$B$7:$B$300,0)),"")</f>
        <v/>
      </c>
      <c r="I37" s="48" t="str">
        <f aca="false">IFERROR(INDEX('Dr Umesh Choudhry'!$M$7:$M$300,MATCH($A37,'Dr Umesh Choudhry'!$B$7:$B$300,0)),"")</f>
        <v/>
      </c>
      <c r="J37" s="48" t="n">
        <f aca="false">IFERROR(INDEX(DA!$M$7:$M$300,MATCH($A37,DA!$B$7:$B$300,0)),"")</f>
        <v>242</v>
      </c>
      <c r="K37" s="62" t="s">
        <v>182</v>
      </c>
      <c r="L37" s="63" t="n">
        <v>222.02</v>
      </c>
      <c r="M37" s="9" t="n">
        <f aca="false">IF(AND(ISNUMBER(B37),ISNUMBER(L37),N(L37)&gt;0),B37/L37-1,"")</f>
        <v>-0.0175209440590939</v>
      </c>
    </row>
    <row r="38" customFormat="false" ht="15" hidden="false" customHeight="false" outlineLevel="0" collapsed="false">
      <c r="A38" s="5" t="s">
        <v>114</v>
      </c>
      <c r="B38" s="59" t="n">
        <v>1421.7</v>
      </c>
      <c r="C38" s="60" t="n">
        <f aca="false">IF(ISNUMBER(B38),B38,IF(ISNUMBER(E38),E38,IF(ISNUMBER(F38),F38,IF(ISNUMBER(G38),G38,IF(ISNUMBER(H38),H38,IF(ISNUMBER(I38),I38,IF(ISNUMBER(J38),J38,"")))))))</f>
        <v>1421.7</v>
      </c>
      <c r="D38" s="61" t="str">
        <f aca="false">IF(ISNUMBER(B38),IF(K38&lt;&gt;"",K38,"Manual override"),IF(ISNUMBER(E38),"Gautam stmt – 23.10",IF(ISNUMBER(F38),"Manish Shilpa stmt – live 23.10",IF(ISNUMBER(G38),"Saloni stmt – 20.10 (stale)",IF(ISNUMBER(H38),"Vidushi stmt – LTP 05.10",IF(ISNUMBER(I38),"Umesh stmt – NSE live 09.10",IF(ISNUMBER(J38),"DA stmt – older (stale)","No price on any statement")))))))</f>
        <v>Close 22.10.2026 (Screener.in)</v>
      </c>
      <c r="E38" s="48" t="str">
        <f aca="false">IFERROR(INDEX(Gautam!$M$7:$M$300,MATCH($A38,Gautam!$B$7:$B$300,0)),"")</f>
        <v/>
      </c>
      <c r="F38" s="48" t="str">
        <f aca="false">IFERROR(INDEX('Manish Shilpa'!$M$7:$M$300,MATCH($A38,'Manish Shilpa'!$B$7:$B$300,0)),"")</f>
        <v/>
      </c>
      <c r="G38" s="48" t="str">
        <f aca="false">IFERROR(INDEX('Saloni Mehra'!$M$7:$M$300,MATCH($A38,'Saloni Mehra'!$B$7:$B$300,0)),"")</f>
        <v/>
      </c>
      <c r="H38" s="48" t="n">
        <f aca="false">IFERROR(INDEX('Vidushi Malhotra'!$M$7:$M$300,MATCH($A38,'Vidushi Malhotra'!$B$7:$B$300,0)),"")</f>
        <v>1201.66666666667</v>
      </c>
      <c r="I38" s="48" t="str">
        <f aca="false">IFERROR(INDEX('Dr Umesh Choudhry'!$M$7:$M$300,MATCH($A38,'Dr Umesh Choudhry'!$B$7:$B$300,0)),"")</f>
        <v/>
      </c>
      <c r="J38" s="48" t="n">
        <f aca="false">IFERROR(INDEX(DA!$M$7:$M$300,MATCH($A38,DA!$B$7:$B$300,0)),"")</f>
        <v>1206</v>
      </c>
      <c r="K38" s="62" t="s">
        <v>182</v>
      </c>
      <c r="L38" s="63" t="n">
        <v>1424.2</v>
      </c>
      <c r="M38" s="9" t="n">
        <f aca="false">IF(AND(ISNUMBER(B38),ISNUMBER(L38),N(L38)&gt;0),B38/L38-1,"")</f>
        <v>-0.00175537143659599</v>
      </c>
    </row>
    <row r="39" customFormat="false" ht="15" hidden="false" customHeight="false" outlineLevel="0" collapsed="false">
      <c r="A39" s="5" t="s">
        <v>82</v>
      </c>
      <c r="B39" s="59" t="n">
        <v>694.05</v>
      </c>
      <c r="C39" s="60" t="n">
        <f aca="false">IF(ISNUMBER(B39),B39,IF(ISNUMBER(E39),E39,IF(ISNUMBER(F39),F39,IF(ISNUMBER(G39),G39,IF(ISNUMBER(H39),H39,IF(ISNUMBER(I39),I39,IF(ISNUMBER(J39),J39,"")))))))</f>
        <v>694.05</v>
      </c>
      <c r="D39" s="61" t="str">
        <f aca="false">IF(ISNUMBER(B39),IF(K39&lt;&gt;"",K39,"Manual override"),IF(ISNUMBER(E39),"Gautam stmt – 23.10",IF(ISNUMBER(F39),"Manish Shilpa stmt – live 23.10",IF(ISNUMBER(G39),"Saloni stmt – 20.10 (stale)",IF(ISNUMBER(H39),"Vidushi stmt – LTP 05.10",IF(ISNUMBER(I39),"Umesh stmt – NSE live 09.10",IF(ISNUMBER(J39),"DA stmt – older (stale)","No price on any statement")))))))</f>
        <v>Close 22.10.2026 (Screener.in)</v>
      </c>
      <c r="E39" s="48" t="n">
        <f aca="false">IFERROR(INDEX(Gautam!$M$7:$M$300,MATCH($A39,Gautam!$B$7:$B$300,0)),"")</f>
        <v>694</v>
      </c>
      <c r="F39" s="48" t="n">
        <f aca="false">IFERROR(INDEX('Manish Shilpa'!$M$7:$M$300,MATCH($A39,'Manish Shilpa'!$B$7:$B$300,0)),"")</f>
        <v>688.986179664363</v>
      </c>
      <c r="G39" s="48" t="str">
        <f aca="false">IFERROR(INDEX('Saloni Mehra'!$M$7:$M$300,MATCH($A39,'Saloni Mehra'!$B$7:$B$300,0)),"")</f>
        <v/>
      </c>
      <c r="H39" s="48" t="n">
        <f aca="false">IFERROR(INDEX('Vidushi Malhotra'!$M$7:$M$300,MATCH($A39,'Vidushi Malhotra'!$B$7:$B$300,0)),"")</f>
        <v>707.761904761905</v>
      </c>
      <c r="I39" s="48" t="n">
        <f aca="false">IFERROR(INDEX('Dr Umesh Choudhry'!$M$7:$M$300,MATCH($A39,'Dr Umesh Choudhry'!$B$7:$B$300,0)),"")</f>
        <v>702.150074294205</v>
      </c>
      <c r="J39" s="48" t="n">
        <f aca="false">IFERROR(INDEX(DA!$M$7:$M$300,MATCH($A39,DA!$B$7:$B$300,0)),"")</f>
        <v>708</v>
      </c>
      <c r="K39" s="62" t="s">
        <v>182</v>
      </c>
      <c r="L39" s="63" t="n">
        <v>706.95</v>
      </c>
      <c r="M39" s="9" t="n">
        <f aca="false">IF(AND(ISNUMBER(B39),ISNUMBER(L39),N(L39)&gt;0),B39/L39-1,"")</f>
        <v>-0.0182474008062806</v>
      </c>
    </row>
    <row r="40" customFormat="false" ht="15" hidden="false" customHeight="false" outlineLevel="0" collapsed="false">
      <c r="A40" s="5" t="s">
        <v>118</v>
      </c>
      <c r="B40" s="59"/>
      <c r="C40" s="60" t="n">
        <f aca="false">IF(ISNUMBER(B40),B40,IF(ISNUMBER(E40),E40,IF(ISNUMBER(F40),F40,IF(ISNUMBER(G40),G40,IF(ISNUMBER(H40),H40,IF(ISNUMBER(I40),I40,IF(ISNUMBER(J40),J40,"")))))))</f>
        <v>127</v>
      </c>
      <c r="D40" s="61" t="str">
        <f aca="false">IF(ISNUMBER(B40),IF(K40&lt;&gt;"",K40,"Manual override"),IF(ISNUMBER(E40),"Gautam stmt – 23.10",IF(ISNUMBER(F40),"Manish Shilpa stmt – live 23.10",IF(ISNUMBER(G40),"Saloni stmt – 20.10 (stale)",IF(ISNUMBER(H40),"Vidushi stmt – LTP 05.10",IF(ISNUMBER(I40),"Umesh stmt – NSE live 09.10",IF(ISNUMBER(J40),"DA stmt – older (stale)","No price on any statement")))))))</f>
        <v>Gautam stmt – 23.10</v>
      </c>
      <c r="E40" s="48" t="n">
        <f aca="false">IFERROR(INDEX(Gautam!$M$7:$M$300,MATCH($A40,Gautam!$B$7:$B$300,0)),"")</f>
        <v>127</v>
      </c>
      <c r="F40" s="48" t="n">
        <f aca="false">IFERROR(INDEX('Manish Shilpa'!$M$7:$M$300,MATCH($A40,'Manish Shilpa'!$B$7:$B$300,0)),"")</f>
        <v>119.827380952381</v>
      </c>
      <c r="G40" s="48" t="n">
        <f aca="false">IFERROR(INDEX('Saloni Mehra'!$M$7:$M$300,MATCH($A40,'Saloni Mehra'!$B$7:$B$300,0)),"")</f>
        <v>123.909090909091</v>
      </c>
      <c r="H40" s="48" t="str">
        <f aca="false">IFERROR(INDEX('Vidushi Malhotra'!$M$7:$M$300,MATCH($A40,'Vidushi Malhotra'!$B$7:$B$300,0)),"")</f>
        <v/>
      </c>
      <c r="I40" s="48" t="str">
        <f aca="false">IFERROR(INDEX('Dr Umesh Choudhry'!$M$7:$M$300,MATCH($A40,'Dr Umesh Choudhry'!$B$7:$B$300,0)),"")</f>
        <v/>
      </c>
      <c r="J40" s="48" t="n">
        <f aca="false">IFERROR(INDEX(DA!$M$7:$M$300,MATCH($A40,DA!$B$7:$B$300,0)),"")</f>
        <v>129</v>
      </c>
      <c r="K40" s="62" t="s">
        <v>184</v>
      </c>
      <c r="L40" s="63"/>
      <c r="M40" s="9" t="str">
        <f aca="false">IF(AND(ISNUMBER(B40),ISNUMBER(L40),N(L40)&gt;0),B40/L40-1,"")</f>
        <v/>
      </c>
    </row>
    <row r="41" customFormat="false" ht="15" hidden="false" customHeight="false" outlineLevel="0" collapsed="false">
      <c r="A41" s="5" t="s">
        <v>137</v>
      </c>
      <c r="B41" s="59" t="n">
        <v>151.77</v>
      </c>
      <c r="C41" s="60" t="n">
        <f aca="false">IF(ISNUMBER(B41),B41,IF(ISNUMBER(E41),E41,IF(ISNUMBER(F41),F41,IF(ISNUMBER(G41),G41,IF(ISNUMBER(H41),H41,IF(ISNUMBER(I41),I41,IF(ISNUMBER(J41),J41,"")))))))</f>
        <v>151.77</v>
      </c>
      <c r="D41" s="61" t="str">
        <f aca="false">IF(ISNUMBER(B41),IF(K41&lt;&gt;"",K41,"Manual override"),IF(ISNUMBER(E41),"Gautam stmt – 23.10",IF(ISNUMBER(F41),"Manish Shilpa stmt – live 23.10",IF(ISNUMBER(G41),"Saloni stmt – 20.10 (stale)",IF(ISNUMBER(H41),"Vidushi stmt – LTP 05.10",IF(ISNUMBER(I41),"Umesh stmt – NSE live 09.10",IF(ISNUMBER(J41),"DA stmt – older (stale)","No price on any statement")))))))</f>
        <v>Close 22.10.2026 (Screener.in)</v>
      </c>
      <c r="E41" s="48" t="str">
        <f aca="false">IFERROR(INDEX(Gautam!$M$7:$M$300,MATCH($A41,Gautam!$B$7:$B$300,0)),"")</f>
        <v/>
      </c>
      <c r="F41" s="48" t="str">
        <f aca="false">IFERROR(INDEX('Manish Shilpa'!$M$7:$M$300,MATCH($A41,'Manish Shilpa'!$B$7:$B$300,0)),"")</f>
        <v/>
      </c>
      <c r="G41" s="48" t="str">
        <f aca="false">IFERROR(INDEX('Saloni Mehra'!$M$7:$M$300,MATCH($A41,'Saloni Mehra'!$B$7:$B$300,0)),"")</f>
        <v/>
      </c>
      <c r="H41" s="48" t="str">
        <f aca="false">IFERROR(INDEX('Vidushi Malhotra'!$M$7:$M$300,MATCH($A41,'Vidushi Malhotra'!$B$7:$B$300,0)),"")</f>
        <v/>
      </c>
      <c r="I41" s="48" t="str">
        <f aca="false">IFERROR(INDEX('Dr Umesh Choudhry'!$M$7:$M$300,MATCH($A41,'Dr Umesh Choudhry'!$B$7:$B$300,0)),"")</f>
        <v/>
      </c>
      <c r="J41" s="48" t="n">
        <f aca="false">IFERROR(INDEX(DA!$M$7:$M$300,MATCH($A41,DA!$B$7:$B$300,0)),"")</f>
        <v>173</v>
      </c>
      <c r="K41" s="62" t="s">
        <v>182</v>
      </c>
      <c r="L41" s="63" t="n">
        <v>154.34</v>
      </c>
      <c r="M41" s="9" t="n">
        <f aca="false">IF(AND(ISNUMBER(B41),ISNUMBER(L41),N(L41)&gt;0),B41/L41-1,"")</f>
        <v>-0.0166515485292211</v>
      </c>
    </row>
    <row r="42" customFormat="false" ht="15" hidden="false" customHeight="false" outlineLevel="0" collapsed="false">
      <c r="A42" s="5" t="s">
        <v>98</v>
      </c>
      <c r="B42" s="59" t="n">
        <v>431</v>
      </c>
      <c r="C42" s="60" t="n">
        <f aca="false">IF(ISNUMBER(B42),B42,IF(ISNUMBER(E42),E42,IF(ISNUMBER(F42),F42,IF(ISNUMBER(G42),G42,IF(ISNUMBER(H42),H42,IF(ISNUMBER(I42),I42,IF(ISNUMBER(J42),J42,"")))))))</f>
        <v>431</v>
      </c>
      <c r="D42" s="61" t="str">
        <f aca="false">IF(ISNUMBER(B42),IF(K42&lt;&gt;"",K42,"Manual override"),IF(ISNUMBER(E42),"Gautam stmt – 23.10",IF(ISNUMBER(F42),"Manish Shilpa stmt – live 23.10",IF(ISNUMBER(G42),"Saloni stmt – 20.10 (stale)",IF(ISNUMBER(H42),"Vidushi stmt – LTP 05.10",IF(ISNUMBER(I42),"Umesh stmt – NSE live 09.10",IF(ISNUMBER(J42),"DA stmt – older (stale)","No price on any statement")))))))</f>
        <v>Close 22.10.2026 (Screener.in)</v>
      </c>
      <c r="E42" s="48" t="str">
        <f aca="false">IFERROR(INDEX(Gautam!$M$7:$M$300,MATCH($A42,Gautam!$B$7:$B$300,0)),"")</f>
        <v/>
      </c>
      <c r="F42" s="48" t="str">
        <f aca="false">IFERROR(INDEX('Manish Shilpa'!$M$7:$M$300,MATCH($A42,'Manish Shilpa'!$B$7:$B$300,0)),"")</f>
        <v/>
      </c>
      <c r="G42" s="48" t="n">
        <f aca="false">IFERROR(INDEX('Saloni Mehra'!$M$7:$M$300,MATCH($A42,'Saloni Mehra'!$B$7:$B$300,0)),"")</f>
        <v>438</v>
      </c>
      <c r="H42" s="48" t="str">
        <f aca="false">IFERROR(INDEX('Vidushi Malhotra'!$M$7:$M$300,MATCH($A42,'Vidushi Malhotra'!$B$7:$B$300,0)),"")</f>
        <v/>
      </c>
      <c r="I42" s="48" t="str">
        <f aca="false">IFERROR(INDEX('Dr Umesh Choudhry'!$M$7:$M$300,MATCH($A42,'Dr Umesh Choudhry'!$B$7:$B$300,0)),"")</f>
        <v/>
      </c>
      <c r="J42" s="48" t="str">
        <f aca="false">IFERROR(INDEX(DA!$M$7:$M$300,MATCH($A42,DA!$B$7:$B$300,0)),"")</f>
        <v/>
      </c>
      <c r="K42" s="62" t="s">
        <v>182</v>
      </c>
      <c r="L42" s="63" t="n">
        <v>431.5</v>
      </c>
      <c r="M42" s="9" t="n">
        <f aca="false">IF(AND(ISNUMBER(B42),ISNUMBER(L42),N(L42)&gt;0),B42/L42-1,"")</f>
        <v>-0.00115874855156428</v>
      </c>
    </row>
    <row r="43" customFormat="false" ht="15" hidden="false" customHeight="false" outlineLevel="0" collapsed="false">
      <c r="A43" s="5" t="s">
        <v>139</v>
      </c>
      <c r="B43" s="59" t="n">
        <v>104</v>
      </c>
      <c r="C43" s="60" t="n">
        <f aca="false">IF(ISNUMBER(B43),B43,IF(ISNUMBER(E43),E43,IF(ISNUMBER(F43),F43,IF(ISNUMBER(G43),G43,IF(ISNUMBER(H43),H43,IF(ISNUMBER(I43),I43,IF(ISNUMBER(J43),J43,"")))))))</f>
        <v>104</v>
      </c>
      <c r="D43" s="61" t="str">
        <f aca="false">IF(ISNUMBER(B43),IF(K43&lt;&gt;"",K43,"Manual override"),IF(ISNUMBER(E43),"Gautam stmt – 23.10",IF(ISNUMBER(F43),"Manish Shilpa stmt – live 23.10",IF(ISNUMBER(G43),"Saloni stmt – 20.10 (stale)",IF(ISNUMBER(H43),"Vidushi stmt – LTP 05.10",IF(ISNUMBER(I43),"Umesh stmt – NSE live 09.10",IF(ISNUMBER(J43),"DA stmt – older (stale)","No price on any statement")))))))</f>
        <v>Close 22.10.2026 (Screener.in)</v>
      </c>
      <c r="E43" s="48" t="str">
        <f aca="false">IFERROR(INDEX(Gautam!$M$7:$M$300,MATCH($A43,Gautam!$B$7:$B$300,0)),"")</f>
        <v/>
      </c>
      <c r="F43" s="48" t="n">
        <f aca="false">IFERROR(INDEX('Manish Shilpa'!$M$7:$M$300,MATCH($A43,'Manish Shilpa'!$B$7:$B$300,0)),"")</f>
        <v>100.75</v>
      </c>
      <c r="G43" s="48" t="str">
        <f aca="false">IFERROR(INDEX('Saloni Mehra'!$M$7:$M$300,MATCH($A43,'Saloni Mehra'!$B$7:$B$300,0)),"")</f>
        <v/>
      </c>
      <c r="H43" s="48" t="str">
        <f aca="false">IFERROR(INDEX('Vidushi Malhotra'!$M$7:$M$300,MATCH($A43,'Vidushi Malhotra'!$B$7:$B$300,0)),"")</f>
        <v/>
      </c>
      <c r="I43" s="48" t="str">
        <f aca="false">IFERROR(INDEX('Dr Umesh Choudhry'!$M$7:$M$300,MATCH($A43,'Dr Umesh Choudhry'!$B$7:$B$300,0)),"")</f>
        <v/>
      </c>
      <c r="J43" s="48" t="n">
        <f aca="false">IFERROR(INDEX(DA!$M$7:$M$300,MATCH($A43,DA!$B$7:$B$300,0)),"")</f>
        <v>114</v>
      </c>
      <c r="K43" s="62" t="s">
        <v>182</v>
      </c>
      <c r="L43" s="63" t="n">
        <v>103.28</v>
      </c>
      <c r="M43" s="9" t="n">
        <f aca="false">IF(AND(ISNUMBER(B43),ISNUMBER(L43),N(L43)&gt;0),B43/L43-1,"")</f>
        <v>0.00697134004647548</v>
      </c>
    </row>
    <row r="44" customFormat="false" ht="15" hidden="false" customHeight="false" outlineLevel="0" collapsed="false">
      <c r="A44" s="5" t="s">
        <v>128</v>
      </c>
      <c r="B44" s="59" t="n">
        <v>77</v>
      </c>
      <c r="C44" s="60" t="n">
        <f aca="false">IF(ISNUMBER(B44),B44,IF(ISNUMBER(E44),E44,IF(ISNUMBER(F44),F44,IF(ISNUMBER(G44),G44,IF(ISNUMBER(H44),H44,IF(ISNUMBER(I44),I44,IF(ISNUMBER(J44),J44,"")))))))</f>
        <v>77</v>
      </c>
      <c r="D44" s="61" t="str">
        <f aca="false">IF(ISNUMBER(B44),IF(K44&lt;&gt;"",K44,"Manual override"),IF(ISNUMBER(E44),"Gautam stmt – 23.10",IF(ISNUMBER(F44),"Manish Shilpa stmt – live 23.10",IF(ISNUMBER(G44),"Saloni stmt – 20.10 (stale)",IF(ISNUMBER(H44),"Vidushi stmt – LTP 05.10",IF(ISNUMBER(I44),"Umesh stmt – NSE live 09.10",IF(ISNUMBER(J44),"DA stmt – older (stale)","No price on any statement")))))))</f>
        <v>Close 22.10.2026 (Screener.in)</v>
      </c>
      <c r="E44" s="48" t="str">
        <f aca="false">IFERROR(INDEX(Gautam!$M$7:$M$300,MATCH($A44,Gautam!$B$7:$B$300,0)),"")</f>
        <v/>
      </c>
      <c r="F44" s="48" t="str">
        <f aca="false">IFERROR(INDEX('Manish Shilpa'!$M$7:$M$300,MATCH($A44,'Manish Shilpa'!$B$7:$B$300,0)),"")</f>
        <v/>
      </c>
      <c r="G44" s="48" t="str">
        <f aca="false">IFERROR(INDEX('Saloni Mehra'!$M$7:$M$300,MATCH($A44,'Saloni Mehra'!$B$7:$B$300,0)),"")</f>
        <v/>
      </c>
      <c r="H44" s="48" t="str">
        <f aca="false">IFERROR(INDEX('Vidushi Malhotra'!$M$7:$M$300,MATCH($A44,'Vidushi Malhotra'!$B$7:$B$300,0)),"")</f>
        <v/>
      </c>
      <c r="I44" s="48" t="str">
        <f aca="false">IFERROR(INDEX('Dr Umesh Choudhry'!$M$7:$M$300,MATCH($A44,'Dr Umesh Choudhry'!$B$7:$B$300,0)),"")</f>
        <v/>
      </c>
      <c r="J44" s="48" t="n">
        <f aca="false">IFERROR(INDEX(DA!$M$7:$M$300,MATCH($A44,DA!$B$7:$B$300,0)),"")</f>
        <v>81</v>
      </c>
      <c r="K44" s="62" t="s">
        <v>182</v>
      </c>
      <c r="L44" s="63" t="n">
        <v>76.8</v>
      </c>
      <c r="M44" s="9" t="n">
        <f aca="false">IF(AND(ISNUMBER(B44),ISNUMBER(L44),N(L44)&gt;0),B44/L44-1,"")</f>
        <v>0.00260416666666674</v>
      </c>
    </row>
    <row r="45" customFormat="false" ht="15" hidden="false" customHeight="false" outlineLevel="0" collapsed="false">
      <c r="A45" s="5" t="s">
        <v>129</v>
      </c>
      <c r="B45" s="59" t="n">
        <v>140.01</v>
      </c>
      <c r="C45" s="60" t="n">
        <f aca="false">IF(ISNUMBER(B45),B45,IF(ISNUMBER(E45),E45,IF(ISNUMBER(F45),F45,IF(ISNUMBER(G45),G45,IF(ISNUMBER(H45),H45,IF(ISNUMBER(I45),I45,IF(ISNUMBER(J45),J45,"")))))))</f>
        <v>140.01</v>
      </c>
      <c r="D45" s="61" t="str">
        <f aca="false">IF(ISNUMBER(B45),IF(K45&lt;&gt;"",K45,"Manual override"),IF(ISNUMBER(E45),"Gautam stmt – 23.10",IF(ISNUMBER(F45),"Manish Shilpa stmt – live 23.10",IF(ISNUMBER(G45),"Saloni stmt – 20.10 (stale)",IF(ISNUMBER(H45),"Vidushi stmt – LTP 05.10",IF(ISNUMBER(I45),"Umesh stmt – NSE live 09.10",IF(ISNUMBER(J45),"DA stmt – older (stale)","No price on any statement")))))))</f>
        <v>Close 22.10.2026 (Screener.in)</v>
      </c>
      <c r="E45" s="48" t="str">
        <f aca="false">IFERROR(INDEX(Gautam!$M$7:$M$300,MATCH($A45,Gautam!$B$7:$B$300,0)),"")</f>
        <v/>
      </c>
      <c r="F45" s="48" t="str">
        <f aca="false">IFERROR(INDEX('Manish Shilpa'!$M$7:$M$300,MATCH($A45,'Manish Shilpa'!$B$7:$B$300,0)),"")</f>
        <v/>
      </c>
      <c r="G45" s="48" t="str">
        <f aca="false">IFERROR(INDEX('Saloni Mehra'!$M$7:$M$300,MATCH($A45,'Saloni Mehra'!$B$7:$B$300,0)),"")</f>
        <v/>
      </c>
      <c r="H45" s="48" t="str">
        <f aca="false">IFERROR(INDEX('Vidushi Malhotra'!$M$7:$M$300,MATCH($A45,'Vidushi Malhotra'!$B$7:$B$300,0)),"")</f>
        <v/>
      </c>
      <c r="I45" s="48" t="str">
        <f aca="false">IFERROR(INDEX('Dr Umesh Choudhry'!$M$7:$M$300,MATCH($A45,'Dr Umesh Choudhry'!$B$7:$B$300,0)),"")</f>
        <v/>
      </c>
      <c r="J45" s="48" t="n">
        <f aca="false">IFERROR(INDEX(DA!$M$7:$M$300,MATCH($A45,DA!$B$7:$B$300,0)),"")</f>
        <v>152</v>
      </c>
      <c r="K45" s="62" t="s">
        <v>182</v>
      </c>
      <c r="L45" s="63" t="n">
        <v>142.31</v>
      </c>
      <c r="M45" s="9" t="n">
        <f aca="false">IF(AND(ISNUMBER(B45),ISNUMBER(L45),N(L45)&gt;0),B45/L45-1,"")</f>
        <v>-0.0161619000772961</v>
      </c>
    </row>
    <row r="46" customFormat="false" ht="15" hidden="false" customHeight="false" outlineLevel="0" collapsed="false">
      <c r="A46" s="5" t="s">
        <v>117</v>
      </c>
      <c r="B46" s="59" t="n">
        <v>381.85</v>
      </c>
      <c r="C46" s="60" t="n">
        <f aca="false">IF(ISNUMBER(B46),B46,IF(ISNUMBER(E46),E46,IF(ISNUMBER(F46),F46,IF(ISNUMBER(G46),G46,IF(ISNUMBER(H46),H46,IF(ISNUMBER(I46),I46,IF(ISNUMBER(J46),J46,"")))))))</f>
        <v>381.85</v>
      </c>
      <c r="D46" s="61" t="str">
        <f aca="false">IF(ISNUMBER(B46),IF(K46&lt;&gt;"",K46,"Manual override"),IF(ISNUMBER(E46),"Gautam stmt – 23.10",IF(ISNUMBER(F46),"Manish Shilpa stmt – live 23.10",IF(ISNUMBER(G46),"Saloni stmt – 20.10 (stale)",IF(ISNUMBER(H46),"Vidushi stmt – LTP 05.10",IF(ISNUMBER(I46),"Umesh stmt – NSE live 09.10",IF(ISNUMBER(J46),"DA stmt – older (stale)","No price on any statement")))))))</f>
        <v>Close 22.10.2026 (Screener.in)</v>
      </c>
      <c r="E46" s="48" t="str">
        <f aca="false">IFERROR(INDEX(Gautam!$M$7:$M$300,MATCH($A46,Gautam!$B$7:$B$300,0)),"")</f>
        <v/>
      </c>
      <c r="F46" s="48" t="str">
        <f aca="false">IFERROR(INDEX('Manish Shilpa'!$M$7:$M$300,MATCH($A46,'Manish Shilpa'!$B$7:$B$300,0)),"")</f>
        <v/>
      </c>
      <c r="G46" s="48" t="str">
        <f aca="false">IFERROR(INDEX('Saloni Mehra'!$M$7:$M$300,MATCH($A46,'Saloni Mehra'!$B$7:$B$300,0)),"")</f>
        <v/>
      </c>
      <c r="H46" s="48" t="str">
        <f aca="false">IFERROR(INDEX('Vidushi Malhotra'!$M$7:$M$300,MATCH($A46,'Vidushi Malhotra'!$B$7:$B$300,0)),"")</f>
        <v/>
      </c>
      <c r="I46" s="48" t="str">
        <f aca="false">IFERROR(INDEX('Dr Umesh Choudhry'!$M$7:$M$300,MATCH($A46,'Dr Umesh Choudhry'!$B$7:$B$300,0)),"")</f>
        <v/>
      </c>
      <c r="J46" s="48" t="n">
        <f aca="false">IFERROR(INDEX(DA!$M$7:$M$300,MATCH($A46,DA!$B$7:$B$300,0)),"")</f>
        <v>388</v>
      </c>
      <c r="K46" s="62" t="s">
        <v>182</v>
      </c>
      <c r="L46" s="63" t="n">
        <v>379</v>
      </c>
      <c r="M46" s="9" t="n">
        <f aca="false">IF(AND(ISNUMBER(B46),ISNUMBER(L46),N(L46)&gt;0),B46/L46-1,"")</f>
        <v>0.00751978891820593</v>
      </c>
    </row>
    <row r="47" customFormat="false" ht="15" hidden="false" customHeight="false" outlineLevel="0" collapsed="false">
      <c r="A47" s="5" t="s">
        <v>111</v>
      </c>
      <c r="B47" s="59" t="n">
        <v>1153.35</v>
      </c>
      <c r="C47" s="60" t="n">
        <f aca="false">IF(ISNUMBER(B47),B47,IF(ISNUMBER(E47),E47,IF(ISNUMBER(F47),F47,IF(ISNUMBER(G47),G47,IF(ISNUMBER(H47),H47,IF(ISNUMBER(I47),I47,IF(ISNUMBER(J47),J47,"")))))))</f>
        <v>1153.35</v>
      </c>
      <c r="D47" s="61" t="str">
        <f aca="false">IF(ISNUMBER(B47),IF(K47&lt;&gt;"",K47,"Manual override"),IF(ISNUMBER(E47),"Gautam stmt – 23.10",IF(ISNUMBER(F47),"Manish Shilpa stmt – live 23.10",IF(ISNUMBER(G47),"Saloni stmt – 20.10 (stale)",IF(ISNUMBER(H47),"Vidushi stmt – LTP 05.10",IF(ISNUMBER(I47),"Umesh stmt – NSE live 09.10",IF(ISNUMBER(J47),"DA stmt – older (stale)","No price on any statement")))))))</f>
        <v>Close 22.10.2026 (Screener.in)</v>
      </c>
      <c r="E47" s="48" t="str">
        <f aca="false">IFERROR(INDEX(Gautam!$M$7:$M$300,MATCH($A47,Gautam!$B$7:$B$300,0)),"")</f>
        <v/>
      </c>
      <c r="F47" s="48" t="n">
        <f aca="false">IFERROR(INDEX('Manish Shilpa'!$M$7:$M$300,MATCH($A47,'Manish Shilpa'!$B$7:$B$300,0)),"")</f>
        <v>1160</v>
      </c>
      <c r="G47" s="48" t="str">
        <f aca="false">IFERROR(INDEX('Saloni Mehra'!$M$7:$M$300,MATCH($A47,'Saloni Mehra'!$B$7:$B$300,0)),"")</f>
        <v/>
      </c>
      <c r="H47" s="48" t="str">
        <f aca="false">IFERROR(INDEX('Vidushi Malhotra'!$M$7:$M$300,MATCH($A47,'Vidushi Malhotra'!$B$7:$B$300,0)),"")</f>
        <v/>
      </c>
      <c r="I47" s="48" t="str">
        <f aca="false">IFERROR(INDEX('Dr Umesh Choudhry'!$M$7:$M$300,MATCH($A47,'Dr Umesh Choudhry'!$B$7:$B$300,0)),"")</f>
        <v/>
      </c>
      <c r="J47" s="48" t="str">
        <f aca="false">IFERROR(INDEX(DA!$M$7:$M$300,MATCH($A47,DA!$B$7:$B$300,0)),"")</f>
        <v/>
      </c>
      <c r="K47" s="62" t="s">
        <v>182</v>
      </c>
      <c r="L47" s="63" t="n">
        <v>1168</v>
      </c>
      <c r="M47" s="9" t="n">
        <f aca="false">IF(AND(ISNUMBER(B47),ISNUMBER(L47),N(L47)&gt;0),B47/L47-1,"")</f>
        <v>-0.0125428082191782</v>
      </c>
    </row>
    <row r="48" customFormat="false" ht="15" hidden="false" customHeight="false" outlineLevel="0" collapsed="false">
      <c r="A48" s="5" t="s">
        <v>107</v>
      </c>
      <c r="B48" s="59" t="n">
        <v>4600</v>
      </c>
      <c r="C48" s="60" t="n">
        <f aca="false">IF(ISNUMBER(B48),B48,IF(ISNUMBER(E48),E48,IF(ISNUMBER(F48),F48,IF(ISNUMBER(G48),G48,IF(ISNUMBER(H48),H48,IF(ISNUMBER(I48),I48,IF(ISNUMBER(J48),J48,"")))))))</f>
        <v>4600</v>
      </c>
      <c r="D48" s="61" t="str">
        <f aca="false">IF(ISNUMBER(B48),IF(K48&lt;&gt;"",K48,"Manual override"),IF(ISNUMBER(E48),"Gautam stmt – 23.10",IF(ISNUMBER(F48),"Manish Shilpa stmt – live 23.10",IF(ISNUMBER(G48),"Saloni stmt – 20.10 (stale)",IF(ISNUMBER(H48),"Vidushi stmt – LTP 05.10",IF(ISNUMBER(I48),"Umesh stmt – NSE live 09.10",IF(ISNUMBER(J48),"DA stmt – older (stale)","No price on any statement")))))))</f>
        <v>Close 22.10.2026 (Screener.in)</v>
      </c>
      <c r="E48" s="48" t="n">
        <f aca="false">IFERROR(INDEX(Gautam!$M$7:$M$300,MATCH($A48,Gautam!$B$7:$B$300,0)),"")</f>
        <v>4608</v>
      </c>
      <c r="F48" s="48" t="str">
        <f aca="false">IFERROR(INDEX('Manish Shilpa'!$M$7:$M$300,MATCH($A48,'Manish Shilpa'!$B$7:$B$300,0)),"")</f>
        <v/>
      </c>
      <c r="G48" s="48" t="str">
        <f aca="false">IFERROR(INDEX('Saloni Mehra'!$M$7:$M$300,MATCH($A48,'Saloni Mehra'!$B$7:$B$300,0)),"")</f>
        <v/>
      </c>
      <c r="H48" s="48" t="str">
        <f aca="false">IFERROR(INDEX('Vidushi Malhotra'!$M$7:$M$300,MATCH($A48,'Vidushi Malhotra'!$B$7:$B$300,0)),"")</f>
        <v/>
      </c>
      <c r="I48" s="48" t="str">
        <f aca="false">IFERROR(INDEX('Dr Umesh Choudhry'!$M$7:$M$300,MATCH($A48,'Dr Umesh Choudhry'!$B$7:$B$300,0)),"")</f>
        <v/>
      </c>
      <c r="J48" s="48" t="str">
        <f aca="false">IFERROR(INDEX(DA!$M$7:$M$300,MATCH($A48,DA!$B$7:$B$300,0)),"")</f>
        <v/>
      </c>
      <c r="K48" s="62" t="s">
        <v>182</v>
      </c>
      <c r="L48" s="63" t="n">
        <v>4641.5</v>
      </c>
      <c r="M48" s="9" t="n">
        <f aca="false">IF(AND(ISNUMBER(B48),ISNUMBER(L48),N(L48)&gt;0),B48/L48-1,"")</f>
        <v>-0.00894107508348596</v>
      </c>
    </row>
    <row r="49" customFormat="false" ht="15" hidden="false" customHeight="false" outlineLevel="0" collapsed="false">
      <c r="A49" s="5" t="s">
        <v>108</v>
      </c>
      <c r="B49" s="59" t="n">
        <v>210.8</v>
      </c>
      <c r="C49" s="60" t="n">
        <f aca="false">IF(ISNUMBER(B49),B49,IF(ISNUMBER(E49),E49,IF(ISNUMBER(F49),F49,IF(ISNUMBER(G49),G49,IF(ISNUMBER(H49),H49,IF(ISNUMBER(I49),I49,IF(ISNUMBER(J49),J49,"")))))))</f>
        <v>210.8</v>
      </c>
      <c r="D49" s="61" t="str">
        <f aca="false">IF(ISNUMBER(B49),IF(K49&lt;&gt;"",K49,"Manual override"),IF(ISNUMBER(E49),"Gautam stmt – 23.10",IF(ISNUMBER(F49),"Manish Shilpa stmt – live 23.10",IF(ISNUMBER(G49),"Saloni stmt – 20.10 (stale)",IF(ISNUMBER(H49),"Vidushi stmt – LTP 05.10",IF(ISNUMBER(I49),"Umesh stmt – NSE live 09.10",IF(ISNUMBER(J49),"DA stmt – older (stale)","No price on any statement")))))))</f>
        <v>Close 22.10.2026 (Screener.in)</v>
      </c>
      <c r="E49" s="48" t="str">
        <f aca="false">IFERROR(INDEX(Gautam!$M$7:$M$300,MATCH($A49,Gautam!$B$7:$B$300,0)),"")</f>
        <v/>
      </c>
      <c r="F49" s="48" t="n">
        <f aca="false">IFERROR(INDEX('Manish Shilpa'!$M$7:$M$300,MATCH($A49,'Manish Shilpa'!$B$7:$B$300,0)),"")</f>
        <v>204.875</v>
      </c>
      <c r="G49" s="48" t="str">
        <f aca="false">IFERROR(INDEX('Saloni Mehra'!$M$7:$M$300,MATCH($A49,'Saloni Mehra'!$B$7:$B$300,0)),"")</f>
        <v/>
      </c>
      <c r="H49" s="48" t="str">
        <f aca="false">IFERROR(INDEX('Vidushi Malhotra'!$M$7:$M$300,MATCH($A49,'Vidushi Malhotra'!$B$7:$B$300,0)),"")</f>
        <v/>
      </c>
      <c r="I49" s="48" t="str">
        <f aca="false">IFERROR(INDEX('Dr Umesh Choudhry'!$M$7:$M$300,MATCH($A49,'Dr Umesh Choudhry'!$B$7:$B$300,0)),"")</f>
        <v/>
      </c>
      <c r="J49" s="48" t="n">
        <f aca="false">IFERROR(INDEX(DA!$M$7:$M$300,MATCH($A49,DA!$B$7:$B$300,0)),"")</f>
        <v>230</v>
      </c>
      <c r="K49" s="62" t="s">
        <v>182</v>
      </c>
      <c r="L49" s="63" t="n">
        <v>211.39</v>
      </c>
      <c r="M49" s="9" t="n">
        <f aca="false">IF(AND(ISNUMBER(B49),ISNUMBER(L49),N(L49)&gt;0),B49/L49-1,"")</f>
        <v>-0.00279104971852961</v>
      </c>
    </row>
    <row r="50" customFormat="false" ht="15" hidden="false" customHeight="false" outlineLevel="0" collapsed="false">
      <c r="A50" s="5" t="s">
        <v>145</v>
      </c>
      <c r="B50" s="59" t="n">
        <v>323</v>
      </c>
      <c r="C50" s="60" t="n">
        <f aca="false">IF(ISNUMBER(B50),B50,IF(ISNUMBER(E50),E50,IF(ISNUMBER(F50),F50,IF(ISNUMBER(G50),G50,IF(ISNUMBER(H50),H50,IF(ISNUMBER(I50),I50,IF(ISNUMBER(J50),J50,"")))))))</f>
        <v>323</v>
      </c>
      <c r="D50" s="61" t="str">
        <f aca="false">IF(ISNUMBER(B50),IF(K50&lt;&gt;"",K50,"Manual override"),IF(ISNUMBER(E50),"Gautam stmt – 23.10",IF(ISNUMBER(F50),"Manish Shilpa stmt – live 23.10",IF(ISNUMBER(G50),"Saloni stmt – 20.10 (stale)",IF(ISNUMBER(H50),"Vidushi stmt – LTP 05.10",IF(ISNUMBER(I50),"Umesh stmt – NSE live 09.10",IF(ISNUMBER(J50),"DA stmt – older (stale)","No price on any statement")))))))</f>
        <v>Close 22.10.2026 (Screener.in)</v>
      </c>
      <c r="E50" s="48" t="str">
        <f aca="false">IFERROR(INDEX(Gautam!$M$7:$M$300,MATCH($A50,Gautam!$B$7:$B$300,0)),"")</f>
        <v/>
      </c>
      <c r="F50" s="48" t="str">
        <f aca="false">IFERROR(INDEX('Manish Shilpa'!$M$7:$M$300,MATCH($A50,'Manish Shilpa'!$B$7:$B$300,0)),"")</f>
        <v/>
      </c>
      <c r="G50" s="48" t="str">
        <f aca="false">IFERROR(INDEX('Saloni Mehra'!$M$7:$M$300,MATCH($A50,'Saloni Mehra'!$B$7:$B$300,0)),"")</f>
        <v/>
      </c>
      <c r="H50" s="48" t="str">
        <f aca="false">IFERROR(INDEX('Vidushi Malhotra'!$M$7:$M$300,MATCH($A50,'Vidushi Malhotra'!$B$7:$B$300,0)),"")</f>
        <v/>
      </c>
      <c r="I50" s="48" t="str">
        <f aca="false">IFERROR(INDEX('Dr Umesh Choudhry'!$M$7:$M$300,MATCH($A50,'Dr Umesh Choudhry'!$B$7:$B$300,0)),"")</f>
        <v/>
      </c>
      <c r="J50" s="48" t="n">
        <f aca="false">IFERROR(INDEX(DA!$M$7:$M$300,MATCH($A50,DA!$B$7:$B$300,0)),"")</f>
        <v>354</v>
      </c>
      <c r="K50" s="62" t="s">
        <v>182</v>
      </c>
      <c r="L50" s="63" t="n">
        <v>327.55</v>
      </c>
      <c r="M50" s="9" t="n">
        <f aca="false">IF(AND(ISNUMBER(B50),ISNUMBER(L50),N(L50)&gt;0),B50/L50-1,"")</f>
        <v>-0.0138910090062586</v>
      </c>
    </row>
    <row r="51" customFormat="false" ht="15" hidden="false" customHeight="false" outlineLevel="0" collapsed="false">
      <c r="A51" s="5" t="s">
        <v>90</v>
      </c>
      <c r="B51" s="59" t="n">
        <v>404.9</v>
      </c>
      <c r="C51" s="60" t="n">
        <f aca="false">IF(ISNUMBER(B51),B51,IF(ISNUMBER(E51),E51,IF(ISNUMBER(F51),F51,IF(ISNUMBER(G51),G51,IF(ISNUMBER(H51),H51,IF(ISNUMBER(I51),I51,IF(ISNUMBER(J51),J51,"")))))))</f>
        <v>404.9</v>
      </c>
      <c r="D51" s="61" t="str">
        <f aca="false">IF(ISNUMBER(B51),IF(K51&lt;&gt;"",K51,"Manual override"),IF(ISNUMBER(E51),"Gautam stmt – 23.10",IF(ISNUMBER(F51),"Manish Shilpa stmt – live 23.10",IF(ISNUMBER(G51),"Saloni stmt – 20.10 (stale)",IF(ISNUMBER(H51),"Vidushi stmt – LTP 05.10",IF(ISNUMBER(I51),"Umesh stmt – NSE live 09.10",IF(ISNUMBER(J51),"DA stmt – older (stale)","No price on any statement")))))))</f>
        <v>Close 22.10.2026 (Screener.in)</v>
      </c>
      <c r="E51" s="48" t="str">
        <f aca="false">IFERROR(INDEX(Gautam!$M$7:$M$300,MATCH($A51,Gautam!$B$7:$B$300,0)),"")</f>
        <v/>
      </c>
      <c r="F51" s="48" t="str">
        <f aca="false">IFERROR(INDEX('Manish Shilpa'!$M$7:$M$300,MATCH($A51,'Manish Shilpa'!$B$7:$B$300,0)),"")</f>
        <v/>
      </c>
      <c r="G51" s="48" t="n">
        <f aca="false">IFERROR(INDEX('Saloni Mehra'!$M$7:$M$300,MATCH($A51,'Saloni Mehra'!$B$7:$B$300,0)),"")</f>
        <v>413.5</v>
      </c>
      <c r="H51" s="48" t="str">
        <f aca="false">IFERROR(INDEX('Vidushi Malhotra'!$M$7:$M$300,MATCH($A51,'Vidushi Malhotra'!$B$7:$B$300,0)),"")</f>
        <v/>
      </c>
      <c r="I51" s="48" t="str">
        <f aca="false">IFERROR(INDEX('Dr Umesh Choudhry'!$M$7:$M$300,MATCH($A51,'Dr Umesh Choudhry'!$B$7:$B$300,0)),"")</f>
        <v/>
      </c>
      <c r="J51" s="48" t="str">
        <f aca="false">IFERROR(INDEX(DA!$M$7:$M$300,MATCH($A51,DA!$B$7:$B$300,0)),"")</f>
        <v/>
      </c>
      <c r="K51" s="62" t="s">
        <v>182</v>
      </c>
      <c r="L51" s="63" t="n">
        <v>405</v>
      </c>
      <c r="M51" s="9" t="n">
        <f aca="false">IF(AND(ISNUMBER(B51),ISNUMBER(L51),N(L51)&gt;0),B51/L51-1,"")</f>
        <v>-0.000246913580246977</v>
      </c>
    </row>
    <row r="52" customFormat="false" ht="15" hidden="false" customHeight="false" outlineLevel="0" collapsed="false">
      <c r="A52" s="5" t="s">
        <v>112</v>
      </c>
      <c r="B52" s="59" t="n">
        <v>437</v>
      </c>
      <c r="C52" s="60" t="n">
        <f aca="false">IF(ISNUMBER(B52),B52,IF(ISNUMBER(E52),E52,IF(ISNUMBER(F52),F52,IF(ISNUMBER(G52),G52,IF(ISNUMBER(H52),H52,IF(ISNUMBER(I52),I52,IF(ISNUMBER(J52),J52,"")))))))</f>
        <v>437</v>
      </c>
      <c r="D52" s="61" t="str">
        <f aca="false">IF(ISNUMBER(B52),IF(K52&lt;&gt;"",K52,"Manual override"),IF(ISNUMBER(E52),"Gautam stmt – 23.10",IF(ISNUMBER(F52),"Manish Shilpa stmt – live 23.10",IF(ISNUMBER(G52),"Saloni stmt – 20.10 (stale)",IF(ISNUMBER(H52),"Vidushi stmt – LTP 05.10",IF(ISNUMBER(I52),"Umesh stmt – NSE live 09.10",IF(ISNUMBER(J52),"DA stmt – older (stale)","No price on any statement")))))))</f>
        <v>Close 22.10.2026 (Screener.in)</v>
      </c>
      <c r="E52" s="48" t="str">
        <f aca="false">IFERROR(INDEX(Gautam!$M$7:$M$300,MATCH($A52,Gautam!$B$7:$B$300,0)),"")</f>
        <v/>
      </c>
      <c r="F52" s="48" t="n">
        <f aca="false">IFERROR(INDEX('Manish Shilpa'!$M$7:$M$300,MATCH($A52,'Manish Shilpa'!$B$7:$B$300,0)),"")</f>
        <v>433.1125</v>
      </c>
      <c r="G52" s="48" t="str">
        <f aca="false">IFERROR(INDEX('Saloni Mehra'!$M$7:$M$300,MATCH($A52,'Saloni Mehra'!$B$7:$B$300,0)),"")</f>
        <v/>
      </c>
      <c r="H52" s="48" t="str">
        <f aca="false">IFERROR(INDEX('Vidushi Malhotra'!$M$7:$M$300,MATCH($A52,'Vidushi Malhotra'!$B$7:$B$300,0)),"")</f>
        <v/>
      </c>
      <c r="I52" s="48" t="str">
        <f aca="false">IFERROR(INDEX('Dr Umesh Choudhry'!$M$7:$M$300,MATCH($A52,'Dr Umesh Choudhry'!$B$7:$B$300,0)),"")</f>
        <v/>
      </c>
      <c r="J52" s="48" t="str">
        <f aca="false">IFERROR(INDEX(DA!$M$7:$M$300,MATCH($A52,DA!$B$7:$B$300,0)),"")</f>
        <v/>
      </c>
      <c r="K52" s="62" t="s">
        <v>182</v>
      </c>
      <c r="L52" s="63" t="n">
        <v>437.8</v>
      </c>
      <c r="M52" s="9" t="n">
        <f aca="false">IF(AND(ISNUMBER(B52),ISNUMBER(L52),N(L52)&gt;0),B52/L52-1,"")</f>
        <v>-0.00182731841023298</v>
      </c>
    </row>
    <row r="53" customFormat="false" ht="15" hidden="false" customHeight="false" outlineLevel="0" collapsed="false">
      <c r="A53" s="5" t="s">
        <v>89</v>
      </c>
      <c r="B53" s="59" t="n">
        <v>3954.8</v>
      </c>
      <c r="C53" s="60" t="n">
        <f aca="false">IF(ISNUMBER(B53),B53,IF(ISNUMBER(E53),E53,IF(ISNUMBER(F53),F53,IF(ISNUMBER(G53),G53,IF(ISNUMBER(H53),H53,IF(ISNUMBER(I53),I53,IF(ISNUMBER(J53),J53,"")))))))</f>
        <v>3954.8</v>
      </c>
      <c r="D53" s="61" t="str">
        <f aca="false">IF(ISNUMBER(B53),IF(K53&lt;&gt;"",K53,"Manual override"),IF(ISNUMBER(E53),"Gautam stmt – 23.10",IF(ISNUMBER(F53),"Manish Shilpa stmt – live 23.10",IF(ISNUMBER(G53),"Saloni stmt – 20.10 (stale)",IF(ISNUMBER(H53),"Vidushi stmt – LTP 05.10",IF(ISNUMBER(I53),"Umesh stmt – NSE live 09.10",IF(ISNUMBER(J53),"DA stmt – older (stale)","No price on any statement")))))))</f>
        <v>Close 22.10.2026 (Screener.in)</v>
      </c>
      <c r="E53" s="48" t="n">
        <f aca="false">IFERROR(INDEX(Gautam!$M$7:$M$300,MATCH($A53,Gautam!$B$7:$B$300,0)),"")</f>
        <v>3996</v>
      </c>
      <c r="F53" s="48" t="n">
        <f aca="false">IFERROR(INDEX('Manish Shilpa'!$M$7:$M$300,MATCH($A53,'Manish Shilpa'!$B$7:$B$300,0)),"")</f>
        <v>3924.83333333333</v>
      </c>
      <c r="G53" s="48" t="str">
        <f aca="false">IFERROR(INDEX('Saloni Mehra'!$M$7:$M$300,MATCH($A53,'Saloni Mehra'!$B$7:$B$300,0)),"")</f>
        <v/>
      </c>
      <c r="H53" s="48" t="n">
        <f aca="false">IFERROR(INDEX('Vidushi Malhotra'!$M$7:$M$300,MATCH($A53,'Vidushi Malhotra'!$B$7:$B$300,0)),"")</f>
        <v>3219</v>
      </c>
      <c r="I53" s="48" t="n">
        <f aca="false">IFERROR(INDEX('Dr Umesh Choudhry'!$M$7:$M$300,MATCH($A53,'Dr Umesh Choudhry'!$B$7:$B$300,0)),"")</f>
        <v>3202.5</v>
      </c>
      <c r="J53" s="48" t="n">
        <f aca="false">IFERROR(INDEX(DA!$M$7:$M$300,MATCH($A53,DA!$B$7:$B$300,0)),"")</f>
        <v>3337</v>
      </c>
      <c r="K53" s="62" t="s">
        <v>182</v>
      </c>
      <c r="L53" s="63" t="n">
        <v>3996.3</v>
      </c>
      <c r="M53" s="9" t="n">
        <f aca="false">IF(AND(ISNUMBER(B53),ISNUMBER(L53),N(L53)&gt;0),B53/L53-1,"")</f>
        <v>-0.0103846057603283</v>
      </c>
    </row>
    <row r="54" customFormat="false" ht="15" hidden="false" customHeight="false" outlineLevel="0" collapsed="false">
      <c r="A54" s="5" t="s">
        <v>86</v>
      </c>
      <c r="B54" s="59" t="n">
        <v>4274</v>
      </c>
      <c r="C54" s="60" t="n">
        <f aca="false">IF(ISNUMBER(B54),B54,IF(ISNUMBER(E54),E54,IF(ISNUMBER(F54),F54,IF(ISNUMBER(G54),G54,IF(ISNUMBER(H54),H54,IF(ISNUMBER(I54),I54,IF(ISNUMBER(J54),J54,"")))))))</f>
        <v>4274</v>
      </c>
      <c r="D54" s="61" t="str">
        <f aca="false">IF(ISNUMBER(B54),IF(K54&lt;&gt;"",K54,"Manual override"),IF(ISNUMBER(E54),"Gautam stmt – 23.10",IF(ISNUMBER(F54),"Manish Shilpa stmt – live 23.10",IF(ISNUMBER(G54),"Saloni stmt – 20.10 (stale)",IF(ISNUMBER(H54),"Vidushi stmt – LTP 05.10",IF(ISNUMBER(I54),"Umesh stmt – NSE live 09.10",IF(ISNUMBER(J54),"DA stmt – older (stale)","No price on any statement")))))))</f>
        <v>Close 22.10.2026 (Screener.in)</v>
      </c>
      <c r="E54" s="48" t="n">
        <f aca="false">IFERROR(INDEX(Gautam!$M$7:$M$300,MATCH($A54,Gautam!$B$7:$B$300,0)),"")</f>
        <v>4274</v>
      </c>
      <c r="F54" s="48" t="n">
        <f aca="false">IFERROR(INDEX('Manish Shilpa'!$M$7:$M$300,MATCH($A54,'Manish Shilpa'!$B$7:$B$300,0)),"")</f>
        <v>4194.18181818182</v>
      </c>
      <c r="G54" s="48" t="n">
        <f aca="false">IFERROR(INDEX('Saloni Mehra'!$M$7:$M$300,MATCH($A54,'Saloni Mehra'!$B$7:$B$300,0)),"")</f>
        <v>4264.90361445783</v>
      </c>
      <c r="H54" s="48" t="n">
        <f aca="false">IFERROR(INDEX('Vidushi Malhotra'!$M$7:$M$300,MATCH($A54,'Vidushi Malhotra'!$B$7:$B$300,0)),"")</f>
        <v>3986</v>
      </c>
      <c r="I54" s="48" t="n">
        <f aca="false">IFERROR(INDEX('Dr Umesh Choudhry'!$M$7:$M$300,MATCH($A54,'Dr Umesh Choudhry'!$B$7:$B$300,0)),"")</f>
        <v>4036.89189189189</v>
      </c>
      <c r="J54" s="48" t="n">
        <f aca="false">IFERROR(INDEX(DA!$M$7:$M$300,MATCH($A54,DA!$B$7:$B$300,0)),"")</f>
        <v>4275</v>
      </c>
      <c r="K54" s="62" t="s">
        <v>182</v>
      </c>
      <c r="L54" s="63" t="n">
        <v>4298</v>
      </c>
      <c r="M54" s="9" t="n">
        <f aca="false">IF(AND(ISNUMBER(B54),ISNUMBER(L54),N(L54)&gt;0),B54/L54-1,"")</f>
        <v>-0.00558399255467656</v>
      </c>
    </row>
    <row r="55" customFormat="false" ht="15" hidden="false" customHeight="false" outlineLevel="0" collapsed="false">
      <c r="A55" s="5" t="s">
        <v>123</v>
      </c>
      <c r="B55" s="59" t="n">
        <v>169.62</v>
      </c>
      <c r="C55" s="60" t="n">
        <f aca="false">IF(ISNUMBER(B55),B55,IF(ISNUMBER(E55),E55,IF(ISNUMBER(F55),F55,IF(ISNUMBER(G55),G55,IF(ISNUMBER(H55),H55,IF(ISNUMBER(I55),I55,IF(ISNUMBER(J55),J55,"")))))))</f>
        <v>169.62</v>
      </c>
      <c r="D55" s="61" t="str">
        <f aca="false">IF(ISNUMBER(B55),IF(K55&lt;&gt;"",K55,"Manual override"),IF(ISNUMBER(E55),"Gautam stmt – 23.10",IF(ISNUMBER(F55),"Manish Shilpa stmt – live 23.10",IF(ISNUMBER(G55),"Saloni stmt – 20.10 (stale)",IF(ISNUMBER(H55),"Vidushi stmt – LTP 05.10",IF(ISNUMBER(I55),"Umesh stmt – NSE live 09.10",IF(ISNUMBER(J55),"DA stmt – older (stale)","No price on any statement")))))))</f>
        <v>Close 22.10.2026 (Screener.in)</v>
      </c>
      <c r="E55" s="48" t="str">
        <f aca="false">IFERROR(INDEX(Gautam!$M$7:$M$300,MATCH($A55,Gautam!$B$7:$B$300,0)),"")</f>
        <v/>
      </c>
      <c r="F55" s="48" t="str">
        <f aca="false">IFERROR(INDEX('Manish Shilpa'!$M$7:$M$300,MATCH($A55,'Manish Shilpa'!$B$7:$B$300,0)),"")</f>
        <v/>
      </c>
      <c r="G55" s="48" t="str">
        <f aca="false">IFERROR(INDEX('Saloni Mehra'!$M$7:$M$300,MATCH($A55,'Saloni Mehra'!$B$7:$B$300,0)),"")</f>
        <v/>
      </c>
      <c r="H55" s="48" t="str">
        <f aca="false">IFERROR(INDEX('Vidushi Malhotra'!$M$7:$M$300,MATCH($A55,'Vidushi Malhotra'!$B$7:$B$300,0)),"")</f>
        <v/>
      </c>
      <c r="I55" s="48" t="str">
        <f aca="false">IFERROR(INDEX('Dr Umesh Choudhry'!$M$7:$M$300,MATCH($A55,'Dr Umesh Choudhry'!$B$7:$B$300,0)),"")</f>
        <v/>
      </c>
      <c r="J55" s="48" t="n">
        <f aca="false">IFERROR(INDEX(DA!$M$7:$M$300,MATCH($A55,DA!$B$7:$B$300,0)),"")</f>
        <v>210</v>
      </c>
      <c r="K55" s="62" t="s">
        <v>182</v>
      </c>
      <c r="L55" s="63" t="n">
        <v>173.28</v>
      </c>
      <c r="M55" s="9" t="n">
        <f aca="false">IF(AND(ISNUMBER(B55),ISNUMBER(L55),N(L55)&gt;0),B55/L55-1,"")</f>
        <v>-0.0211218836565097</v>
      </c>
    </row>
    <row r="56" customFormat="false" ht="15" hidden="false" customHeight="false" outlineLevel="0" collapsed="false">
      <c r="A56" s="5" t="s">
        <v>116</v>
      </c>
      <c r="B56" s="59" t="n">
        <v>120.17</v>
      </c>
      <c r="C56" s="60" t="n">
        <f aca="false">IF(ISNUMBER(B56),B56,IF(ISNUMBER(E56),E56,IF(ISNUMBER(F56),F56,IF(ISNUMBER(G56),G56,IF(ISNUMBER(H56),H56,IF(ISNUMBER(I56),I56,IF(ISNUMBER(J56),J56,"")))))))</f>
        <v>120.17</v>
      </c>
      <c r="D56" s="61" t="str">
        <f aca="false">IF(ISNUMBER(B56),IF(K56&lt;&gt;"",K56,"Manual override"),IF(ISNUMBER(E56),"Gautam stmt – 23.10",IF(ISNUMBER(F56),"Manish Shilpa stmt – live 23.10",IF(ISNUMBER(G56),"Saloni stmt – 20.10 (stale)",IF(ISNUMBER(H56),"Vidushi stmt – LTP 05.10",IF(ISNUMBER(I56),"Umesh stmt – NSE live 09.10",IF(ISNUMBER(J56),"DA stmt – older (stale)","No price on any statement")))))))</f>
        <v>Close 22.10.2026 (Screener.in)</v>
      </c>
      <c r="E56" s="48" t="str">
        <f aca="false">IFERROR(INDEX(Gautam!$M$7:$M$300,MATCH($A56,Gautam!$B$7:$B$300,0)),"")</f>
        <v/>
      </c>
      <c r="F56" s="48" t="str">
        <f aca="false">IFERROR(INDEX('Manish Shilpa'!$M$7:$M$300,MATCH($A56,'Manish Shilpa'!$B$7:$B$300,0)),"")</f>
        <v/>
      </c>
      <c r="G56" s="48" t="str">
        <f aca="false">IFERROR(INDEX('Saloni Mehra'!$M$7:$M$300,MATCH($A56,'Saloni Mehra'!$B$7:$B$300,0)),"")</f>
        <v/>
      </c>
      <c r="H56" s="48" t="str">
        <f aca="false">IFERROR(INDEX('Vidushi Malhotra'!$M$7:$M$300,MATCH($A56,'Vidushi Malhotra'!$B$7:$B$300,0)),"")</f>
        <v/>
      </c>
      <c r="I56" s="48" t="str">
        <f aca="false">IFERROR(INDEX('Dr Umesh Choudhry'!$M$7:$M$300,MATCH($A56,'Dr Umesh Choudhry'!$B$7:$B$300,0)),"")</f>
        <v/>
      </c>
      <c r="J56" s="48" t="n">
        <f aca="false">IFERROR(INDEX(DA!$M$7:$M$300,MATCH($A56,DA!$B$7:$B$300,0)),"")</f>
        <v>141</v>
      </c>
      <c r="K56" s="62" t="s">
        <v>182</v>
      </c>
      <c r="L56" s="63" t="n">
        <v>123.2</v>
      </c>
      <c r="M56" s="9" t="n">
        <f aca="false">IF(AND(ISNUMBER(B56),ISNUMBER(L56),N(L56)&gt;0),B56/L56-1,"")</f>
        <v>-0.0245941558441558</v>
      </c>
    </row>
    <row r="57" customFormat="false" ht="15" hidden="false" customHeight="false" outlineLevel="0" collapsed="false">
      <c r="A57" s="5" t="s">
        <v>166</v>
      </c>
      <c r="B57" s="59"/>
      <c r="C57" s="60" t="str">
        <f aca="false">IF(ISNUMBER(B57),B57,IF(ISNUMBER(E57),E57,IF(ISNUMBER(F57),F57,IF(ISNUMBER(G57),G57,IF(ISNUMBER(H57),H57,IF(ISNUMBER(I57),I57,IF(ISNUMBER(J57),J57,"")))))))</f>
        <v/>
      </c>
      <c r="D57" s="61" t="str">
        <f aca="false">IF(ISNUMBER(B57),IF(K57&lt;&gt;"",K57,"Manual override"),IF(ISNUMBER(E57),"Gautam stmt – 23.10",IF(ISNUMBER(F57),"Manish Shilpa stmt – live 23.10",IF(ISNUMBER(G57),"Saloni stmt – 20.10 (stale)",IF(ISNUMBER(H57),"Vidushi stmt – LTP 05.10",IF(ISNUMBER(I57),"Umesh stmt – NSE live 09.10",IF(ISNUMBER(J57),"DA stmt – older (stale)","No price on any statement")))))))</f>
        <v>No price on any statement</v>
      </c>
      <c r="E57" s="48" t="str">
        <f aca="false">IFERROR(INDEX(Gautam!$M$7:$M$300,MATCH($A57,Gautam!$B$7:$B$300,0)),"")</f>
        <v/>
      </c>
      <c r="F57" s="48" t="str">
        <f aca="false">IFERROR(INDEX('Manish Shilpa'!$M$7:$M$300,MATCH($A57,'Manish Shilpa'!$B$7:$B$300,0)),"")</f>
        <v/>
      </c>
      <c r="G57" s="48" t="str">
        <f aca="false">IFERROR(INDEX('Saloni Mehra'!$M$7:$M$300,MATCH($A57,'Saloni Mehra'!$B$7:$B$300,0)),"")</f>
        <v/>
      </c>
      <c r="H57" s="48" t="str">
        <f aca="false">IFERROR(INDEX('Vidushi Malhotra'!$M$7:$M$300,MATCH($A57,'Vidushi Malhotra'!$B$7:$B$300,0)),"")</f>
        <v/>
      </c>
      <c r="I57" s="48" t="str">
        <f aca="false">IFERROR(INDEX('Dr Umesh Choudhry'!$M$7:$M$300,MATCH($A57,'Dr Umesh Choudhry'!$B$7:$B$300,0)),"")</f>
        <v/>
      </c>
      <c r="J57" s="48" t="str">
        <f aca="false">IFERROR(INDEX(DA!$M$7:$M$300,MATCH($A57,DA!$B$7:$B$300,0)),"")</f>
        <v/>
      </c>
      <c r="K57" s="62" t="s">
        <v>184</v>
      </c>
      <c r="L57" s="63"/>
      <c r="M57" s="9" t="str">
        <f aca="false">IF(AND(ISNUMBER(B57),ISNUMBER(L57),N(L57)&gt;0),B57/L57-1,"")</f>
        <v/>
      </c>
    </row>
    <row r="58" customFormat="false" ht="15" hidden="false" customHeight="false" outlineLevel="0" collapsed="false">
      <c r="A58" s="5" t="s">
        <v>106</v>
      </c>
      <c r="B58" s="59" t="n">
        <v>1189.9</v>
      </c>
      <c r="C58" s="60" t="n">
        <f aca="false">IF(ISNUMBER(B58),B58,IF(ISNUMBER(E58),E58,IF(ISNUMBER(F58),F58,IF(ISNUMBER(G58),G58,IF(ISNUMBER(H58),H58,IF(ISNUMBER(I58),I58,IF(ISNUMBER(J58),J58,"")))))))</f>
        <v>1189.9</v>
      </c>
      <c r="D58" s="61" t="str">
        <f aca="false">IF(ISNUMBER(B58),IF(K58&lt;&gt;"",K58,"Manual override"),IF(ISNUMBER(E58),"Gautam stmt – 23.10",IF(ISNUMBER(F58),"Manish Shilpa stmt – live 23.10",IF(ISNUMBER(G58),"Saloni stmt – 20.10 (stale)",IF(ISNUMBER(H58),"Vidushi stmt – LTP 05.10",IF(ISNUMBER(I58),"Umesh stmt – NSE live 09.10",IF(ISNUMBER(J58),"DA stmt – older (stale)","No price on any statement")))))))</f>
        <v>Close 22.10.2026 (Screener.in)</v>
      </c>
      <c r="E58" s="48" t="n">
        <f aca="false">IFERROR(INDEX(Gautam!$M$7:$M$300,MATCH($A58,Gautam!$B$7:$B$300,0)),"")</f>
        <v>1190</v>
      </c>
      <c r="F58" s="48" t="str">
        <f aca="false">IFERROR(INDEX('Manish Shilpa'!$M$7:$M$300,MATCH($A58,'Manish Shilpa'!$B$7:$B$300,0)),"")</f>
        <v/>
      </c>
      <c r="G58" s="48" t="n">
        <f aca="false">IFERROR(INDEX('Saloni Mehra'!$M$7:$M$300,MATCH($A58,'Saloni Mehra'!$B$7:$B$300,0)),"")</f>
        <v>1242.75</v>
      </c>
      <c r="H58" s="48" t="str">
        <f aca="false">IFERROR(INDEX('Vidushi Malhotra'!$M$7:$M$300,MATCH($A58,'Vidushi Malhotra'!$B$7:$B$300,0)),"")</f>
        <v/>
      </c>
      <c r="I58" s="48" t="n">
        <f aca="false">IFERROR(INDEX('Dr Umesh Choudhry'!$M$7:$M$300,MATCH($A58,'Dr Umesh Choudhry'!$B$7:$B$300,0)),"")</f>
        <v>1325</v>
      </c>
      <c r="J58" s="48" t="n">
        <f aca="false">IFERROR(INDEX(DA!$M$7:$M$300,MATCH($A58,DA!$B$7:$B$300,0)),"")</f>
        <v>1383</v>
      </c>
      <c r="K58" s="62" t="s">
        <v>182</v>
      </c>
      <c r="L58" s="63" t="n">
        <v>1223.9</v>
      </c>
      <c r="M58" s="9" t="n">
        <f aca="false">IF(AND(ISNUMBER(B58),ISNUMBER(L58),N(L58)&gt;0),B58/L58-1,"")</f>
        <v>-0.0277800473894926</v>
      </c>
    </row>
    <row r="59" customFormat="false" ht="15" hidden="false" customHeight="false" outlineLevel="0" collapsed="false">
      <c r="A59" s="5" t="s">
        <v>146</v>
      </c>
      <c r="B59" s="59"/>
      <c r="C59" s="60" t="n">
        <f aca="false">IF(ISNUMBER(B59),B59,IF(ISNUMBER(E59),E59,IF(ISNUMBER(F59),F59,IF(ISNUMBER(G59),G59,IF(ISNUMBER(H59),H59,IF(ISNUMBER(I59),I59,IF(ISNUMBER(J59),J59,"")))))))</f>
        <v>123</v>
      </c>
      <c r="D59" s="61" t="str">
        <f aca="false">IF(ISNUMBER(B59),IF(K59&lt;&gt;"",K59,"Manual override"),IF(ISNUMBER(E59),"Gautam stmt – 23.10",IF(ISNUMBER(F59),"Manish Shilpa stmt – live 23.10",IF(ISNUMBER(G59),"Saloni stmt – 20.10 (stale)",IF(ISNUMBER(H59),"Vidushi stmt – LTP 05.10",IF(ISNUMBER(I59),"Umesh stmt – NSE live 09.10",IF(ISNUMBER(J59),"DA stmt – older (stale)","No price on any statement")))))))</f>
        <v>Gautam stmt – 23.10</v>
      </c>
      <c r="E59" s="48" t="n">
        <f aca="false">IFERROR(INDEX(Gautam!$M$7:$M$300,MATCH($A59,Gautam!$B$7:$B$300,0)),"")</f>
        <v>123</v>
      </c>
      <c r="F59" s="48" t="str">
        <f aca="false">IFERROR(INDEX('Manish Shilpa'!$M$7:$M$300,MATCH($A59,'Manish Shilpa'!$B$7:$B$300,0)),"")</f>
        <v/>
      </c>
      <c r="G59" s="48" t="str">
        <f aca="false">IFERROR(INDEX('Saloni Mehra'!$M$7:$M$300,MATCH($A59,'Saloni Mehra'!$B$7:$B$300,0)),"")</f>
        <v/>
      </c>
      <c r="H59" s="48" t="n">
        <f aca="false">IFERROR(INDEX('Vidushi Malhotra'!$M$7:$M$300,MATCH($A59,'Vidushi Malhotra'!$B$7:$B$300,0)),"")</f>
        <v>121</v>
      </c>
      <c r="I59" s="48" t="str">
        <f aca="false">IFERROR(INDEX('Dr Umesh Choudhry'!$M$7:$M$300,MATCH($A59,'Dr Umesh Choudhry'!$B$7:$B$300,0)),"")</f>
        <v/>
      </c>
      <c r="J59" s="48" t="str">
        <f aca="false">IFERROR(INDEX(DA!$M$7:$M$300,MATCH($A59,DA!$B$7:$B$300,0)),"")</f>
        <v/>
      </c>
      <c r="K59" s="62" t="s">
        <v>184</v>
      </c>
      <c r="L59" s="63"/>
      <c r="M59" s="9" t="str">
        <f aca="false">IF(AND(ISNUMBER(B59),ISNUMBER(L59),N(L59)&gt;0),B59/L59-1,"")</f>
        <v/>
      </c>
    </row>
    <row r="60" customFormat="false" ht="15" hidden="false" customHeight="false" outlineLevel="0" collapsed="false">
      <c r="A60" s="5" t="s">
        <v>125</v>
      </c>
      <c r="B60" s="59"/>
      <c r="C60" s="60" t="n">
        <f aca="false">IF(ISNUMBER(B60),B60,IF(ISNUMBER(E60),E60,IF(ISNUMBER(F60),F60,IF(ISNUMBER(G60),G60,IF(ISNUMBER(H60),H60,IF(ISNUMBER(I60),I60,IF(ISNUMBER(J60),J60,"")))))))</f>
        <v>877.029411764706</v>
      </c>
      <c r="D60" s="61" t="str">
        <f aca="false">IF(ISNUMBER(B60),IF(K60&lt;&gt;"",K60,"Manual override"),IF(ISNUMBER(E60),"Gautam stmt – 23.10",IF(ISNUMBER(F60),"Manish Shilpa stmt – live 23.10",IF(ISNUMBER(G60),"Saloni stmt – 20.10 (stale)",IF(ISNUMBER(H60),"Vidushi stmt – LTP 05.10",IF(ISNUMBER(I60),"Umesh stmt – NSE live 09.10",IF(ISNUMBER(J60),"DA stmt – older (stale)","No price on any statement")))))))</f>
        <v>Manish Shilpa stmt – live 23.10</v>
      </c>
      <c r="E60" s="48" t="str">
        <f aca="false">IFERROR(INDEX(Gautam!$M$7:$M$300,MATCH($A60,Gautam!$B$7:$B$300,0)),"")</f>
        <v/>
      </c>
      <c r="F60" s="48" t="n">
        <f aca="false">IFERROR(INDEX('Manish Shilpa'!$M$7:$M$300,MATCH($A60,'Manish Shilpa'!$B$7:$B$300,0)),"")</f>
        <v>877.029411764706</v>
      </c>
      <c r="G60" s="48" t="str">
        <f aca="false">IFERROR(INDEX('Saloni Mehra'!$M$7:$M$300,MATCH($A60,'Saloni Mehra'!$B$7:$B$300,0)),"")</f>
        <v/>
      </c>
      <c r="H60" s="48" t="str">
        <f aca="false">IFERROR(INDEX('Vidushi Malhotra'!$M$7:$M$300,MATCH($A60,'Vidushi Malhotra'!$B$7:$B$300,0)),"")</f>
        <v/>
      </c>
      <c r="I60" s="48" t="str">
        <f aca="false">IFERROR(INDEX('Dr Umesh Choudhry'!$M$7:$M$300,MATCH($A60,'Dr Umesh Choudhry'!$B$7:$B$300,0)),"")</f>
        <v/>
      </c>
      <c r="J60" s="48" t="str">
        <f aca="false">IFERROR(INDEX(DA!$M$7:$M$300,MATCH($A60,DA!$B$7:$B$300,0)),"")</f>
        <v/>
      </c>
      <c r="K60" s="62" t="s">
        <v>184</v>
      </c>
      <c r="L60" s="63"/>
      <c r="M60" s="9" t="str">
        <f aca="false">IF(AND(ISNUMBER(B60),ISNUMBER(L60),N(L60)&gt;0),B60/L60-1,"")</f>
        <v/>
      </c>
    </row>
    <row r="61" customFormat="false" ht="15" hidden="false" customHeight="false" outlineLevel="0" collapsed="false">
      <c r="A61" s="5" t="s">
        <v>95</v>
      </c>
      <c r="B61" s="59"/>
      <c r="C61" s="60" t="n">
        <f aca="false">IF(ISNUMBER(B61),B61,IF(ISNUMBER(E61),E61,IF(ISNUMBER(F61),F61,IF(ISNUMBER(G61),G61,IF(ISNUMBER(H61),H61,IF(ISNUMBER(I61),I61,IF(ISNUMBER(J61),J61,"")))))))</f>
        <v>1000</v>
      </c>
      <c r="D61" s="61" t="str">
        <f aca="false">IF(ISNUMBER(B61),IF(K61&lt;&gt;"",K61,"Manual override"),IF(ISNUMBER(E61),"Gautam stmt – 23.10",IF(ISNUMBER(F61),"Manish Shilpa stmt – live 23.10",IF(ISNUMBER(G61),"Saloni stmt – 20.10 (stale)",IF(ISNUMBER(H61),"Vidushi stmt – LTP 05.10",IF(ISNUMBER(I61),"Umesh stmt – NSE live 09.10",IF(ISNUMBER(J61),"DA stmt – older (stale)","No price on any statement")))))))</f>
        <v>Gautam stmt – 23.10</v>
      </c>
      <c r="E61" s="48" t="n">
        <f aca="false">IFERROR(INDEX(Gautam!$M$7:$M$300,MATCH($A61,Gautam!$B$7:$B$300,0)),"")</f>
        <v>1000</v>
      </c>
      <c r="F61" s="48" t="n">
        <f aca="false">IFERROR(INDEX('Manish Shilpa'!$M$7:$M$300,MATCH($A61,'Manish Shilpa'!$B$7:$B$300,0)),"")</f>
        <v>1389.75</v>
      </c>
      <c r="G61" s="48" t="str">
        <f aca="false">IFERROR(INDEX('Saloni Mehra'!$M$7:$M$300,MATCH($A61,'Saloni Mehra'!$B$7:$B$300,0)),"")</f>
        <v/>
      </c>
      <c r="H61" s="48" t="str">
        <f aca="false">IFERROR(INDEX('Vidushi Malhotra'!$M$7:$M$300,MATCH($A61,'Vidushi Malhotra'!$B$7:$B$300,0)),"")</f>
        <v/>
      </c>
      <c r="I61" s="48" t="str">
        <f aca="false">IFERROR(INDEX('Dr Umesh Choudhry'!$M$7:$M$300,MATCH($A61,'Dr Umesh Choudhry'!$B$7:$B$300,0)),"")</f>
        <v/>
      </c>
      <c r="J61" s="48" t="str">
        <f aca="false">IFERROR(INDEX(DA!$M$7:$M$300,MATCH($A61,DA!$B$7:$B$300,0)),"")</f>
        <v/>
      </c>
      <c r="K61" s="62" t="s">
        <v>184</v>
      </c>
      <c r="L61" s="63"/>
      <c r="M61" s="9" t="str">
        <f aca="false">IF(AND(ISNUMBER(B61),ISNUMBER(L61),N(L61)&gt;0),B61/L61-1,"")</f>
        <v/>
      </c>
    </row>
    <row r="62" customFormat="false" ht="15" hidden="false" customHeight="false" outlineLevel="0" collapsed="false">
      <c r="A62" s="5" t="s">
        <v>81</v>
      </c>
      <c r="B62" s="59"/>
      <c r="C62" s="60" t="n">
        <f aca="false">IF(ISNUMBER(B62),B62,IF(ISNUMBER(E62),E62,IF(ISNUMBER(F62),F62,IF(ISNUMBER(G62),G62,IF(ISNUMBER(H62),H62,IF(ISNUMBER(I62),I62,IF(ISNUMBER(J62),J62,"")))))))</f>
        <v>256.692921146953</v>
      </c>
      <c r="D62" s="61" t="str">
        <f aca="false">IF(ISNUMBER(B62),IF(K62&lt;&gt;"",K62,"Manual override"),IF(ISNUMBER(E62),"Gautam stmt – 23.10",IF(ISNUMBER(F62),"Manish Shilpa stmt – live 23.10",IF(ISNUMBER(G62),"Saloni stmt – 20.10 (stale)",IF(ISNUMBER(H62),"Vidushi stmt – LTP 05.10",IF(ISNUMBER(I62),"Umesh stmt – NSE live 09.10",IF(ISNUMBER(J62),"DA stmt – older (stale)","No price on any statement")))))))</f>
        <v>Manish Shilpa stmt – live 23.10</v>
      </c>
      <c r="E62" s="48" t="str">
        <f aca="false">IFERROR(INDEX(Gautam!$M$7:$M$300,MATCH($A62,Gautam!$B$7:$B$300,0)),"")</f>
        <v/>
      </c>
      <c r="F62" s="48" t="n">
        <f aca="false">IFERROR(INDEX('Manish Shilpa'!$M$7:$M$300,MATCH($A62,'Manish Shilpa'!$B$7:$B$300,0)),"")</f>
        <v>256.692921146953</v>
      </c>
      <c r="G62" s="48" t="str">
        <f aca="false">IFERROR(INDEX('Saloni Mehra'!$M$7:$M$300,MATCH($A62,'Saloni Mehra'!$B$7:$B$300,0)),"")</f>
        <v/>
      </c>
      <c r="H62" s="48" t="n">
        <f aca="false">IFERROR(INDEX('Vidushi Malhotra'!$M$7:$M$300,MATCH($A62,'Vidushi Malhotra'!$B$7:$B$300,0)),"")</f>
        <v>257</v>
      </c>
      <c r="I62" s="48" t="str">
        <f aca="false">IFERROR(INDEX('Dr Umesh Choudhry'!$M$7:$M$300,MATCH($A62,'Dr Umesh Choudhry'!$B$7:$B$300,0)),"")</f>
        <v/>
      </c>
      <c r="J62" s="48" t="str">
        <f aca="false">IFERROR(INDEX(DA!$M$7:$M$300,MATCH($A62,DA!$B$7:$B$300,0)),"")</f>
        <v/>
      </c>
      <c r="K62" s="62" t="s">
        <v>184</v>
      </c>
      <c r="L62" s="63"/>
      <c r="M62" s="9" t="str">
        <f aca="false">IF(AND(ISNUMBER(B62),ISNUMBER(L62),N(L62)&gt;0),B62/L62-1,"")</f>
        <v/>
      </c>
    </row>
    <row r="63" customFormat="false" ht="15" hidden="false" customHeight="false" outlineLevel="0" collapsed="false">
      <c r="A63" s="5" t="s">
        <v>133</v>
      </c>
      <c r="B63" s="59" t="n">
        <v>84.35</v>
      </c>
      <c r="C63" s="60" t="n">
        <f aca="false">IF(ISNUMBER(B63),B63,IF(ISNUMBER(E63),E63,IF(ISNUMBER(F63),F63,IF(ISNUMBER(G63),G63,IF(ISNUMBER(H63),H63,IF(ISNUMBER(I63),I63,IF(ISNUMBER(J63),J63,"")))))))</f>
        <v>84.35</v>
      </c>
      <c r="D63" s="61" t="str">
        <f aca="false">IF(ISNUMBER(B63),IF(K63&lt;&gt;"",K63,"Manual override"),IF(ISNUMBER(E63),"Gautam stmt – 23.10",IF(ISNUMBER(F63),"Manish Shilpa stmt – live 23.10",IF(ISNUMBER(G63),"Saloni stmt – 20.10 (stale)",IF(ISNUMBER(H63),"Vidushi stmt – LTP 05.10",IF(ISNUMBER(I63),"Umesh stmt – NSE live 09.10",IF(ISNUMBER(J63),"DA stmt – older (stale)","No price on any statement")))))))</f>
        <v>Close 22.10.2026 (Screener.in)</v>
      </c>
      <c r="E63" s="48" t="str">
        <f aca="false">IFERROR(INDEX(Gautam!$M$7:$M$300,MATCH($A63,Gautam!$B$7:$B$300,0)),"")</f>
        <v/>
      </c>
      <c r="F63" s="48" t="str">
        <f aca="false">IFERROR(INDEX('Manish Shilpa'!$M$7:$M$300,MATCH($A63,'Manish Shilpa'!$B$7:$B$300,0)),"")</f>
        <v/>
      </c>
      <c r="G63" s="48" t="str">
        <f aca="false">IFERROR(INDEX('Saloni Mehra'!$M$7:$M$300,MATCH($A63,'Saloni Mehra'!$B$7:$B$300,0)),"")</f>
        <v/>
      </c>
      <c r="H63" s="48" t="str">
        <f aca="false">IFERROR(INDEX('Vidushi Malhotra'!$M$7:$M$300,MATCH($A63,'Vidushi Malhotra'!$B$7:$B$300,0)),"")</f>
        <v/>
      </c>
      <c r="I63" s="48" t="str">
        <f aca="false">IFERROR(INDEX('Dr Umesh Choudhry'!$M$7:$M$300,MATCH($A63,'Dr Umesh Choudhry'!$B$7:$B$300,0)),"")</f>
        <v/>
      </c>
      <c r="J63" s="48" t="n">
        <f aca="false">IFERROR(INDEX(DA!$M$7:$M$300,MATCH($A63,DA!$B$7:$B$300,0)),"")</f>
        <v>87</v>
      </c>
      <c r="K63" s="62" t="s">
        <v>182</v>
      </c>
      <c r="L63" s="63" t="n">
        <v>84.04</v>
      </c>
      <c r="M63" s="9" t="n">
        <f aca="false">IF(AND(ISNUMBER(B63),ISNUMBER(L63),N(L63)&gt;0),B63/L63-1,"")</f>
        <v>0.00368871965730588</v>
      </c>
    </row>
    <row r="64" customFormat="false" ht="15" hidden="false" customHeight="false" outlineLevel="0" collapsed="false">
      <c r="A64" s="5" t="s">
        <v>161</v>
      </c>
      <c r="B64" s="59" t="n">
        <v>116.89</v>
      </c>
      <c r="C64" s="60" t="n">
        <f aca="false">IF(ISNUMBER(B64),B64,IF(ISNUMBER(E64),E64,IF(ISNUMBER(F64),F64,IF(ISNUMBER(G64),G64,IF(ISNUMBER(H64),H64,IF(ISNUMBER(I64),I64,IF(ISNUMBER(J64),J64,"")))))))</f>
        <v>116.89</v>
      </c>
      <c r="D64" s="61" t="str">
        <f aca="false">IF(ISNUMBER(B64),IF(K64&lt;&gt;"",K64,"Manual override"),IF(ISNUMBER(E64),"Gautam stmt – 23.10",IF(ISNUMBER(F64),"Manish Shilpa stmt – live 23.10",IF(ISNUMBER(G64),"Saloni stmt – 20.10 (stale)",IF(ISNUMBER(H64),"Vidushi stmt – LTP 05.10",IF(ISNUMBER(I64),"Umesh stmt – NSE live 09.10",IF(ISNUMBER(J64),"DA stmt – older (stale)","No price on any statement")))))))</f>
        <v>Close 22.10.2026 (Screener.in)</v>
      </c>
      <c r="E64" s="48" t="str">
        <f aca="false">IFERROR(INDEX(Gautam!$M$7:$M$300,MATCH($A64,Gautam!$B$7:$B$300,0)),"")</f>
        <v/>
      </c>
      <c r="F64" s="48" t="str">
        <f aca="false">IFERROR(INDEX('Manish Shilpa'!$M$7:$M$300,MATCH($A64,'Manish Shilpa'!$B$7:$B$300,0)),"")</f>
        <v/>
      </c>
      <c r="G64" s="48" t="str">
        <f aca="false">IFERROR(INDEX('Saloni Mehra'!$M$7:$M$300,MATCH($A64,'Saloni Mehra'!$B$7:$B$300,0)),"")</f>
        <v/>
      </c>
      <c r="H64" s="48" t="str">
        <f aca="false">IFERROR(INDEX('Vidushi Malhotra'!$M$7:$M$300,MATCH($A64,'Vidushi Malhotra'!$B$7:$B$300,0)),"")</f>
        <v/>
      </c>
      <c r="I64" s="48" t="str">
        <f aca="false">IFERROR(INDEX('Dr Umesh Choudhry'!$M$7:$M$300,MATCH($A64,'Dr Umesh Choudhry'!$B$7:$B$300,0)),"")</f>
        <v/>
      </c>
      <c r="J64" s="48" t="n">
        <f aca="false">IFERROR(INDEX(DA!$M$7:$M$300,MATCH($A64,DA!$B$7:$B$300,0)),"")</f>
        <v>126</v>
      </c>
      <c r="K64" s="62" t="s">
        <v>182</v>
      </c>
      <c r="L64" s="63" t="n">
        <v>113.81</v>
      </c>
      <c r="M64" s="9" t="n">
        <f aca="false">IF(AND(ISNUMBER(B64),ISNUMBER(L64),N(L64)&gt;0),B64/L64-1,"")</f>
        <v>0.0270626482734382</v>
      </c>
    </row>
    <row r="65" customFormat="false" ht="15" hidden="false" customHeight="false" outlineLevel="0" collapsed="false">
      <c r="A65" s="5" t="s">
        <v>158</v>
      </c>
      <c r="B65" s="59" t="n">
        <v>188.91</v>
      </c>
      <c r="C65" s="60" t="n">
        <f aca="false">IF(ISNUMBER(B65),B65,IF(ISNUMBER(E65),E65,IF(ISNUMBER(F65),F65,IF(ISNUMBER(G65),G65,IF(ISNUMBER(H65),H65,IF(ISNUMBER(I65),I65,IF(ISNUMBER(J65),J65,"")))))))</f>
        <v>188.91</v>
      </c>
      <c r="D65" s="61" t="str">
        <f aca="false">IF(ISNUMBER(B65),IF(K65&lt;&gt;"",K65,"Manual override"),IF(ISNUMBER(E65),"Gautam stmt – 23.10",IF(ISNUMBER(F65),"Manish Shilpa stmt – live 23.10",IF(ISNUMBER(G65),"Saloni stmt – 20.10 (stale)",IF(ISNUMBER(H65),"Vidushi stmt – LTP 05.10",IF(ISNUMBER(I65),"Umesh stmt – NSE live 09.10",IF(ISNUMBER(J65),"DA stmt – older (stale)","No price on any statement")))))))</f>
        <v>Close 22.10.2026 (Screener.in)</v>
      </c>
      <c r="E65" s="48" t="n">
        <f aca="false">IFERROR(INDEX(Gautam!$M$7:$M$300,MATCH($A65,Gautam!$B$7:$B$300,0)),"")</f>
        <v>154</v>
      </c>
      <c r="F65" s="48" t="str">
        <f aca="false">IFERROR(INDEX('Manish Shilpa'!$M$7:$M$300,MATCH($A65,'Manish Shilpa'!$B$7:$B$300,0)),"")</f>
        <v/>
      </c>
      <c r="G65" s="48" t="str">
        <f aca="false">IFERROR(INDEX('Saloni Mehra'!$M$7:$M$300,MATCH($A65,'Saloni Mehra'!$B$7:$B$300,0)),"")</f>
        <v/>
      </c>
      <c r="H65" s="48" t="str">
        <f aca="false">IFERROR(INDEX('Vidushi Malhotra'!$M$7:$M$300,MATCH($A65,'Vidushi Malhotra'!$B$7:$B$300,0)),"")</f>
        <v/>
      </c>
      <c r="I65" s="48" t="str">
        <f aca="false">IFERROR(INDEX('Dr Umesh Choudhry'!$M$7:$M$300,MATCH($A65,'Dr Umesh Choudhry'!$B$7:$B$300,0)),"")</f>
        <v/>
      </c>
      <c r="J65" s="48" t="str">
        <f aca="false">IFERROR(INDEX(DA!$M$7:$M$300,MATCH($A65,DA!$B$7:$B$300,0)),"")</f>
        <v/>
      </c>
      <c r="K65" s="62" t="s">
        <v>182</v>
      </c>
      <c r="L65" s="63" t="n">
        <v>189.6</v>
      </c>
      <c r="M65" s="9" t="n">
        <f aca="false">IF(AND(ISNUMBER(B65),ISNUMBER(L65),N(L65)&gt;0),B65/L65-1,"")</f>
        <v>-0.00363924050632913</v>
      </c>
    </row>
    <row r="66" customFormat="false" ht="15" hidden="false" customHeight="false" outlineLevel="0" collapsed="false">
      <c r="A66" s="5" t="s">
        <v>113</v>
      </c>
      <c r="B66" s="59" t="n">
        <v>34425</v>
      </c>
      <c r="C66" s="60" t="n">
        <f aca="false">IF(ISNUMBER(B66),B66,IF(ISNUMBER(E66),E66,IF(ISNUMBER(F66),F66,IF(ISNUMBER(G66),G66,IF(ISNUMBER(H66),H66,IF(ISNUMBER(I66),I66,IF(ISNUMBER(J66),J66,"")))))))</f>
        <v>34425</v>
      </c>
      <c r="D66" s="61" t="str">
        <f aca="false">IF(ISNUMBER(B66),IF(K66&lt;&gt;"",K66,"Manual override"),IF(ISNUMBER(E66),"Gautam stmt – 23.10",IF(ISNUMBER(F66),"Manish Shilpa stmt – live 23.10",IF(ISNUMBER(G66),"Saloni stmt – 20.10 (stale)",IF(ISNUMBER(H66),"Vidushi stmt – LTP 05.10",IF(ISNUMBER(I66),"Umesh stmt – NSE live 09.10",IF(ISNUMBER(J66),"DA stmt – older (stale)","No price on any statement")))))))</f>
        <v>Close 22.10.2026 (Screener.in)</v>
      </c>
      <c r="E66" s="48" t="str">
        <f aca="false">IFERROR(INDEX(Gautam!$M$7:$M$300,MATCH($A66,Gautam!$B$7:$B$300,0)),"")</f>
        <v/>
      </c>
      <c r="F66" s="48" t="n">
        <f aca="false">IFERROR(INDEX('Manish Shilpa'!$M$7:$M$300,MATCH($A66,'Manish Shilpa'!$B$7:$B$300,0)),"")</f>
        <v>33825</v>
      </c>
      <c r="G66" s="48" t="str">
        <f aca="false">IFERROR(INDEX('Saloni Mehra'!$M$7:$M$300,MATCH($A66,'Saloni Mehra'!$B$7:$B$300,0)),"")</f>
        <v/>
      </c>
      <c r="H66" s="48" t="str">
        <f aca="false">IFERROR(INDEX('Vidushi Malhotra'!$M$7:$M$300,MATCH($A66,'Vidushi Malhotra'!$B$7:$B$300,0)),"")</f>
        <v/>
      </c>
      <c r="I66" s="48" t="str">
        <f aca="false">IFERROR(INDEX('Dr Umesh Choudhry'!$M$7:$M$300,MATCH($A66,'Dr Umesh Choudhry'!$B$7:$B$300,0)),"")</f>
        <v/>
      </c>
      <c r="J66" s="48" t="str">
        <f aca="false">IFERROR(INDEX(DA!$M$7:$M$300,MATCH($A66,DA!$B$7:$B$300,0)),"")</f>
        <v/>
      </c>
      <c r="K66" s="62" t="s">
        <v>182</v>
      </c>
      <c r="L66" s="63" t="n">
        <v>34870</v>
      </c>
      <c r="M66" s="9" t="n">
        <f aca="false">IF(AND(ISNUMBER(B66),ISNUMBER(L66),N(L66)&gt;0),B66/L66-1,"")</f>
        <v>-0.0127616862632636</v>
      </c>
    </row>
    <row r="67" customFormat="false" ht="15" hidden="false" customHeight="false" outlineLevel="0" collapsed="false">
      <c r="A67" s="5" t="s">
        <v>93</v>
      </c>
      <c r="B67" s="59" t="n">
        <v>5740.5</v>
      </c>
      <c r="C67" s="60" t="n">
        <f aca="false">IF(ISNUMBER(B67),B67,IF(ISNUMBER(E67),E67,IF(ISNUMBER(F67),F67,IF(ISNUMBER(G67),G67,IF(ISNUMBER(H67),H67,IF(ISNUMBER(I67),I67,IF(ISNUMBER(J67),J67,"")))))))</f>
        <v>5740.5</v>
      </c>
      <c r="D67" s="61" t="str">
        <f aca="false">IF(ISNUMBER(B67),IF(K67&lt;&gt;"",K67,"Manual override"),IF(ISNUMBER(E67),"Gautam stmt – 23.10",IF(ISNUMBER(F67),"Manish Shilpa stmt – live 23.10",IF(ISNUMBER(G67),"Saloni stmt – 20.10 (stale)",IF(ISNUMBER(H67),"Vidushi stmt – LTP 05.10",IF(ISNUMBER(I67),"Umesh stmt – NSE live 09.10",IF(ISNUMBER(J67),"DA stmt – older (stale)","No price on any statement")))))))</f>
        <v>Close 22.10.2026 (Screener.in)</v>
      </c>
      <c r="E67" s="48" t="n">
        <f aca="false">IFERROR(INDEX(Gautam!$M$7:$M$300,MATCH($A67,Gautam!$B$7:$B$300,0)),"")</f>
        <v>5740</v>
      </c>
      <c r="F67" s="48" t="n">
        <f aca="false">IFERROR(INDEX('Manish Shilpa'!$M$7:$M$300,MATCH($A67,'Manish Shilpa'!$B$7:$B$300,0)),"")</f>
        <v>5786.18181818182</v>
      </c>
      <c r="G67" s="48" t="str">
        <f aca="false">IFERROR(INDEX('Saloni Mehra'!$M$7:$M$300,MATCH($A67,'Saloni Mehra'!$B$7:$B$300,0)),"")</f>
        <v/>
      </c>
      <c r="H67" s="48" t="str">
        <f aca="false">IFERROR(INDEX('Vidushi Malhotra'!$M$7:$M$300,MATCH($A67,'Vidushi Malhotra'!$B$7:$B$300,0)),"")</f>
        <v/>
      </c>
      <c r="I67" s="48" t="n">
        <f aca="false">IFERROR(INDEX('Dr Umesh Choudhry'!$M$7:$M$300,MATCH($A67,'Dr Umesh Choudhry'!$B$7:$B$300,0)),"")</f>
        <v>5625.52941176471</v>
      </c>
      <c r="J67" s="48" t="n">
        <f aca="false">IFERROR(INDEX(DA!$M$7:$M$300,MATCH($A67,DA!$B$7:$B$300,0)),"")</f>
        <v>5516</v>
      </c>
      <c r="K67" s="62" t="s">
        <v>182</v>
      </c>
      <c r="L67" s="63" t="n">
        <v>5858.5</v>
      </c>
      <c r="M67" s="9" t="n">
        <f aca="false">IF(AND(ISNUMBER(B67),ISNUMBER(L67),N(L67)&gt;0),B67/L67-1,"")</f>
        <v>-0.0201416744900572</v>
      </c>
    </row>
    <row r="68" customFormat="false" ht="15" hidden="false" customHeight="false" outlineLevel="0" collapsed="false">
      <c r="A68" s="5" t="s">
        <v>160</v>
      </c>
      <c r="B68" s="59" t="n">
        <v>3688.9</v>
      </c>
      <c r="C68" s="60" t="n">
        <f aca="false">IF(ISNUMBER(B68),B68,IF(ISNUMBER(E68),E68,IF(ISNUMBER(F68),F68,IF(ISNUMBER(G68),G68,IF(ISNUMBER(H68),H68,IF(ISNUMBER(I68),I68,IF(ISNUMBER(J68),J68,"")))))))</f>
        <v>3688.9</v>
      </c>
      <c r="D68" s="61" t="str">
        <f aca="false">IF(ISNUMBER(B68),IF(K68&lt;&gt;"",K68,"Manual override"),IF(ISNUMBER(E68),"Gautam stmt – 23.10",IF(ISNUMBER(F68),"Manish Shilpa stmt – live 23.10",IF(ISNUMBER(G68),"Saloni stmt – 20.10 (stale)",IF(ISNUMBER(H68),"Vidushi stmt – LTP 05.10",IF(ISNUMBER(I68),"Umesh stmt – NSE live 09.10",IF(ISNUMBER(J68),"DA stmt – older (stale)","No price on any statement")))))))</f>
        <v>Close 22.10.2026 (Screener.in)</v>
      </c>
      <c r="E68" s="48" t="str">
        <f aca="false">IFERROR(INDEX(Gautam!$M$7:$M$300,MATCH($A68,Gautam!$B$7:$B$300,0)),"")</f>
        <v/>
      </c>
      <c r="F68" s="48" t="n">
        <f aca="false">IFERROR(INDEX('Manish Shilpa'!$M$7:$M$300,MATCH($A68,'Manish Shilpa'!$B$7:$B$300,0)),"")</f>
        <v>3601</v>
      </c>
      <c r="G68" s="48" t="str">
        <f aca="false">IFERROR(INDEX('Saloni Mehra'!$M$7:$M$300,MATCH($A68,'Saloni Mehra'!$B$7:$B$300,0)),"")</f>
        <v/>
      </c>
      <c r="H68" s="48" t="str">
        <f aca="false">IFERROR(INDEX('Vidushi Malhotra'!$M$7:$M$300,MATCH($A68,'Vidushi Malhotra'!$B$7:$B$300,0)),"")</f>
        <v/>
      </c>
      <c r="I68" s="48" t="str">
        <f aca="false">IFERROR(INDEX('Dr Umesh Choudhry'!$M$7:$M$300,MATCH($A68,'Dr Umesh Choudhry'!$B$7:$B$300,0)),"")</f>
        <v/>
      </c>
      <c r="J68" s="48" t="str">
        <f aca="false">IFERROR(INDEX(DA!$M$7:$M$300,MATCH($A68,DA!$B$7:$B$300,0)),"")</f>
        <v/>
      </c>
      <c r="K68" s="62" t="s">
        <v>182</v>
      </c>
      <c r="L68" s="63" t="n">
        <v>3754.7</v>
      </c>
      <c r="M68" s="9" t="n">
        <f aca="false">IF(AND(ISNUMBER(B68),ISNUMBER(L68),N(L68)&gt;0),B68/L68-1,"")</f>
        <v>-0.0175247023730257</v>
      </c>
    </row>
    <row r="69" customFormat="false" ht="15" hidden="false" customHeight="false" outlineLevel="0" collapsed="false">
      <c r="A69" s="5" t="s">
        <v>83</v>
      </c>
      <c r="B69" s="59" t="n">
        <v>432.45</v>
      </c>
      <c r="C69" s="60" t="n">
        <f aca="false">IF(ISNUMBER(B69),B69,IF(ISNUMBER(E69),E69,IF(ISNUMBER(F69),F69,IF(ISNUMBER(G69),G69,IF(ISNUMBER(H69),H69,IF(ISNUMBER(I69),I69,IF(ISNUMBER(J69),J69,"")))))))</f>
        <v>432.45</v>
      </c>
      <c r="D69" s="61" t="str">
        <f aca="false">IF(ISNUMBER(B69),IF(K69&lt;&gt;"",K69,"Manual override"),IF(ISNUMBER(E69),"Gautam stmt – 23.10",IF(ISNUMBER(F69),"Manish Shilpa stmt – live 23.10",IF(ISNUMBER(G69),"Saloni stmt – 20.10 (stale)",IF(ISNUMBER(H69),"Vidushi stmt – LTP 05.10",IF(ISNUMBER(I69),"Umesh stmt – NSE live 09.10",IF(ISNUMBER(J69),"DA stmt – older (stale)","No price on any statement")))))))</f>
        <v>Close 22.10.2026 (Screener.in)</v>
      </c>
      <c r="E69" s="48" t="n">
        <f aca="false">IFERROR(INDEX(Gautam!$M$7:$M$300,MATCH($A69,Gautam!$B$7:$B$300,0)),"")</f>
        <v>432</v>
      </c>
      <c r="F69" s="48" t="n">
        <f aca="false">IFERROR(INDEX('Manish Shilpa'!$M$7:$M$300,MATCH($A69,'Manish Shilpa'!$B$7:$B$300,0)),"")</f>
        <v>414.675753228121</v>
      </c>
      <c r="G69" s="48" t="str">
        <f aca="false">IFERROR(INDEX('Saloni Mehra'!$M$7:$M$300,MATCH($A69,'Saloni Mehra'!$B$7:$B$300,0)),"")</f>
        <v/>
      </c>
      <c r="H69" s="48" t="n">
        <f aca="false">IFERROR(INDEX('Vidushi Malhotra'!$M$7:$M$300,MATCH($A69,'Vidushi Malhotra'!$B$7:$B$300,0)),"")</f>
        <v>450.605263157895</v>
      </c>
      <c r="I69" s="48" t="n">
        <f aca="false">IFERROR(INDEX('Dr Umesh Choudhry'!$M$7:$M$300,MATCH($A69,'Dr Umesh Choudhry'!$B$7:$B$300,0)),"")</f>
        <v>442.799739921977</v>
      </c>
      <c r="J69" s="48" t="n">
        <f aca="false">IFERROR(INDEX(DA!$M$7:$M$300,MATCH($A69,DA!$B$7:$B$300,0)),"")</f>
        <v>445</v>
      </c>
      <c r="K69" s="62" t="s">
        <v>182</v>
      </c>
      <c r="L69" s="63" t="n">
        <v>437.3</v>
      </c>
      <c r="M69" s="9" t="n">
        <f aca="false">IF(AND(ISNUMBER(B69),ISNUMBER(L69),N(L69)&gt;0),B69/L69-1,"")</f>
        <v>-0.0110907843585639</v>
      </c>
    </row>
    <row r="70" customFormat="false" ht="15" hidden="false" customHeight="false" outlineLevel="0" collapsed="false">
      <c r="A70" s="5" t="s">
        <v>167</v>
      </c>
      <c r="B70" s="59"/>
      <c r="C70" s="60" t="str">
        <f aca="false">IF(ISNUMBER(B70),B70,IF(ISNUMBER(E70),E70,IF(ISNUMBER(F70),F70,IF(ISNUMBER(G70),G70,IF(ISNUMBER(H70),H70,IF(ISNUMBER(I70),I70,IF(ISNUMBER(J70),J70,"")))))))</f>
        <v/>
      </c>
      <c r="D70" s="61" t="str">
        <f aca="false">IF(ISNUMBER(B70),IF(K70&lt;&gt;"",K70,"Manual override"),IF(ISNUMBER(E70),"Gautam stmt – 23.10",IF(ISNUMBER(F70),"Manish Shilpa stmt – live 23.10",IF(ISNUMBER(G70),"Saloni stmt – 20.10 (stale)",IF(ISNUMBER(H70),"Vidushi stmt – LTP 05.10",IF(ISNUMBER(I70),"Umesh stmt – NSE live 09.10",IF(ISNUMBER(J70),"DA stmt – older (stale)","No price on any statement")))))))</f>
        <v>No price on any statement</v>
      </c>
      <c r="E70" s="48" t="str">
        <f aca="false">IFERROR(INDEX(Gautam!$M$7:$M$300,MATCH($A70,Gautam!$B$7:$B$300,0)),"")</f>
        <v/>
      </c>
      <c r="F70" s="48" t="str">
        <f aca="false">IFERROR(INDEX('Manish Shilpa'!$M$7:$M$300,MATCH($A70,'Manish Shilpa'!$B$7:$B$300,0)),"")</f>
        <v/>
      </c>
      <c r="G70" s="48" t="str">
        <f aca="false">IFERROR(INDEX('Saloni Mehra'!$M$7:$M$300,MATCH($A70,'Saloni Mehra'!$B$7:$B$300,0)),"")</f>
        <v/>
      </c>
      <c r="H70" s="48" t="str">
        <f aca="false">IFERROR(INDEX('Vidushi Malhotra'!$M$7:$M$300,MATCH($A70,'Vidushi Malhotra'!$B$7:$B$300,0)),"")</f>
        <v/>
      </c>
      <c r="I70" s="48" t="str">
        <f aca="false">IFERROR(INDEX('Dr Umesh Choudhry'!$M$7:$M$300,MATCH($A70,'Dr Umesh Choudhry'!$B$7:$B$300,0)),"")</f>
        <v/>
      </c>
      <c r="J70" s="48" t="str">
        <f aca="false">IFERROR(INDEX(DA!$M$7:$M$300,MATCH($A70,DA!$B$7:$B$300,0)),"")</f>
        <v/>
      </c>
      <c r="K70" s="62" t="s">
        <v>184</v>
      </c>
      <c r="L70" s="63"/>
      <c r="M70" s="9" t="str">
        <f aca="false">IF(AND(ISNUMBER(B70),ISNUMBER(L70),N(L70)&gt;0),B70/L70-1,"")</f>
        <v/>
      </c>
    </row>
    <row r="71" customFormat="false" ht="15" hidden="false" customHeight="false" outlineLevel="0" collapsed="false">
      <c r="A71" s="5" t="s">
        <v>104</v>
      </c>
      <c r="B71" s="59" t="n">
        <v>788.1</v>
      </c>
      <c r="C71" s="60" t="n">
        <f aca="false">IF(ISNUMBER(B71),B71,IF(ISNUMBER(E71),E71,IF(ISNUMBER(F71),F71,IF(ISNUMBER(G71),G71,IF(ISNUMBER(H71),H71,IF(ISNUMBER(I71),I71,IF(ISNUMBER(J71),J71,"")))))))</f>
        <v>788.1</v>
      </c>
      <c r="D71" s="61" t="str">
        <f aca="false">IF(ISNUMBER(B71),IF(K71&lt;&gt;"",K71,"Manual override"),IF(ISNUMBER(E71),"Gautam stmt – 23.10",IF(ISNUMBER(F71),"Manish Shilpa stmt – live 23.10",IF(ISNUMBER(G71),"Saloni stmt – 20.10 (stale)",IF(ISNUMBER(H71),"Vidushi stmt – LTP 05.10",IF(ISNUMBER(I71),"Umesh stmt – NSE live 09.10",IF(ISNUMBER(J71),"DA stmt – older (stale)","No price on any statement")))))))</f>
        <v>Close 22.10.2026 (Screener.in)</v>
      </c>
      <c r="E71" s="48" t="n">
        <f aca="false">IFERROR(INDEX(Gautam!$M$7:$M$300,MATCH($A71,Gautam!$B$7:$B$300,0)),"")</f>
        <v>789</v>
      </c>
      <c r="F71" s="48" t="n">
        <f aca="false">IFERROR(INDEX('Manish Shilpa'!$M$7:$M$300,MATCH($A71,'Manish Shilpa'!$B$7:$B$300,0)),"")</f>
        <v>763</v>
      </c>
      <c r="G71" s="48" t="str">
        <f aca="false">IFERROR(INDEX('Saloni Mehra'!$M$7:$M$300,MATCH($A71,'Saloni Mehra'!$B$7:$B$300,0)),"")</f>
        <v/>
      </c>
      <c r="H71" s="48" t="str">
        <f aca="false">IFERROR(INDEX('Vidushi Malhotra'!$M$7:$M$300,MATCH($A71,'Vidushi Malhotra'!$B$7:$B$300,0)),"")</f>
        <v/>
      </c>
      <c r="I71" s="48" t="n">
        <f aca="false">IFERROR(INDEX('Dr Umesh Choudhry'!$M$7:$M$300,MATCH($A71,'Dr Umesh Choudhry'!$B$7:$B$300,0)),"")</f>
        <v>840.875</v>
      </c>
      <c r="J71" s="48" t="str">
        <f aca="false">IFERROR(INDEX(DA!$M$7:$M$300,MATCH($A71,DA!$B$7:$B$300,0)),"")</f>
        <v/>
      </c>
      <c r="K71" s="62" t="s">
        <v>182</v>
      </c>
      <c r="L71" s="63" t="n">
        <v>779.7</v>
      </c>
      <c r="M71" s="9" t="n">
        <f aca="false">IF(AND(ISNUMBER(B71),ISNUMBER(L71),N(L71)&gt;0),B71/L71-1,"")</f>
        <v>0.0107733743747596</v>
      </c>
    </row>
    <row r="72" customFormat="false" ht="15" hidden="false" customHeight="false" outlineLevel="0" collapsed="false">
      <c r="A72" s="5" t="s">
        <v>141</v>
      </c>
      <c r="B72" s="59" t="n">
        <v>301.1</v>
      </c>
      <c r="C72" s="60" t="n">
        <f aca="false">IF(ISNUMBER(B72),B72,IF(ISNUMBER(E72),E72,IF(ISNUMBER(F72),F72,IF(ISNUMBER(G72),G72,IF(ISNUMBER(H72),H72,IF(ISNUMBER(I72),I72,IF(ISNUMBER(J72),J72,"")))))))</f>
        <v>301.1</v>
      </c>
      <c r="D72" s="61" t="str">
        <f aca="false">IF(ISNUMBER(B72),IF(K72&lt;&gt;"",K72,"Manual override"),IF(ISNUMBER(E72),"Gautam stmt – 23.10",IF(ISNUMBER(F72),"Manish Shilpa stmt – live 23.10",IF(ISNUMBER(G72),"Saloni stmt – 20.10 (stale)",IF(ISNUMBER(H72),"Vidushi stmt – LTP 05.10",IF(ISNUMBER(I72),"Umesh stmt – NSE live 09.10",IF(ISNUMBER(J72),"DA stmt – older (stale)","No price on any statement")))))))</f>
        <v>Close 22.10.2026 (Screener.in)</v>
      </c>
      <c r="E72" s="48" t="str">
        <f aca="false">IFERROR(INDEX(Gautam!$M$7:$M$300,MATCH($A72,Gautam!$B$7:$B$300,0)),"")</f>
        <v/>
      </c>
      <c r="F72" s="48" t="str">
        <f aca="false">IFERROR(INDEX('Manish Shilpa'!$M$7:$M$300,MATCH($A72,'Manish Shilpa'!$B$7:$B$300,0)),"")</f>
        <v/>
      </c>
      <c r="G72" s="48" t="str">
        <f aca="false">IFERROR(INDEX('Saloni Mehra'!$M$7:$M$300,MATCH($A72,'Saloni Mehra'!$B$7:$B$300,0)),"")</f>
        <v/>
      </c>
      <c r="H72" s="48" t="str">
        <f aca="false">IFERROR(INDEX('Vidushi Malhotra'!$M$7:$M$300,MATCH($A72,'Vidushi Malhotra'!$B$7:$B$300,0)),"")</f>
        <v/>
      </c>
      <c r="I72" s="48" t="str">
        <f aca="false">IFERROR(INDEX('Dr Umesh Choudhry'!$M$7:$M$300,MATCH($A72,'Dr Umesh Choudhry'!$B$7:$B$300,0)),"")</f>
        <v/>
      </c>
      <c r="J72" s="48" t="n">
        <f aca="false">IFERROR(INDEX(DA!$M$7:$M$300,MATCH($A72,DA!$B$7:$B$300,0)),"")</f>
        <v>313</v>
      </c>
      <c r="K72" s="62" t="s">
        <v>182</v>
      </c>
      <c r="L72" s="63" t="n">
        <v>302.5</v>
      </c>
      <c r="M72" s="9" t="n">
        <f aca="false">IF(AND(ISNUMBER(B72),ISNUMBER(L72),N(L72)&gt;0),B72/L72-1,"")</f>
        <v>-0.00462809917355367</v>
      </c>
    </row>
    <row r="73" customFormat="false" ht="15" hidden="false" customHeight="false" outlineLevel="0" collapsed="false">
      <c r="A73" s="5" t="s">
        <v>99</v>
      </c>
      <c r="B73" s="59" t="n">
        <v>1184.5</v>
      </c>
      <c r="C73" s="60" t="n">
        <f aca="false">IF(ISNUMBER(B73),B73,IF(ISNUMBER(E73),E73,IF(ISNUMBER(F73),F73,IF(ISNUMBER(G73),G73,IF(ISNUMBER(H73),H73,IF(ISNUMBER(I73),I73,IF(ISNUMBER(J73),J73,"")))))))</f>
        <v>1184.5</v>
      </c>
      <c r="D73" s="61" t="str">
        <f aca="false">IF(ISNUMBER(B73),IF(K73&lt;&gt;"",K73,"Manual override"),IF(ISNUMBER(E73),"Gautam stmt – 23.10",IF(ISNUMBER(F73),"Manish Shilpa stmt – live 23.10",IF(ISNUMBER(G73),"Saloni stmt – 20.10 (stale)",IF(ISNUMBER(H73),"Vidushi stmt – LTP 05.10",IF(ISNUMBER(I73),"Umesh stmt – NSE live 09.10",IF(ISNUMBER(J73),"DA stmt – older (stale)","No price on any statement")))))))</f>
        <v>Close 22.10.2026 (Screener.in)</v>
      </c>
      <c r="E73" s="48" t="str">
        <f aca="false">IFERROR(INDEX(Gautam!$M$7:$M$300,MATCH($A73,Gautam!$B$7:$B$300,0)),"")</f>
        <v/>
      </c>
      <c r="F73" s="48" t="n">
        <f aca="false">IFERROR(INDEX('Manish Shilpa'!$M$7:$M$300,MATCH($A73,'Manish Shilpa'!$B$7:$B$300,0)),"")</f>
        <v>1172.6875</v>
      </c>
      <c r="G73" s="48" t="str">
        <f aca="false">IFERROR(INDEX('Saloni Mehra'!$M$7:$M$300,MATCH($A73,'Saloni Mehra'!$B$7:$B$300,0)),"")</f>
        <v/>
      </c>
      <c r="H73" s="48" t="str">
        <f aca="false">IFERROR(INDEX('Vidushi Malhotra'!$M$7:$M$300,MATCH($A73,'Vidushi Malhotra'!$B$7:$B$300,0)),"")</f>
        <v/>
      </c>
      <c r="I73" s="48" t="str">
        <f aca="false">IFERROR(INDEX('Dr Umesh Choudhry'!$M$7:$M$300,MATCH($A73,'Dr Umesh Choudhry'!$B$7:$B$300,0)),"")</f>
        <v/>
      </c>
      <c r="J73" s="48" t="n">
        <f aca="false">IFERROR(INDEX(DA!$M$7:$M$300,MATCH($A73,DA!$B$7:$B$300,0)),"")</f>
        <v>1258</v>
      </c>
      <c r="K73" s="62" t="s">
        <v>182</v>
      </c>
      <c r="L73" s="63" t="n">
        <v>1209</v>
      </c>
      <c r="M73" s="9" t="n">
        <f aca="false">IF(AND(ISNUMBER(B73),ISNUMBER(L73),N(L73)&gt;0),B73/L73-1,"")</f>
        <v>-0.0202646815550042</v>
      </c>
    </row>
    <row r="74" customFormat="false" ht="15" hidden="false" customHeight="false" outlineLevel="0" collapsed="false">
      <c r="A74" s="5" t="s">
        <v>130</v>
      </c>
      <c r="B74" s="59" t="n">
        <v>196.09</v>
      </c>
      <c r="C74" s="60" t="n">
        <f aca="false">IF(ISNUMBER(B74),B74,IF(ISNUMBER(E74),E74,IF(ISNUMBER(F74),F74,IF(ISNUMBER(G74),G74,IF(ISNUMBER(H74),H74,IF(ISNUMBER(I74),I74,IF(ISNUMBER(J74),J74,"")))))))</f>
        <v>196.09</v>
      </c>
      <c r="D74" s="61" t="str">
        <f aca="false">IF(ISNUMBER(B74),IF(K74&lt;&gt;"",K74,"Manual override"),IF(ISNUMBER(E74),"Gautam stmt – 23.10",IF(ISNUMBER(F74),"Manish Shilpa stmt – live 23.10",IF(ISNUMBER(G74),"Saloni stmt – 20.10 (stale)",IF(ISNUMBER(H74),"Vidushi stmt – LTP 05.10",IF(ISNUMBER(I74),"Umesh stmt – NSE live 09.10",IF(ISNUMBER(J74),"DA stmt – older (stale)","No price on any statement")))))))</f>
        <v>Close 22.10.2026 (Screener.in)</v>
      </c>
      <c r="E74" s="48" t="str">
        <f aca="false">IFERROR(INDEX(Gautam!$M$7:$M$300,MATCH($A74,Gautam!$B$7:$B$300,0)),"")</f>
        <v/>
      </c>
      <c r="F74" s="48" t="str">
        <f aca="false">IFERROR(INDEX('Manish Shilpa'!$M$7:$M$300,MATCH($A74,'Manish Shilpa'!$B$7:$B$300,0)),"")</f>
        <v/>
      </c>
      <c r="G74" s="48" t="str">
        <f aca="false">IFERROR(INDEX('Saloni Mehra'!$M$7:$M$300,MATCH($A74,'Saloni Mehra'!$B$7:$B$300,0)),"")</f>
        <v/>
      </c>
      <c r="H74" s="48" t="str">
        <f aca="false">IFERROR(INDEX('Vidushi Malhotra'!$M$7:$M$300,MATCH($A74,'Vidushi Malhotra'!$B$7:$B$300,0)),"")</f>
        <v/>
      </c>
      <c r="I74" s="48" t="str">
        <f aca="false">IFERROR(INDEX('Dr Umesh Choudhry'!$M$7:$M$300,MATCH($A74,'Dr Umesh Choudhry'!$B$7:$B$300,0)),"")</f>
        <v/>
      </c>
      <c r="J74" s="48" t="n">
        <f aca="false">IFERROR(INDEX(DA!$M$7:$M$300,MATCH($A74,DA!$B$7:$B$300,0)),"")</f>
        <v>209</v>
      </c>
      <c r="K74" s="62" t="s">
        <v>182</v>
      </c>
      <c r="L74" s="63" t="n">
        <v>197.42</v>
      </c>
      <c r="M74" s="9" t="n">
        <f aca="false">IF(AND(ISNUMBER(B74),ISNUMBER(L74),N(L74)&gt;0),B74/L74-1,"")</f>
        <v>-0.00673690608854216</v>
      </c>
    </row>
    <row r="75" customFormat="false" ht="15" hidden="false" customHeight="false" outlineLevel="0" collapsed="false">
      <c r="A75" s="5" t="s">
        <v>149</v>
      </c>
      <c r="B75" s="59" t="n">
        <v>400.65</v>
      </c>
      <c r="C75" s="60" t="n">
        <f aca="false">IF(ISNUMBER(B75),B75,IF(ISNUMBER(E75),E75,IF(ISNUMBER(F75),F75,IF(ISNUMBER(G75),G75,IF(ISNUMBER(H75),H75,IF(ISNUMBER(I75),I75,IF(ISNUMBER(J75),J75,"")))))))</f>
        <v>400.65</v>
      </c>
      <c r="D75" s="61" t="str">
        <f aca="false">IF(ISNUMBER(B75),IF(K75&lt;&gt;"",K75,"Manual override"),IF(ISNUMBER(E75),"Gautam stmt – 23.10",IF(ISNUMBER(F75),"Manish Shilpa stmt – live 23.10",IF(ISNUMBER(G75),"Saloni stmt – 20.10 (stale)",IF(ISNUMBER(H75),"Vidushi stmt – LTP 05.10",IF(ISNUMBER(I75),"Umesh stmt – NSE live 09.10",IF(ISNUMBER(J75),"DA stmt – older (stale)","No price on any statement")))))))</f>
        <v>Close 22.10.2026 (Screener.in)</v>
      </c>
      <c r="E75" s="48" t="str">
        <f aca="false">IFERROR(INDEX(Gautam!$M$7:$M$300,MATCH($A75,Gautam!$B$7:$B$300,0)),"")</f>
        <v/>
      </c>
      <c r="F75" s="48" t="str">
        <f aca="false">IFERROR(INDEX('Manish Shilpa'!$M$7:$M$300,MATCH($A75,'Manish Shilpa'!$B$7:$B$300,0)),"")</f>
        <v/>
      </c>
      <c r="G75" s="48" t="str">
        <f aca="false">IFERROR(INDEX('Saloni Mehra'!$M$7:$M$300,MATCH($A75,'Saloni Mehra'!$B$7:$B$300,0)),"")</f>
        <v/>
      </c>
      <c r="H75" s="48" t="str">
        <f aca="false">IFERROR(INDEX('Vidushi Malhotra'!$M$7:$M$300,MATCH($A75,'Vidushi Malhotra'!$B$7:$B$300,0)),"")</f>
        <v/>
      </c>
      <c r="I75" s="48" t="str">
        <f aca="false">IFERROR(INDEX('Dr Umesh Choudhry'!$M$7:$M$300,MATCH($A75,'Dr Umesh Choudhry'!$B$7:$B$300,0)),"")</f>
        <v/>
      </c>
      <c r="J75" s="48" t="n">
        <f aca="false">IFERROR(INDEX(DA!$M$7:$M$300,MATCH($A75,DA!$B$7:$B$300,0)),"")</f>
        <v>494</v>
      </c>
      <c r="K75" s="62" t="s">
        <v>182</v>
      </c>
      <c r="L75" s="63" t="n">
        <v>403.8</v>
      </c>
      <c r="M75" s="9" t="n">
        <f aca="false">IF(AND(ISNUMBER(B75),ISNUMBER(L75),N(L75)&gt;0),B75/L75-1,"")</f>
        <v>-0.00780089153046071</v>
      </c>
    </row>
    <row r="76" customFormat="false" ht="15" hidden="false" customHeight="false" outlineLevel="0" collapsed="false">
      <c r="A76" s="5" t="s">
        <v>140</v>
      </c>
      <c r="B76" s="59" t="n">
        <v>65.13</v>
      </c>
      <c r="C76" s="60" t="n">
        <f aca="false">IF(ISNUMBER(B76),B76,IF(ISNUMBER(E76),E76,IF(ISNUMBER(F76),F76,IF(ISNUMBER(G76),G76,IF(ISNUMBER(H76),H76,IF(ISNUMBER(I76),I76,IF(ISNUMBER(J76),J76,"")))))))</f>
        <v>65.13</v>
      </c>
      <c r="D76" s="61" t="str">
        <f aca="false">IF(ISNUMBER(B76),IF(K76&lt;&gt;"",K76,"Manual override"),IF(ISNUMBER(E76),"Gautam stmt – 23.10",IF(ISNUMBER(F76),"Manish Shilpa stmt – live 23.10",IF(ISNUMBER(G76),"Saloni stmt – 20.10 (stale)",IF(ISNUMBER(H76),"Vidushi stmt – LTP 05.10",IF(ISNUMBER(I76),"Umesh stmt – NSE live 09.10",IF(ISNUMBER(J76),"DA stmt – older (stale)","No price on any statement")))))))</f>
        <v>Close 22.10.2026 (Screener.in)</v>
      </c>
      <c r="E76" s="48" t="n">
        <f aca="false">IFERROR(INDEX(Gautam!$M$7:$M$300,MATCH($A76,Gautam!$B$7:$B$300,0)),"")</f>
        <v>67.7</v>
      </c>
      <c r="F76" s="48" t="str">
        <f aca="false">IFERROR(INDEX('Manish Shilpa'!$M$7:$M$300,MATCH($A76,'Manish Shilpa'!$B$7:$B$300,0)),"")</f>
        <v/>
      </c>
      <c r="G76" s="48" t="str">
        <f aca="false">IFERROR(INDEX('Saloni Mehra'!$M$7:$M$300,MATCH($A76,'Saloni Mehra'!$B$7:$B$300,0)),"")</f>
        <v/>
      </c>
      <c r="H76" s="48" t="str">
        <f aca="false">IFERROR(INDEX('Vidushi Malhotra'!$M$7:$M$300,MATCH($A76,'Vidushi Malhotra'!$B$7:$B$300,0)),"")</f>
        <v/>
      </c>
      <c r="I76" s="48" t="str">
        <f aca="false">IFERROR(INDEX('Dr Umesh Choudhry'!$M$7:$M$300,MATCH($A76,'Dr Umesh Choudhry'!$B$7:$B$300,0)),"")</f>
        <v/>
      </c>
      <c r="J76" s="48" t="str">
        <f aca="false">IFERROR(INDEX(DA!$M$7:$M$300,MATCH($A76,DA!$B$7:$B$300,0)),"")</f>
        <v/>
      </c>
      <c r="K76" s="62" t="s">
        <v>182</v>
      </c>
      <c r="L76" s="63" t="n">
        <v>66.01</v>
      </c>
      <c r="M76" s="9" t="n">
        <f aca="false">IF(AND(ISNUMBER(B76),ISNUMBER(L76),N(L76)&gt;0),B76/L76-1,"")</f>
        <v>-0.0133313134373582</v>
      </c>
    </row>
    <row r="77" customFormat="false" ht="15" hidden="false" customHeight="false" outlineLevel="0" collapsed="false">
      <c r="A77" s="5" t="s">
        <v>143</v>
      </c>
      <c r="B77" s="59" t="n">
        <v>239.75</v>
      </c>
      <c r="C77" s="60" t="n">
        <f aca="false">IF(ISNUMBER(B77),B77,IF(ISNUMBER(E77),E77,IF(ISNUMBER(F77),F77,IF(ISNUMBER(G77),G77,IF(ISNUMBER(H77),H77,IF(ISNUMBER(I77),I77,IF(ISNUMBER(J77),J77,"")))))))</f>
        <v>239.75</v>
      </c>
      <c r="D77" s="61" t="str">
        <f aca="false">IF(ISNUMBER(B77),IF(K77&lt;&gt;"",K77,"Manual override"),IF(ISNUMBER(E77),"Gautam stmt – 23.10",IF(ISNUMBER(F77),"Manish Shilpa stmt – live 23.10",IF(ISNUMBER(G77),"Saloni stmt – 20.10 (stale)",IF(ISNUMBER(H77),"Vidushi stmt – LTP 05.10",IF(ISNUMBER(I77),"Umesh stmt – NSE live 09.10",IF(ISNUMBER(J77),"DA stmt – older (stale)","No price on any statement")))))))</f>
        <v>Close 22.10.2026 (Screener.in)</v>
      </c>
      <c r="E77" s="48" t="str">
        <f aca="false">IFERROR(INDEX(Gautam!$M$7:$M$300,MATCH($A77,Gautam!$B$7:$B$300,0)),"")</f>
        <v/>
      </c>
      <c r="F77" s="48" t="str">
        <f aca="false">IFERROR(INDEX('Manish Shilpa'!$M$7:$M$300,MATCH($A77,'Manish Shilpa'!$B$7:$B$300,0)),"")</f>
        <v/>
      </c>
      <c r="G77" s="48" t="str">
        <f aca="false">IFERROR(INDEX('Saloni Mehra'!$M$7:$M$300,MATCH($A77,'Saloni Mehra'!$B$7:$B$300,0)),"")</f>
        <v/>
      </c>
      <c r="H77" s="48" t="str">
        <f aca="false">IFERROR(INDEX('Vidushi Malhotra'!$M$7:$M$300,MATCH($A77,'Vidushi Malhotra'!$B$7:$B$300,0)),"")</f>
        <v/>
      </c>
      <c r="I77" s="48" t="str">
        <f aca="false">IFERROR(INDEX('Dr Umesh Choudhry'!$M$7:$M$300,MATCH($A77,'Dr Umesh Choudhry'!$B$7:$B$300,0)),"")</f>
        <v/>
      </c>
      <c r="J77" s="48" t="n">
        <f aca="false">IFERROR(INDEX(DA!$M$7:$M$300,MATCH($A77,DA!$B$7:$B$300,0)),"")</f>
        <v>266</v>
      </c>
      <c r="K77" s="62" t="s">
        <v>182</v>
      </c>
      <c r="L77" s="63" t="n">
        <v>240.5</v>
      </c>
      <c r="M77" s="9" t="n">
        <f aca="false">IF(AND(ISNUMBER(B77),ISNUMBER(L77),N(L77)&gt;0),B77/L77-1,"")</f>
        <v>-0.00311850311850315</v>
      </c>
    </row>
    <row r="78" customFormat="false" ht="15" hidden="false" customHeight="false" outlineLevel="0" collapsed="false">
      <c r="A78" s="5" t="s">
        <v>136</v>
      </c>
      <c r="B78" s="59" t="n">
        <v>372.5</v>
      </c>
      <c r="C78" s="60" t="n">
        <f aca="false">IF(ISNUMBER(B78),B78,IF(ISNUMBER(E78),E78,IF(ISNUMBER(F78),F78,IF(ISNUMBER(G78),G78,IF(ISNUMBER(H78),H78,IF(ISNUMBER(I78),I78,IF(ISNUMBER(J78),J78,"")))))))</f>
        <v>372.5</v>
      </c>
      <c r="D78" s="61" t="str">
        <f aca="false">IF(ISNUMBER(B78),IF(K78&lt;&gt;"",K78,"Manual override"),IF(ISNUMBER(E78),"Gautam stmt – 23.10",IF(ISNUMBER(F78),"Manish Shilpa stmt – live 23.10",IF(ISNUMBER(G78),"Saloni stmt – 20.10 (stale)",IF(ISNUMBER(H78),"Vidushi stmt – LTP 05.10",IF(ISNUMBER(I78),"Umesh stmt – NSE live 09.10",IF(ISNUMBER(J78),"DA stmt – older (stale)","No price on any statement")))))))</f>
        <v>Close 22.10.2026 (Screener.in)</v>
      </c>
      <c r="E78" s="48" t="str">
        <f aca="false">IFERROR(INDEX(Gautam!$M$7:$M$300,MATCH($A78,Gautam!$B$7:$B$300,0)),"")</f>
        <v/>
      </c>
      <c r="F78" s="48" t="str">
        <f aca="false">IFERROR(INDEX('Manish Shilpa'!$M$7:$M$300,MATCH($A78,'Manish Shilpa'!$B$7:$B$300,0)),"")</f>
        <v/>
      </c>
      <c r="G78" s="48" t="str">
        <f aca="false">IFERROR(INDEX('Saloni Mehra'!$M$7:$M$300,MATCH($A78,'Saloni Mehra'!$B$7:$B$300,0)),"")</f>
        <v/>
      </c>
      <c r="H78" s="48" t="str">
        <f aca="false">IFERROR(INDEX('Vidushi Malhotra'!$M$7:$M$300,MATCH($A78,'Vidushi Malhotra'!$B$7:$B$300,0)),"")</f>
        <v/>
      </c>
      <c r="I78" s="48" t="str">
        <f aca="false">IFERROR(INDEX('Dr Umesh Choudhry'!$M$7:$M$300,MATCH($A78,'Dr Umesh Choudhry'!$B$7:$B$300,0)),"")</f>
        <v/>
      </c>
      <c r="J78" s="48" t="n">
        <f aca="false">IFERROR(INDEX(DA!$M$7:$M$300,MATCH($A78,DA!$B$7:$B$300,0)),"")</f>
        <v>383</v>
      </c>
      <c r="K78" s="62" t="s">
        <v>182</v>
      </c>
      <c r="L78" s="63" t="n">
        <v>376.45</v>
      </c>
      <c r="M78" s="9" t="n">
        <f aca="false">IF(AND(ISNUMBER(B78),ISNUMBER(L78),N(L78)&gt;0),B78/L78-1,"")</f>
        <v>-0.0104927613228848</v>
      </c>
    </row>
    <row r="79" customFormat="false" ht="15" hidden="false" customHeight="false" outlineLevel="0" collapsed="false">
      <c r="A79" s="5" t="s">
        <v>135</v>
      </c>
      <c r="B79" s="59" t="n">
        <v>581.3</v>
      </c>
      <c r="C79" s="60" t="n">
        <f aca="false">IF(ISNUMBER(B79),B79,IF(ISNUMBER(E79),E79,IF(ISNUMBER(F79),F79,IF(ISNUMBER(G79),G79,IF(ISNUMBER(H79),H79,IF(ISNUMBER(I79),I79,IF(ISNUMBER(J79),J79,"")))))))</f>
        <v>581.3</v>
      </c>
      <c r="D79" s="61" t="str">
        <f aca="false">IF(ISNUMBER(B79),IF(K79&lt;&gt;"",K79,"Manual override"),IF(ISNUMBER(E79),"Gautam stmt – 23.10",IF(ISNUMBER(F79),"Manish Shilpa stmt – live 23.10",IF(ISNUMBER(G79),"Saloni stmt – 20.10 (stale)",IF(ISNUMBER(H79),"Vidushi stmt – LTP 05.10",IF(ISNUMBER(I79),"Umesh stmt – NSE live 09.10",IF(ISNUMBER(J79),"DA stmt – older (stale)","No price on any statement")))))))</f>
        <v>Close 22.10.2026 (Screener.in)</v>
      </c>
      <c r="E79" s="48" t="str">
        <f aca="false">IFERROR(INDEX(Gautam!$M$7:$M$300,MATCH($A79,Gautam!$B$7:$B$300,0)),"")</f>
        <v/>
      </c>
      <c r="F79" s="48" t="n">
        <f aca="false">IFERROR(INDEX('Manish Shilpa'!$M$7:$M$300,MATCH($A79,'Manish Shilpa'!$B$7:$B$300,0)),"")</f>
        <v>563.939393939394</v>
      </c>
      <c r="G79" s="48" t="str">
        <f aca="false">IFERROR(INDEX('Saloni Mehra'!$M$7:$M$300,MATCH($A79,'Saloni Mehra'!$B$7:$B$300,0)),"")</f>
        <v/>
      </c>
      <c r="H79" s="48" t="str">
        <f aca="false">IFERROR(INDEX('Vidushi Malhotra'!$M$7:$M$300,MATCH($A79,'Vidushi Malhotra'!$B$7:$B$300,0)),"")</f>
        <v/>
      </c>
      <c r="I79" s="48" t="str">
        <f aca="false">IFERROR(INDEX('Dr Umesh Choudhry'!$M$7:$M$300,MATCH($A79,'Dr Umesh Choudhry'!$B$7:$B$300,0)),"")</f>
        <v/>
      </c>
      <c r="J79" s="48" t="str">
        <f aca="false">IFERROR(INDEX(DA!$M$7:$M$300,MATCH($A79,DA!$B$7:$B$300,0)),"")</f>
        <v/>
      </c>
      <c r="K79" s="62" t="s">
        <v>182</v>
      </c>
      <c r="L79" s="63" t="n">
        <v>562.1</v>
      </c>
      <c r="M79" s="9" t="n">
        <f aca="false">IF(AND(ISNUMBER(B79),ISNUMBER(L79),N(L79)&gt;0),B79/L79-1,"")</f>
        <v>0.0341576231987191</v>
      </c>
    </row>
    <row r="80" customFormat="false" ht="15" hidden="false" customHeight="false" outlineLevel="0" collapsed="false">
      <c r="A80" s="5" t="s">
        <v>85</v>
      </c>
      <c r="B80" s="59" t="n">
        <v>2506.9</v>
      </c>
      <c r="C80" s="60" t="n">
        <f aca="false">IF(ISNUMBER(B80),B80,IF(ISNUMBER(E80),E80,IF(ISNUMBER(F80),F80,IF(ISNUMBER(G80),G80,IF(ISNUMBER(H80),H80,IF(ISNUMBER(I80),I80,IF(ISNUMBER(J80),J80,"")))))))</f>
        <v>2506.9</v>
      </c>
      <c r="D80" s="61" t="str">
        <f aca="false">IF(ISNUMBER(B80),IF(K80&lt;&gt;"",K80,"Manual override"),IF(ISNUMBER(E80),"Gautam stmt – 23.10",IF(ISNUMBER(F80),"Manish Shilpa stmt – live 23.10",IF(ISNUMBER(G80),"Saloni stmt – 20.10 (stale)",IF(ISNUMBER(H80),"Vidushi stmt – LTP 05.10",IF(ISNUMBER(I80),"Umesh stmt – NSE live 09.10",IF(ISNUMBER(J80),"DA stmt – older (stale)","No price on any statement")))))))</f>
        <v>Close 22.10.2026 (Screener.in)</v>
      </c>
      <c r="E80" s="48" t="n">
        <f aca="false">IFERROR(INDEX(Gautam!$M$7:$M$300,MATCH($A80,Gautam!$B$7:$B$300,0)),"")</f>
        <v>2507</v>
      </c>
      <c r="F80" s="48" t="n">
        <f aca="false">IFERROR(INDEX('Manish Shilpa'!$M$7:$M$300,MATCH($A80,'Manish Shilpa'!$B$7:$B$300,0)),"")</f>
        <v>2556.10344827586</v>
      </c>
      <c r="G80" s="48" t="n">
        <f aca="false">IFERROR(INDEX('Saloni Mehra'!$M$7:$M$300,MATCH($A80,'Saloni Mehra'!$B$7:$B$300,0)),"")</f>
        <v>2460.90163934426</v>
      </c>
      <c r="H80" s="48" t="str">
        <f aca="false">IFERROR(INDEX('Vidushi Malhotra'!$M$7:$M$300,MATCH($A80,'Vidushi Malhotra'!$B$7:$B$300,0)),"")</f>
        <v/>
      </c>
      <c r="I80" s="48" t="n">
        <f aca="false">IFERROR(INDEX('Dr Umesh Choudhry'!$M$7:$M$300,MATCH($A80,'Dr Umesh Choudhry'!$B$7:$B$300,0)),"")</f>
        <v>2178.10344827586</v>
      </c>
      <c r="J80" s="48" t="n">
        <f aca="false">IFERROR(INDEX(DA!$M$7:$M$300,MATCH($A80,DA!$B$7:$B$300,0)),"")</f>
        <v>2201</v>
      </c>
      <c r="K80" s="62" t="s">
        <v>182</v>
      </c>
      <c r="L80" s="63" t="n">
        <v>2529</v>
      </c>
      <c r="M80" s="9" t="n">
        <f aca="false">IF(AND(ISNUMBER(B80),ISNUMBER(L80),N(L80)&gt;0),B80/L80-1,"")</f>
        <v>-0.00873863187030444</v>
      </c>
    </row>
    <row r="81" customFormat="false" ht="15" hidden="false" customHeight="false" outlineLevel="0" collapsed="false">
      <c r="A81" s="5" t="s">
        <v>92</v>
      </c>
      <c r="B81" s="59" t="n">
        <v>3846.8</v>
      </c>
      <c r="C81" s="60" t="n">
        <f aca="false">IF(ISNUMBER(B81),B81,IF(ISNUMBER(E81),E81,IF(ISNUMBER(F81),F81,IF(ISNUMBER(G81),G81,IF(ISNUMBER(H81),H81,IF(ISNUMBER(I81),I81,IF(ISNUMBER(J81),J81,"")))))))</f>
        <v>3846.8</v>
      </c>
      <c r="D81" s="61" t="str">
        <f aca="false">IF(ISNUMBER(B81),IF(K81&lt;&gt;"",K81,"Manual override"),IF(ISNUMBER(E81),"Gautam stmt – 23.10",IF(ISNUMBER(F81),"Manish Shilpa stmt – live 23.10",IF(ISNUMBER(G81),"Saloni stmt – 20.10 (stale)",IF(ISNUMBER(H81),"Vidushi stmt – LTP 05.10",IF(ISNUMBER(I81),"Umesh stmt – NSE live 09.10",IF(ISNUMBER(J81),"DA stmt – older (stale)","No price on any statement")))))))</f>
        <v>Close 22.10.2026 (Screener.in)</v>
      </c>
      <c r="E81" s="48" t="n">
        <f aca="false">IFERROR(INDEX(Gautam!$M$7:$M$300,MATCH($A81,Gautam!$B$7:$B$300,0)),"")</f>
        <v>3847</v>
      </c>
      <c r="F81" s="48" t="n">
        <f aca="false">IFERROR(INDEX('Manish Shilpa'!$M$7:$M$300,MATCH($A81,'Manish Shilpa'!$B$7:$B$300,0)),"")</f>
        <v>3764.6875</v>
      </c>
      <c r="G81" s="48" t="str">
        <f aca="false">IFERROR(INDEX('Saloni Mehra'!$M$7:$M$300,MATCH($A81,'Saloni Mehra'!$B$7:$B$300,0)),"")</f>
        <v/>
      </c>
      <c r="H81" s="48" t="str">
        <f aca="false">IFERROR(INDEX('Vidushi Malhotra'!$M$7:$M$300,MATCH($A81,'Vidushi Malhotra'!$B$7:$B$300,0)),"")</f>
        <v/>
      </c>
      <c r="I81" s="48" t="n">
        <f aca="false">IFERROR(INDEX('Dr Umesh Choudhry'!$M$7:$M$300,MATCH($A81,'Dr Umesh Choudhry'!$B$7:$B$300,0)),"")</f>
        <v>3071.40909090909</v>
      </c>
      <c r="J81" s="48" t="n">
        <f aca="false">IFERROR(INDEX(DA!$M$7:$M$300,MATCH($A81,DA!$B$7:$B$300,0)),"")</f>
        <v>3383</v>
      </c>
      <c r="K81" s="62" t="s">
        <v>182</v>
      </c>
      <c r="L81" s="63" t="n">
        <v>3848.6</v>
      </c>
      <c r="M81" s="9" t="n">
        <f aca="false">IF(AND(ISNUMBER(B81),ISNUMBER(L81),N(L81)&gt;0),B81/L81-1,"")</f>
        <v>-0.000467702541183779</v>
      </c>
    </row>
    <row r="82" customFormat="false" ht="15" hidden="false" customHeight="false" outlineLevel="0" collapsed="false">
      <c r="A82" s="5" t="s">
        <v>80</v>
      </c>
      <c r="B82" s="59" t="n">
        <v>4350</v>
      </c>
      <c r="C82" s="60" t="n">
        <f aca="false">IF(ISNUMBER(B82),B82,IF(ISNUMBER(E82),E82,IF(ISNUMBER(F82),F82,IF(ISNUMBER(G82),G82,IF(ISNUMBER(H82),H82,IF(ISNUMBER(I82),I82,IF(ISNUMBER(J82),J82,"")))))))</f>
        <v>4350</v>
      </c>
      <c r="D82" s="61" t="str">
        <f aca="false">IF(ISNUMBER(B82),IF(K82&lt;&gt;"",K82,"Manual override"),IF(ISNUMBER(E82),"Gautam stmt – 23.10",IF(ISNUMBER(F82),"Manish Shilpa stmt – live 23.10",IF(ISNUMBER(G82),"Saloni stmt – 20.10 (stale)",IF(ISNUMBER(H82),"Vidushi stmt – LTP 05.10",IF(ISNUMBER(I82),"Umesh stmt – NSE live 09.10",IF(ISNUMBER(J82),"DA stmt – older (stale)","No price on any statement")))))))</f>
        <v>Close 22.10.2026 (Screener.in)</v>
      </c>
      <c r="E82" s="48" t="n">
        <f aca="false">IFERROR(INDEX(Gautam!$M$7:$M$300,MATCH($A82,Gautam!$B$7:$B$300,0)),"")</f>
        <v>4350</v>
      </c>
      <c r="F82" s="48" t="n">
        <f aca="false">IFERROR(INDEX('Manish Shilpa'!$M$7:$M$300,MATCH($A82,'Manish Shilpa'!$B$7:$B$300,0)),"")</f>
        <v>4246.81818181818</v>
      </c>
      <c r="G82" s="48" t="str">
        <f aca="false">IFERROR(INDEX('Saloni Mehra'!$M$7:$M$300,MATCH($A82,'Saloni Mehra'!$B$7:$B$300,0)),"")</f>
        <v/>
      </c>
      <c r="H82" s="48" t="n">
        <f aca="false">IFERROR(INDEX('Vidushi Malhotra'!$M$7:$M$300,MATCH($A82,'Vidushi Malhotra'!$B$7:$B$300,0)),"")</f>
        <v>4570</v>
      </c>
      <c r="I82" s="48" t="n">
        <f aca="false">IFERROR(INDEX('Dr Umesh Choudhry'!$M$7:$M$300,MATCH($A82,'Dr Umesh Choudhry'!$B$7:$B$300,0)),"")</f>
        <v>4372</v>
      </c>
      <c r="J82" s="48" t="n">
        <f aca="false">IFERROR(INDEX(DA!$M$7:$M$300,MATCH($A82,DA!$B$7:$B$300,0)),"")</f>
        <v>5010</v>
      </c>
      <c r="K82" s="62" t="s">
        <v>182</v>
      </c>
      <c r="L82" s="63" t="n">
        <v>4380.9</v>
      </c>
      <c r="M82" s="9" t="n">
        <f aca="false">IF(AND(ISNUMBER(B82),ISNUMBER(L82),N(L82)&gt;0),B82/L82-1,"")</f>
        <v>-0.00705334520304035</v>
      </c>
    </row>
    <row r="83" customFormat="false" ht="15" hidden="false" customHeight="false" outlineLevel="0" collapsed="false">
      <c r="A83" s="5" t="s">
        <v>100</v>
      </c>
      <c r="B83" s="59" t="n">
        <v>2775.8</v>
      </c>
      <c r="C83" s="60" t="n">
        <f aca="false">IF(ISNUMBER(B83),B83,IF(ISNUMBER(E83),E83,IF(ISNUMBER(F83),F83,IF(ISNUMBER(G83),G83,IF(ISNUMBER(H83),H83,IF(ISNUMBER(I83),I83,IF(ISNUMBER(J83),J83,"")))))))</f>
        <v>2775.8</v>
      </c>
      <c r="D83" s="61" t="str">
        <f aca="false">IF(ISNUMBER(B83),IF(K83&lt;&gt;"",K83,"Manual override"),IF(ISNUMBER(E83),"Gautam stmt – 23.10",IF(ISNUMBER(F83),"Manish Shilpa stmt – live 23.10",IF(ISNUMBER(G83),"Saloni stmt – 20.10 (stale)",IF(ISNUMBER(H83),"Vidushi stmt – LTP 05.10",IF(ISNUMBER(I83),"Umesh stmt – NSE live 09.10",IF(ISNUMBER(J83),"DA stmt – older (stale)","No price on any statement")))))))</f>
        <v>Close 22.10.2026 (Screener.in)</v>
      </c>
      <c r="E83" s="48" t="n">
        <f aca="false">IFERROR(INDEX(Gautam!$M$7:$M$300,MATCH($A83,Gautam!$B$7:$B$300,0)),"")</f>
        <v>2776</v>
      </c>
      <c r="F83" s="48" t="n">
        <f aca="false">IFERROR(INDEX('Manish Shilpa'!$M$7:$M$300,MATCH($A83,'Manish Shilpa'!$B$7:$B$300,0)),"")</f>
        <v>2713</v>
      </c>
      <c r="G83" s="48" t="str">
        <f aca="false">IFERROR(INDEX('Saloni Mehra'!$M$7:$M$300,MATCH($A83,'Saloni Mehra'!$B$7:$B$300,0)),"")</f>
        <v/>
      </c>
      <c r="H83" s="48" t="str">
        <f aca="false">IFERROR(INDEX('Vidushi Malhotra'!$M$7:$M$300,MATCH($A83,'Vidushi Malhotra'!$B$7:$B$300,0)),"")</f>
        <v/>
      </c>
      <c r="I83" s="48" t="n">
        <f aca="false">IFERROR(INDEX('Dr Umesh Choudhry'!$M$7:$M$300,MATCH($A83,'Dr Umesh Choudhry'!$B$7:$B$300,0)),"")</f>
        <v>2910</v>
      </c>
      <c r="J83" s="48" t="n">
        <f aca="false">IFERROR(INDEX(DA!$M$7:$M$300,MATCH($A83,DA!$B$7:$B$300,0)),"")</f>
        <v>2802</v>
      </c>
      <c r="K83" s="62" t="s">
        <v>182</v>
      </c>
      <c r="L83" s="63" t="n">
        <v>2822</v>
      </c>
      <c r="M83" s="9" t="n">
        <f aca="false">IF(AND(ISNUMBER(B83),ISNUMBER(L83),N(L83)&gt;0),B83/L83-1,"")</f>
        <v>-0.0163713678242381</v>
      </c>
    </row>
    <row r="84" customFormat="false" ht="15" hidden="false" customHeight="false" outlineLevel="0" collapsed="false">
      <c r="A84" s="5" t="s">
        <v>96</v>
      </c>
      <c r="B84" s="59"/>
      <c r="C84" s="60" t="n">
        <f aca="false">IF(ISNUMBER(B84),B84,IF(ISNUMBER(E84),E84,IF(ISNUMBER(F84),F84,IF(ISNUMBER(G84),G84,IF(ISNUMBER(H84),H84,IF(ISNUMBER(I84),I84,IF(ISNUMBER(J84),J84,"")))))))</f>
        <v>157.329098383758</v>
      </c>
      <c r="D84" s="61" t="str">
        <f aca="false">IF(ISNUMBER(B84),IF(K84&lt;&gt;"",K84,"Manual override"),IF(ISNUMBER(E84),"Gautam stmt – 23.10",IF(ISNUMBER(F84),"Manish Shilpa stmt – live 23.10",IF(ISNUMBER(G84),"Saloni stmt – 20.10 (stale)",IF(ISNUMBER(H84),"Vidushi stmt – LTP 05.10",IF(ISNUMBER(I84),"Umesh stmt – NSE live 09.10",IF(ISNUMBER(J84),"DA stmt – older (stale)","No price on any statement")))))))</f>
        <v>Manish Shilpa stmt – live 23.10</v>
      </c>
      <c r="E84" s="48" t="str">
        <f aca="false">IFERROR(INDEX(Gautam!$M$7:$M$300,MATCH($A84,Gautam!$B$7:$B$300,0)),"")</f>
        <v/>
      </c>
      <c r="F84" s="48" t="n">
        <f aca="false">IFERROR(INDEX('Manish Shilpa'!$M$7:$M$300,MATCH($A84,'Manish Shilpa'!$B$7:$B$300,0)),"")</f>
        <v>157.329098383758</v>
      </c>
      <c r="G84" s="48" t="str">
        <f aca="false">IFERROR(INDEX('Saloni Mehra'!$M$7:$M$300,MATCH($A84,'Saloni Mehra'!$B$7:$B$300,0)),"")</f>
        <v/>
      </c>
      <c r="H84" s="48" t="str">
        <f aca="false">IFERROR(INDEX('Vidushi Malhotra'!$M$7:$M$300,MATCH($A84,'Vidushi Malhotra'!$B$7:$B$300,0)),"")</f>
        <v/>
      </c>
      <c r="I84" s="48" t="str">
        <f aca="false">IFERROR(INDEX('Dr Umesh Choudhry'!$M$7:$M$300,MATCH($A84,'Dr Umesh Choudhry'!$B$7:$B$300,0)),"")</f>
        <v/>
      </c>
      <c r="J84" s="48" t="str">
        <f aca="false">IFERROR(INDEX(DA!$M$7:$M$300,MATCH($A84,DA!$B$7:$B$300,0)),"")</f>
        <v/>
      </c>
      <c r="K84" s="62" t="s">
        <v>184</v>
      </c>
      <c r="L84" s="63"/>
      <c r="M84" s="9" t="str">
        <f aca="false">IF(AND(ISNUMBER(B84),ISNUMBER(L84),N(L84)&gt;0),B84/L84-1,"")</f>
        <v/>
      </c>
    </row>
    <row r="85" customFormat="false" ht="15" hidden="false" customHeight="false" outlineLevel="0" collapsed="false">
      <c r="A85" s="5" t="s">
        <v>164</v>
      </c>
      <c r="B85" s="59"/>
      <c r="C85" s="60" t="n">
        <f aca="false">IF(ISNUMBER(B85),B85,IF(ISNUMBER(E85),E85,IF(ISNUMBER(F85),F85,IF(ISNUMBER(G85),G85,IF(ISNUMBER(H85),H85,IF(ISNUMBER(I85),I85,IF(ISNUMBER(J85),J85,"")))))))</f>
        <v>4</v>
      </c>
      <c r="D85" s="61" t="str">
        <f aca="false">IF(ISNUMBER(B85),IF(K85&lt;&gt;"",K85,"Manual override"),IF(ISNUMBER(E85),"Gautam stmt – 23.10",IF(ISNUMBER(F85),"Manish Shilpa stmt – live 23.10",IF(ISNUMBER(G85),"Saloni stmt – 20.10 (stale)",IF(ISNUMBER(H85),"Vidushi stmt – LTP 05.10",IF(ISNUMBER(I85),"Umesh stmt – NSE live 09.10",IF(ISNUMBER(J85),"DA stmt – older (stale)","No price on any statement")))))))</f>
        <v>DA stmt – older (stale)</v>
      </c>
      <c r="E85" s="48" t="str">
        <f aca="false">IFERROR(INDEX(Gautam!$M$7:$M$300,MATCH($A85,Gautam!$B$7:$B$300,0)),"")</f>
        <v/>
      </c>
      <c r="F85" s="48" t="str">
        <f aca="false">IFERROR(INDEX('Manish Shilpa'!$M$7:$M$300,MATCH($A85,'Manish Shilpa'!$B$7:$B$300,0)),"")</f>
        <v/>
      </c>
      <c r="G85" s="48" t="str">
        <f aca="false">IFERROR(INDEX('Saloni Mehra'!$M$7:$M$300,MATCH($A85,'Saloni Mehra'!$B$7:$B$300,0)),"")</f>
        <v/>
      </c>
      <c r="H85" s="48" t="str">
        <f aca="false">IFERROR(INDEX('Vidushi Malhotra'!$M$7:$M$300,MATCH($A85,'Vidushi Malhotra'!$B$7:$B$300,0)),"")</f>
        <v/>
      </c>
      <c r="I85" s="48" t="str">
        <f aca="false">IFERROR(INDEX('Dr Umesh Choudhry'!$M$7:$M$300,MATCH($A85,'Dr Umesh Choudhry'!$B$7:$B$300,0)),"")</f>
        <v/>
      </c>
      <c r="J85" s="48" t="n">
        <f aca="false">IFERROR(INDEX(DA!$M$7:$M$300,MATCH($A85,DA!$B$7:$B$300,0)),"")</f>
        <v>4</v>
      </c>
      <c r="K85" s="62" t="s">
        <v>184</v>
      </c>
      <c r="L85" s="63"/>
      <c r="M85" s="9" t="str">
        <f aca="false">IF(AND(ISNUMBER(B85),ISNUMBER(L85),N(L85)&gt;0),B85/L85-1,"")</f>
        <v/>
      </c>
    </row>
    <row r="86" customFormat="false" ht="15" hidden="false" customHeight="false" outlineLevel="0" collapsed="false">
      <c r="A86" s="5" t="s">
        <v>155</v>
      </c>
      <c r="B86" s="59" t="n">
        <v>12.17</v>
      </c>
      <c r="C86" s="60" t="n">
        <f aca="false">IF(ISNUMBER(B86),B86,IF(ISNUMBER(E86),E86,IF(ISNUMBER(F86),F86,IF(ISNUMBER(G86),G86,IF(ISNUMBER(H86),H86,IF(ISNUMBER(I86),I86,IF(ISNUMBER(J86),J86,"")))))))</f>
        <v>12.17</v>
      </c>
      <c r="D86" s="61" t="str">
        <f aca="false">IF(ISNUMBER(B86),IF(K86&lt;&gt;"",K86,"Manual override"),IF(ISNUMBER(E86),"Gautam stmt – 23.10",IF(ISNUMBER(F86),"Manish Shilpa stmt – live 23.10",IF(ISNUMBER(G86),"Saloni stmt – 20.10 (stale)",IF(ISNUMBER(H86),"Vidushi stmt – LTP 05.10",IF(ISNUMBER(I86),"Umesh stmt – NSE live 09.10",IF(ISNUMBER(J86),"DA stmt – older (stale)","No price on any statement")))))))</f>
        <v>Close 22.10.2026 (Screener.in)</v>
      </c>
      <c r="E86" s="48" t="str">
        <f aca="false">IFERROR(INDEX(Gautam!$M$7:$M$300,MATCH($A86,Gautam!$B$7:$B$300,0)),"")</f>
        <v/>
      </c>
      <c r="F86" s="48" t="str">
        <f aca="false">IFERROR(INDEX('Manish Shilpa'!$M$7:$M$300,MATCH($A86,'Manish Shilpa'!$B$7:$B$300,0)),"")</f>
        <v/>
      </c>
      <c r="G86" s="48" t="str">
        <f aca="false">IFERROR(INDEX('Saloni Mehra'!$M$7:$M$300,MATCH($A86,'Saloni Mehra'!$B$7:$B$300,0)),"")</f>
        <v/>
      </c>
      <c r="H86" s="48" t="str">
        <f aca="false">IFERROR(INDEX('Vidushi Malhotra'!$M$7:$M$300,MATCH($A86,'Vidushi Malhotra'!$B$7:$B$300,0)),"")</f>
        <v/>
      </c>
      <c r="I86" s="48" t="str">
        <f aca="false">IFERROR(INDEX('Dr Umesh Choudhry'!$M$7:$M$300,MATCH($A86,'Dr Umesh Choudhry'!$B$7:$B$300,0)),"")</f>
        <v/>
      </c>
      <c r="J86" s="48" t="n">
        <f aca="false">IFERROR(INDEX(DA!$M$7:$M$300,MATCH($A86,DA!$B$7:$B$300,0)),"")</f>
        <v>14.5</v>
      </c>
      <c r="K86" s="62" t="s">
        <v>182</v>
      </c>
      <c r="L86" s="63" t="n">
        <v>12.55</v>
      </c>
      <c r="M86" s="9" t="n">
        <f aca="false">IF(AND(ISNUMBER(B86),ISNUMBER(L86),N(L86)&gt;0),B86/L86-1,"")</f>
        <v>-0.0302788844621514</v>
      </c>
    </row>
    <row r="87" customFormat="false" ht="15" hidden="false" customHeight="false" outlineLevel="0" collapsed="false">
      <c r="A87" s="5" t="s">
        <v>165</v>
      </c>
      <c r="B87" s="59" t="n">
        <v>195.22</v>
      </c>
      <c r="C87" s="60" t="n">
        <f aca="false">IF(ISNUMBER(B87),B87,IF(ISNUMBER(E87),E87,IF(ISNUMBER(F87),F87,IF(ISNUMBER(G87),G87,IF(ISNUMBER(H87),H87,IF(ISNUMBER(I87),I87,IF(ISNUMBER(J87),J87,"")))))))</f>
        <v>195.22</v>
      </c>
      <c r="D87" s="61" t="str">
        <f aca="false">IF(ISNUMBER(B87),IF(K87&lt;&gt;"",K87,"Manual override"),IF(ISNUMBER(E87),"Gautam stmt – 23.10",IF(ISNUMBER(F87),"Manish Shilpa stmt – live 23.10",IF(ISNUMBER(G87),"Saloni stmt – 20.10 (stale)",IF(ISNUMBER(H87),"Vidushi stmt – LTP 05.10",IF(ISNUMBER(I87),"Umesh stmt – NSE live 09.10",IF(ISNUMBER(J87),"DA stmt – older (stale)","No price on any statement")))))))</f>
        <v>Close 22.10.2026 (Screener.in)</v>
      </c>
      <c r="E87" s="48" t="str">
        <f aca="false">IFERROR(INDEX(Gautam!$M$7:$M$300,MATCH($A87,Gautam!$B$7:$B$300,0)),"")</f>
        <v/>
      </c>
      <c r="F87" s="48" t="n">
        <f aca="false">IFERROR(INDEX('Manish Shilpa'!$M$7:$M$300,MATCH($A87,'Manish Shilpa'!$B$7:$B$300,0)),"")</f>
        <v>187.2</v>
      </c>
      <c r="G87" s="48" t="str">
        <f aca="false">IFERROR(INDEX('Saloni Mehra'!$M$7:$M$300,MATCH($A87,'Saloni Mehra'!$B$7:$B$300,0)),"")</f>
        <v/>
      </c>
      <c r="H87" s="48" t="str">
        <f aca="false">IFERROR(INDEX('Vidushi Malhotra'!$M$7:$M$300,MATCH($A87,'Vidushi Malhotra'!$B$7:$B$300,0)),"")</f>
        <v/>
      </c>
      <c r="I87" s="48" t="str">
        <f aca="false">IFERROR(INDEX('Dr Umesh Choudhry'!$M$7:$M$300,MATCH($A87,'Dr Umesh Choudhry'!$B$7:$B$300,0)),"")</f>
        <v/>
      </c>
      <c r="J87" s="48" t="str">
        <f aca="false">IFERROR(INDEX(DA!$M$7:$M$300,MATCH($A87,DA!$B$7:$B$300,0)),"")</f>
        <v/>
      </c>
      <c r="K87" s="62" t="s">
        <v>182</v>
      </c>
      <c r="L87" s="63" t="n">
        <v>199.32</v>
      </c>
      <c r="M87" s="9" t="n">
        <f aca="false">IF(AND(ISNUMBER(B87),ISNUMBER(L87),N(L87)&gt;0),B87/L87-1,"")</f>
        <v>-0.0205699377884808</v>
      </c>
    </row>
    <row r="88" customFormat="false" ht="15" hidden="false" customHeight="false" outlineLevel="0" collapsed="false">
      <c r="A88" s="5" t="s">
        <v>122</v>
      </c>
      <c r="B88" s="59" t="n">
        <v>490.05</v>
      </c>
      <c r="C88" s="60" t="n">
        <f aca="false">IF(ISNUMBER(B88),B88,IF(ISNUMBER(E88),E88,IF(ISNUMBER(F88),F88,IF(ISNUMBER(G88),G88,IF(ISNUMBER(H88),H88,IF(ISNUMBER(I88),I88,IF(ISNUMBER(J88),J88,"")))))))</f>
        <v>490.05</v>
      </c>
      <c r="D88" s="61" t="str">
        <f aca="false">IF(ISNUMBER(B88),IF(K88&lt;&gt;"",K88,"Manual override"),IF(ISNUMBER(E88),"Gautam stmt – 23.10",IF(ISNUMBER(F88),"Manish Shilpa stmt – live 23.10",IF(ISNUMBER(G88),"Saloni stmt – 20.10 (stale)",IF(ISNUMBER(H88),"Vidushi stmt – LTP 05.10",IF(ISNUMBER(I88),"Umesh stmt – NSE live 09.10",IF(ISNUMBER(J88),"DA stmt – older (stale)","No price on any statement")))))))</f>
        <v>Close 22.10.2026 (Screener.in)</v>
      </c>
      <c r="E88" s="48" t="str">
        <f aca="false">IFERROR(INDEX(Gautam!$M$7:$M$300,MATCH($A88,Gautam!$B$7:$B$300,0)),"")</f>
        <v/>
      </c>
      <c r="F88" s="48" t="str">
        <f aca="false">IFERROR(INDEX('Manish Shilpa'!$M$7:$M$300,MATCH($A88,'Manish Shilpa'!$B$7:$B$300,0)),"")</f>
        <v/>
      </c>
      <c r="G88" s="48" t="str">
        <f aca="false">IFERROR(INDEX('Saloni Mehra'!$M$7:$M$300,MATCH($A88,'Saloni Mehra'!$B$7:$B$300,0)),"")</f>
        <v/>
      </c>
      <c r="H88" s="48" t="str">
        <f aca="false">IFERROR(INDEX('Vidushi Malhotra'!$M$7:$M$300,MATCH($A88,'Vidushi Malhotra'!$B$7:$B$300,0)),"")</f>
        <v/>
      </c>
      <c r="I88" s="48" t="str">
        <f aca="false">IFERROR(INDEX('Dr Umesh Choudhry'!$M$7:$M$300,MATCH($A88,'Dr Umesh Choudhry'!$B$7:$B$300,0)),"")</f>
        <v/>
      </c>
      <c r="J88" s="48" t="n">
        <f aca="false">IFERROR(INDEX(DA!$M$7:$M$300,MATCH($A88,DA!$B$7:$B$300,0)),"")</f>
        <v>582</v>
      </c>
      <c r="K88" s="62" t="s">
        <v>182</v>
      </c>
      <c r="L88" s="63" t="n">
        <v>501.7</v>
      </c>
      <c r="M88" s="9" t="n">
        <f aca="false">IF(AND(ISNUMBER(B88),ISNUMBER(L88),N(L88)&gt;0),B88/L88-1,"")</f>
        <v>-0.0232210484353199</v>
      </c>
    </row>
    <row r="89" customFormat="false" ht="15" hidden="false" customHeight="false" outlineLevel="0" collapsed="false">
      <c r="A89" s="5" t="s">
        <v>124</v>
      </c>
      <c r="B89" s="59" t="n">
        <v>29.51</v>
      </c>
      <c r="C89" s="60" t="n">
        <f aca="false">IF(ISNUMBER(B89),B89,IF(ISNUMBER(E89),E89,IF(ISNUMBER(F89),F89,IF(ISNUMBER(G89),G89,IF(ISNUMBER(H89),H89,IF(ISNUMBER(I89),I89,IF(ISNUMBER(J89),J89,"")))))))</f>
        <v>29.51</v>
      </c>
      <c r="D89" s="61" t="str">
        <f aca="false">IF(ISNUMBER(B89),IF(K89&lt;&gt;"",K89,"Manual override"),IF(ISNUMBER(E89),"Gautam stmt – 23.10",IF(ISNUMBER(F89),"Manish Shilpa stmt – live 23.10",IF(ISNUMBER(G89),"Saloni stmt – 20.10 (stale)",IF(ISNUMBER(H89),"Vidushi stmt – LTP 05.10",IF(ISNUMBER(I89),"Umesh stmt – NSE live 09.10",IF(ISNUMBER(J89),"DA stmt – older (stale)","No price on any statement")))))))</f>
        <v>Close 22.10.2026 (Screener.in)</v>
      </c>
      <c r="E89" s="48" t="str">
        <f aca="false">IFERROR(INDEX(Gautam!$M$7:$M$300,MATCH($A89,Gautam!$B$7:$B$300,0)),"")</f>
        <v/>
      </c>
      <c r="F89" s="48" t="str">
        <f aca="false">IFERROR(INDEX('Manish Shilpa'!$M$7:$M$300,MATCH($A89,'Manish Shilpa'!$B$7:$B$300,0)),"")</f>
        <v/>
      </c>
      <c r="G89" s="48" t="str">
        <f aca="false">IFERROR(INDEX('Saloni Mehra'!$M$7:$M$300,MATCH($A89,'Saloni Mehra'!$B$7:$B$300,0)),"")</f>
        <v/>
      </c>
      <c r="H89" s="48" t="str">
        <f aca="false">IFERROR(INDEX('Vidushi Malhotra'!$M$7:$M$300,MATCH($A89,'Vidushi Malhotra'!$B$7:$B$300,0)),"")</f>
        <v/>
      </c>
      <c r="I89" s="48" t="str">
        <f aca="false">IFERROR(INDEX('Dr Umesh Choudhry'!$M$7:$M$300,MATCH($A89,'Dr Umesh Choudhry'!$B$7:$B$300,0)),"")</f>
        <v/>
      </c>
      <c r="J89" s="48" t="n">
        <f aca="false">IFERROR(INDEX(DA!$M$7:$M$300,MATCH($A89,DA!$B$7:$B$300,0)),"")</f>
        <v>34</v>
      </c>
      <c r="K89" s="62" t="s">
        <v>182</v>
      </c>
      <c r="L89" s="63" t="n">
        <v>30.3</v>
      </c>
      <c r="M89" s="9" t="n">
        <f aca="false">IF(AND(ISNUMBER(B89),ISNUMBER(L89),N(L89)&gt;0),B89/L89-1,"")</f>
        <v>-0.026072607260726</v>
      </c>
    </row>
    <row r="90" customFormat="false" ht="15" hidden="false" customHeight="false" outlineLevel="0" collapsed="false">
      <c r="A90" s="5" t="s">
        <v>101</v>
      </c>
      <c r="B90" s="59" t="n">
        <v>1089.9</v>
      </c>
      <c r="C90" s="60" t="n">
        <f aca="false">IF(ISNUMBER(B90),B90,IF(ISNUMBER(E90),E90,IF(ISNUMBER(F90),F90,IF(ISNUMBER(G90),G90,IF(ISNUMBER(H90),H90,IF(ISNUMBER(I90),I90,IF(ISNUMBER(J90),J90,"")))))))</f>
        <v>1089.9</v>
      </c>
      <c r="D90" s="61" t="str">
        <f aca="false">IF(ISNUMBER(B90),IF(K90&lt;&gt;"",K90,"Manual override"),IF(ISNUMBER(E90),"Gautam stmt – 23.10",IF(ISNUMBER(F90),"Manish Shilpa stmt – live 23.10",IF(ISNUMBER(G90),"Saloni stmt – 20.10 (stale)",IF(ISNUMBER(H90),"Vidushi stmt – LTP 05.10",IF(ISNUMBER(I90),"Umesh stmt – NSE live 09.10",IF(ISNUMBER(J90),"DA stmt – older (stale)","No price on any statement")))))))</f>
        <v>Close 22.10.2026 (Screener.in)</v>
      </c>
      <c r="E90" s="48" t="n">
        <f aca="false">IFERROR(INDEX(Gautam!$M$7:$M$300,MATCH($A90,Gautam!$B$7:$B$300,0)),"")</f>
        <v>1097</v>
      </c>
      <c r="F90" s="48" t="n">
        <f aca="false">IFERROR(INDEX('Manish Shilpa'!$M$7:$M$300,MATCH($A90,'Manish Shilpa'!$B$7:$B$300,0)),"")</f>
        <v>1067.17647058824</v>
      </c>
      <c r="G90" s="48" t="n">
        <f aca="false">IFERROR(INDEX('Saloni Mehra'!$M$7:$M$300,MATCH($A90,'Saloni Mehra'!$B$7:$B$300,0)),"")</f>
        <v>1118.60416666667</v>
      </c>
      <c r="H90" s="48" t="str">
        <f aca="false">IFERROR(INDEX('Vidushi Malhotra'!$M$7:$M$300,MATCH($A90,'Vidushi Malhotra'!$B$7:$B$300,0)),"")</f>
        <v/>
      </c>
      <c r="I90" s="48" t="n">
        <f aca="false">IFERROR(INDEX('Dr Umesh Choudhry'!$M$7:$M$300,MATCH($A90,'Dr Umesh Choudhry'!$B$7:$B$300,0)),"")</f>
        <v>1127.80487804878</v>
      </c>
      <c r="J90" s="48" t="str">
        <f aca="false">IFERROR(INDEX(DA!$M$7:$M$300,MATCH($A90,DA!$B$7:$B$300,0)),"")</f>
        <v/>
      </c>
      <c r="K90" s="62" t="s">
        <v>182</v>
      </c>
      <c r="L90" s="63" t="n">
        <v>1096.1</v>
      </c>
      <c r="M90" s="9" t="n">
        <f aca="false">IF(AND(ISNUMBER(B90),ISNUMBER(L90),N(L90)&gt;0),B90/L90-1,"")</f>
        <v>-0.00565641821001717</v>
      </c>
    </row>
    <row r="91" customFormat="false" ht="15" hidden="false" customHeight="false" outlineLevel="0" collapsed="false">
      <c r="A91" s="5" t="s">
        <v>142</v>
      </c>
      <c r="B91" s="59" t="n">
        <v>205.95</v>
      </c>
      <c r="C91" s="60" t="n">
        <f aca="false">IF(ISNUMBER(B91),B91,IF(ISNUMBER(E91),E91,IF(ISNUMBER(F91),F91,IF(ISNUMBER(G91),G91,IF(ISNUMBER(H91),H91,IF(ISNUMBER(I91),I91,IF(ISNUMBER(J91),J91,"")))))))</f>
        <v>205.95</v>
      </c>
      <c r="D91" s="61" t="str">
        <f aca="false">IF(ISNUMBER(B91),IF(K91&lt;&gt;"",K91,"Manual override"),IF(ISNUMBER(E91),"Gautam stmt – 23.10",IF(ISNUMBER(F91),"Manish Shilpa stmt – live 23.10",IF(ISNUMBER(G91),"Saloni stmt – 20.10 (stale)",IF(ISNUMBER(H91),"Vidushi stmt – LTP 05.10",IF(ISNUMBER(I91),"Umesh stmt – NSE live 09.10",IF(ISNUMBER(J91),"DA stmt – older (stale)","No price on any statement")))))))</f>
        <v>Close 22.10.2026 (Screener.in)</v>
      </c>
      <c r="E91" s="48" t="str">
        <f aca="false">IFERROR(INDEX(Gautam!$M$7:$M$300,MATCH($A91,Gautam!$B$7:$B$300,0)),"")</f>
        <v/>
      </c>
      <c r="F91" s="48" t="str">
        <f aca="false">IFERROR(INDEX('Manish Shilpa'!$M$7:$M$300,MATCH($A91,'Manish Shilpa'!$B$7:$B$300,0)),"")</f>
        <v/>
      </c>
      <c r="G91" s="48" t="str">
        <f aca="false">IFERROR(INDEX('Saloni Mehra'!$M$7:$M$300,MATCH($A91,'Saloni Mehra'!$B$7:$B$300,0)),"")</f>
        <v/>
      </c>
      <c r="H91" s="48" t="str">
        <f aca="false">IFERROR(INDEX('Vidushi Malhotra'!$M$7:$M$300,MATCH($A91,'Vidushi Malhotra'!$B$7:$B$300,0)),"")</f>
        <v/>
      </c>
      <c r="I91" s="48" t="str">
        <f aca="false">IFERROR(INDEX('Dr Umesh Choudhry'!$M$7:$M$300,MATCH($A91,'Dr Umesh Choudhry'!$B$7:$B$300,0)),"")</f>
        <v/>
      </c>
      <c r="J91" s="48" t="n">
        <f aca="false">IFERROR(INDEX(DA!$M$7:$M$300,MATCH($A91,DA!$B$7:$B$300,0)),"")</f>
        <v>220</v>
      </c>
      <c r="K91" s="62" t="s">
        <v>182</v>
      </c>
      <c r="L91" s="63" t="n">
        <v>201.62</v>
      </c>
      <c r="M91" s="9" t="n">
        <f aca="false">IF(AND(ISNUMBER(B91),ISNUMBER(L91),N(L91)&gt;0),B91/L91-1,"")</f>
        <v>0.0214760440432495</v>
      </c>
    </row>
    <row r="92" customFormat="false" ht="15" hidden="false" customHeight="false" outlineLevel="0" collapsed="false">
      <c r="A92" s="5" t="s">
        <v>148</v>
      </c>
      <c r="B92" s="59" t="n">
        <v>266.55</v>
      </c>
      <c r="C92" s="60" t="n">
        <f aca="false">IF(ISNUMBER(B92),B92,IF(ISNUMBER(E92),E92,IF(ISNUMBER(F92),F92,IF(ISNUMBER(G92),G92,IF(ISNUMBER(H92),H92,IF(ISNUMBER(I92),I92,IF(ISNUMBER(J92),J92,"")))))))</f>
        <v>266.55</v>
      </c>
      <c r="D92" s="61" t="str">
        <f aca="false">IF(ISNUMBER(B92),IF(K92&lt;&gt;"",K92,"Manual override"),IF(ISNUMBER(E92),"Gautam stmt – 23.10",IF(ISNUMBER(F92),"Manish Shilpa stmt – live 23.10",IF(ISNUMBER(G92),"Saloni stmt – 20.10 (stale)",IF(ISNUMBER(H92),"Vidushi stmt – LTP 05.10",IF(ISNUMBER(I92),"Umesh stmt – NSE live 09.10",IF(ISNUMBER(J92),"DA stmt – older (stale)","No price on any statement")))))))</f>
        <v>Close 22.10.2026 (Screener.in)</v>
      </c>
      <c r="E92" s="48" t="str">
        <f aca="false">IFERROR(INDEX(Gautam!$M$7:$M$300,MATCH($A92,Gautam!$B$7:$B$300,0)),"")</f>
        <v/>
      </c>
      <c r="F92" s="48" t="n">
        <f aca="false">IFERROR(INDEX('Manish Shilpa'!$M$7:$M$300,MATCH($A92,'Manish Shilpa'!$B$7:$B$300,0)),"")</f>
        <v>253.36</v>
      </c>
      <c r="G92" s="48" t="str">
        <f aca="false">IFERROR(INDEX('Saloni Mehra'!$M$7:$M$300,MATCH($A92,'Saloni Mehra'!$B$7:$B$300,0)),"")</f>
        <v/>
      </c>
      <c r="H92" s="48" t="str">
        <f aca="false">IFERROR(INDEX('Vidushi Malhotra'!$M$7:$M$300,MATCH($A92,'Vidushi Malhotra'!$B$7:$B$300,0)),"")</f>
        <v/>
      </c>
      <c r="I92" s="48" t="str">
        <f aca="false">IFERROR(INDEX('Dr Umesh Choudhry'!$M$7:$M$300,MATCH($A92,'Dr Umesh Choudhry'!$B$7:$B$300,0)),"")</f>
        <v/>
      </c>
      <c r="J92" s="48" t="str">
        <f aca="false">IFERROR(INDEX(DA!$M$7:$M$300,MATCH($A92,DA!$B$7:$B$300,0)),"")</f>
        <v/>
      </c>
      <c r="K92" s="62" t="s">
        <v>182</v>
      </c>
      <c r="L92" s="63" t="n">
        <v>284.85</v>
      </c>
      <c r="M92" s="9" t="n">
        <f aca="false">IF(AND(ISNUMBER(B92),ISNUMBER(L92),N(L92)&gt;0),B92/L92-1,"")</f>
        <v>-0.0642443391258557</v>
      </c>
    </row>
    <row r="93" customFormat="false" ht="15" hidden="false" customHeight="false" outlineLevel="0" collapsed="false">
      <c r="A93" s="5" t="s">
        <v>105</v>
      </c>
      <c r="B93" s="59" t="n">
        <v>2370</v>
      </c>
      <c r="C93" s="60" t="n">
        <f aca="false">IF(ISNUMBER(B93),B93,IF(ISNUMBER(E93),E93,IF(ISNUMBER(F93),F93,IF(ISNUMBER(G93),G93,IF(ISNUMBER(H93),H93,IF(ISNUMBER(I93),I93,IF(ISNUMBER(J93),J93,"")))))))</f>
        <v>2370</v>
      </c>
      <c r="D93" s="61" t="str">
        <f aca="false">IF(ISNUMBER(B93),IF(K93&lt;&gt;"",K93,"Manual override"),IF(ISNUMBER(E93),"Gautam stmt – 23.10",IF(ISNUMBER(F93),"Manish Shilpa stmt – live 23.10",IF(ISNUMBER(G93),"Saloni stmt – 20.10 (stale)",IF(ISNUMBER(H93),"Vidushi stmt – LTP 05.10",IF(ISNUMBER(I93),"Umesh stmt – NSE live 09.10",IF(ISNUMBER(J93),"DA stmt – older (stale)","No price on any statement")))))))</f>
        <v>Close 22.10.2026 (Screener.in)</v>
      </c>
      <c r="E93" s="48" t="n">
        <f aca="false">IFERROR(INDEX(Gautam!$M$7:$M$300,MATCH($A93,Gautam!$B$7:$B$300,0)),"")</f>
        <v>2370</v>
      </c>
      <c r="F93" s="48" t="n">
        <f aca="false">IFERROR(INDEX('Manish Shilpa'!$M$7:$M$300,MATCH($A93,'Manish Shilpa'!$B$7:$B$300,0)),"")</f>
        <v>2316.66666666667</v>
      </c>
      <c r="G93" s="48" t="n">
        <f aca="false">IFERROR(INDEX('Saloni Mehra'!$M$7:$M$300,MATCH($A93,'Saloni Mehra'!$B$7:$B$300,0)),"")</f>
        <v>2515</v>
      </c>
      <c r="H93" s="48" t="str">
        <f aca="false">IFERROR(INDEX('Vidushi Malhotra'!$M$7:$M$300,MATCH($A93,'Vidushi Malhotra'!$B$7:$B$300,0)),"")</f>
        <v/>
      </c>
      <c r="I93" s="48" t="str">
        <f aca="false">IFERROR(INDEX('Dr Umesh Choudhry'!$M$7:$M$300,MATCH($A93,'Dr Umesh Choudhry'!$B$7:$B$300,0)),"")</f>
        <v/>
      </c>
      <c r="J93" s="48" t="n">
        <f aca="false">IFERROR(INDEX(DA!$M$7:$M$300,MATCH($A93,DA!$B$7:$B$300,0)),"")</f>
        <v>2625</v>
      </c>
      <c r="K93" s="62" t="s">
        <v>182</v>
      </c>
      <c r="L93" s="63" t="n">
        <v>2455</v>
      </c>
      <c r="M93" s="9" t="n">
        <f aca="false">IF(AND(ISNUMBER(B93),ISNUMBER(L93),N(L93)&gt;0),B93/L93-1,"")</f>
        <v>-0.0346232179226069</v>
      </c>
    </row>
    <row r="94" customFormat="false" ht="15" hidden="false" customHeight="false" outlineLevel="0" collapsed="false">
      <c r="A94" s="5" t="s">
        <v>156</v>
      </c>
      <c r="B94" s="59" t="n">
        <v>718.95</v>
      </c>
      <c r="C94" s="60" t="n">
        <f aca="false">IF(ISNUMBER(B94),B94,IF(ISNUMBER(E94),E94,IF(ISNUMBER(F94),F94,IF(ISNUMBER(G94),G94,IF(ISNUMBER(H94),H94,IF(ISNUMBER(I94),I94,IF(ISNUMBER(J94),J94,"")))))))</f>
        <v>718.95</v>
      </c>
      <c r="D94" s="61" t="str">
        <f aca="false">IF(ISNUMBER(B94),IF(K94&lt;&gt;"",K94,"Manual override"),IF(ISNUMBER(E94),"Gautam stmt – 23.10",IF(ISNUMBER(F94),"Manish Shilpa stmt – live 23.10",IF(ISNUMBER(G94),"Saloni stmt – 20.10 (stale)",IF(ISNUMBER(H94),"Vidushi stmt – LTP 05.10",IF(ISNUMBER(I94),"Umesh stmt – NSE live 09.10",IF(ISNUMBER(J94),"DA stmt – older (stale)","No price on any statement")))))))</f>
        <v>Close 22.10.2026 (Screener.in)</v>
      </c>
      <c r="E94" s="48" t="str">
        <f aca="false">IFERROR(INDEX(Gautam!$M$7:$M$300,MATCH($A94,Gautam!$B$7:$B$300,0)),"")</f>
        <v/>
      </c>
      <c r="F94" s="48" t="n">
        <f aca="false">IFERROR(INDEX('Manish Shilpa'!$M$7:$M$300,MATCH($A94,'Manish Shilpa'!$B$7:$B$300,0)),"")</f>
        <v>679.6</v>
      </c>
      <c r="G94" s="48" t="n">
        <f aca="false">IFERROR(INDEX('Saloni Mehra'!$M$7:$M$300,MATCH($A94,'Saloni Mehra'!$B$7:$B$300,0)),"")</f>
        <v>826.333333333333</v>
      </c>
      <c r="H94" s="48" t="str">
        <f aca="false">IFERROR(INDEX('Vidushi Malhotra'!$M$7:$M$300,MATCH($A94,'Vidushi Malhotra'!$B$7:$B$300,0)),"")</f>
        <v/>
      </c>
      <c r="I94" s="48" t="str">
        <f aca="false">IFERROR(INDEX('Dr Umesh Choudhry'!$M$7:$M$300,MATCH($A94,'Dr Umesh Choudhry'!$B$7:$B$300,0)),"")</f>
        <v/>
      </c>
      <c r="J94" s="48" t="str">
        <f aca="false">IFERROR(INDEX(DA!$M$7:$M$300,MATCH($A94,DA!$B$7:$B$300,0)),"")</f>
        <v/>
      </c>
      <c r="K94" s="62" t="s">
        <v>182</v>
      </c>
      <c r="L94" s="63" t="n">
        <v>743.25</v>
      </c>
      <c r="M94" s="9" t="n">
        <f aca="false">IF(AND(ISNUMBER(B94),ISNUMBER(L94),N(L94)&gt;0),B94/L94-1,"")</f>
        <v>-0.0326942482341069</v>
      </c>
    </row>
  </sheetData>
  <conditionalFormatting sqref="C6:D94">
    <cfRule type="expression" priority="2" aboveAverage="0" equalAverage="0" bottom="0" percent="0" rank="0" text="" dxfId="0">
      <formula>ISNUMBER(SEARCH("stale",$D6))</formula>
    </cfRule>
    <cfRule type="expression" priority="3" aboveAverage="0" equalAverage="0" bottom="0" percent="0" rank="0" text="" dxfId="1">
      <formula>ISNUMBER(SEARCH("No price",$D6))</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3" min="3" style="0" width="17"/>
    <col collapsed="false" customWidth="true" hidden="false" outlineLevel="0" max="4" min="4" style="0" width="10"/>
    <col collapsed="false" customWidth="true" hidden="false" outlineLevel="0" max="5" min="5" style="0" width="14"/>
    <col collapsed="false" customWidth="true" hidden="false" outlineLevel="0" max="6" min="6" style="0" width="12"/>
    <col collapsed="false" customWidth="true" hidden="false" outlineLevel="0" max="7" min="7" style="0" width="11"/>
    <col collapsed="false" customWidth="true" hidden="false" outlineLevel="0" max="8" min="8" style="0" width="14"/>
    <col collapsed="false" customWidth="true" hidden="false" outlineLevel="0" max="9" min="9" style="0" width="13"/>
    <col collapsed="false" customWidth="true" hidden="false" outlineLevel="0" max="10" min="10" style="0" width="8"/>
    <col collapsed="false" customWidth="true" hidden="false" outlineLevel="0" max="11" min="11" style="0" width="9"/>
    <col collapsed="false" customWidth="true" hidden="false" outlineLevel="0" max="12" min="12" style="0" width="14"/>
    <col collapsed="false" customWidth="true" hidden="false" outlineLevel="0" max="13" min="13" style="0" width="11"/>
    <col collapsed="false" customWidth="true" hidden="false" outlineLevel="0" max="14" min="14" style="0" width="13"/>
    <col collapsed="false" customWidth="true" hidden="false" outlineLevel="0" max="15" min="15" style="0" width="38"/>
    <col collapsed="false" customWidth="true" hidden="false" outlineLevel="0" max="17" min="17" style="0" width="19"/>
    <col collapsed="false" customWidth="true" hidden="false" outlineLevel="0" max="18" min="18" style="0" width="6"/>
    <col collapsed="false" customWidth="true" hidden="false" outlineLevel="0" max="19" min="19" style="0" width="24"/>
    <col collapsed="false" customWidth="true" hidden="false" outlineLevel="0" max="20" min="20" style="0" width="6"/>
    <col collapsed="false" customWidth="true" hidden="false" outlineLevel="0" max="21" min="21" style="0" width="12"/>
    <col collapsed="false" customWidth="true" hidden="false" outlineLevel="0" max="22" min="22" style="0" width="11"/>
  </cols>
  <sheetData>
    <row r="1" customFormat="false" ht="17.35" hidden="false" customHeight="false" outlineLevel="0" collapsed="false">
      <c r="A1" s="1" t="s">
        <v>63</v>
      </c>
    </row>
    <row r="2" customFormat="false" ht="15" hidden="false" customHeight="false" outlineLevel="0" collapsed="false">
      <c r="A2" s="2" t="s">
        <v>185</v>
      </c>
    </row>
    <row r="3" customFormat="false" ht="15" hidden="false" customHeight="false" outlineLevel="0" collapsed="false">
      <c r="A3" s="2" t="s">
        <v>186</v>
      </c>
    </row>
    <row r="5" customFormat="false" ht="31.5" hidden="false" customHeight="true" outlineLevel="0" collapsed="false">
      <c r="A5" s="3" t="s">
        <v>69</v>
      </c>
      <c r="B5" s="3" t="s">
        <v>187</v>
      </c>
      <c r="C5" s="3" t="s">
        <v>3</v>
      </c>
      <c r="D5" s="3" t="s">
        <v>188</v>
      </c>
      <c r="E5" s="3" t="s">
        <v>189</v>
      </c>
      <c r="F5" s="3" t="s">
        <v>74</v>
      </c>
      <c r="G5" s="3" t="s">
        <v>70</v>
      </c>
      <c r="H5" s="3" t="s">
        <v>8</v>
      </c>
      <c r="I5" s="3" t="s">
        <v>9</v>
      </c>
      <c r="J5" s="3" t="s">
        <v>10</v>
      </c>
      <c r="K5" s="3" t="s">
        <v>190</v>
      </c>
      <c r="L5" s="3" t="s">
        <v>191</v>
      </c>
      <c r="M5" s="3" t="s">
        <v>192</v>
      </c>
      <c r="N5" s="3" t="s">
        <v>193</v>
      </c>
      <c r="O5" s="3" t="s">
        <v>194</v>
      </c>
      <c r="Q5" s="31" t="s">
        <v>195</v>
      </c>
    </row>
    <row r="6" customFormat="false" ht="15" hidden="false" customHeight="false" outlineLevel="0" collapsed="false">
      <c r="A6" s="4"/>
      <c r="B6" s="4" t="s">
        <v>78</v>
      </c>
      <c r="C6" s="4"/>
      <c r="D6" s="4"/>
      <c r="E6" s="64" t="n">
        <f aca="false">SUM(E7:E37)</f>
        <v>5501448</v>
      </c>
      <c r="F6" s="4"/>
      <c r="G6" s="4"/>
      <c r="H6" s="64" t="n">
        <f aca="false">SUM(H7:H37)</f>
        <v>5225157.3</v>
      </c>
      <c r="I6" s="64" t="n">
        <f aca="false">H6-E6</f>
        <v>-276290.7</v>
      </c>
      <c r="J6" s="65" t="n">
        <f aca="false">IF(E6&gt;0,I6/E6,"")</f>
        <v>-0.050221450788956</v>
      </c>
      <c r="K6" s="65" t="n">
        <f aca="false">SUM(K7:K37)</f>
        <v>1</v>
      </c>
      <c r="L6" s="64" t="n">
        <f aca="false">SUM(L7:L37)</f>
        <v>5224564</v>
      </c>
      <c r="M6" s="4"/>
      <c r="N6" s="64" t="n">
        <f aca="false">SUM(N7:N37)</f>
        <v>593.300000000083</v>
      </c>
      <c r="O6" s="4"/>
      <c r="Q6" s="3" t="s">
        <v>196</v>
      </c>
      <c r="R6" s="3" t="s">
        <v>197</v>
      </c>
      <c r="S6" s="3" t="s">
        <v>198</v>
      </c>
      <c r="T6" s="3" t="s">
        <v>73</v>
      </c>
      <c r="U6" s="3" t="s">
        <v>199</v>
      </c>
      <c r="V6" s="3" t="s">
        <v>200</v>
      </c>
    </row>
    <row r="7" customFormat="false" ht="15" hidden="false" customHeight="false" outlineLevel="0" collapsed="false">
      <c r="A7" s="5" t="n">
        <v>1</v>
      </c>
      <c r="B7" s="5" t="s">
        <v>79</v>
      </c>
      <c r="C7" s="5" t="s">
        <v>16</v>
      </c>
      <c r="D7" s="66" t="n">
        <v>1901</v>
      </c>
      <c r="E7" s="10" t="n">
        <v>1912279</v>
      </c>
      <c r="F7" s="57" t="n">
        <f aca="false">IF(AND(D7&gt;0,N(E7)&gt;0),E7/D7,"")</f>
        <v>1005.93319305629</v>
      </c>
      <c r="G7" s="48" t="n">
        <f aca="false">IFERROR(INDEX(Prices!$C$6:$C$300,MATCH(B7,Prices!$A$6:$A$300,0)),"")</f>
        <v>942.1</v>
      </c>
      <c r="H7" s="8" t="n">
        <f aca="false">IF(ISNUMBER(G7),D7*G7,0)</f>
        <v>1790932.1</v>
      </c>
      <c r="I7" s="8" t="n">
        <f aca="false">H7-N(E7)</f>
        <v>-121346.9</v>
      </c>
      <c r="J7" s="9" t="n">
        <f aca="false">IF(N(E7)&gt;0,I7/E7,"")</f>
        <v>-0.0634566922504509</v>
      </c>
      <c r="K7" s="9" t="n">
        <f aca="false">IF($H$6=0,"",H7/$H$6)</f>
        <v>0.342751805768603</v>
      </c>
      <c r="L7" s="10" t="n">
        <v>1783138</v>
      </c>
      <c r="M7" s="57" t="n">
        <f aca="false">IF(ISNUMBER(L7),L7/D7,"")</f>
        <v>938</v>
      </c>
      <c r="N7" s="8" t="n">
        <f aca="false">IF(ISNUMBER(L7),H7-L7,"")</f>
        <v>7794.10000000009</v>
      </c>
      <c r="O7" s="67"/>
      <c r="Q7" s="68" t="s">
        <v>201</v>
      </c>
      <c r="R7" s="68" t="s">
        <v>202</v>
      </c>
      <c r="S7" s="68" t="s">
        <v>94</v>
      </c>
      <c r="T7" s="68" t="n">
        <v>8</v>
      </c>
      <c r="U7" s="63" t="n">
        <v>1364.62</v>
      </c>
      <c r="V7" s="10" t="n">
        <v>10917</v>
      </c>
    </row>
    <row r="8" customFormat="false" ht="15" hidden="false" customHeight="false" outlineLevel="0" collapsed="false">
      <c r="A8" s="5" t="n">
        <v>2</v>
      </c>
      <c r="B8" s="5" t="s">
        <v>83</v>
      </c>
      <c r="C8" s="5" t="s">
        <v>16</v>
      </c>
      <c r="D8" s="66" t="n">
        <v>1132</v>
      </c>
      <c r="E8" s="10" t="n">
        <v>527172</v>
      </c>
      <c r="F8" s="57" t="n">
        <f aca="false">IF(AND(D8&gt;0,N(E8)&gt;0),E8/D8,"")</f>
        <v>465.69964664311</v>
      </c>
      <c r="G8" s="48" t="n">
        <f aca="false">IFERROR(INDEX(Prices!$C$6:$C$300,MATCH(B8,Prices!$A$6:$A$300,0)),"")</f>
        <v>432.45</v>
      </c>
      <c r="H8" s="8" t="n">
        <f aca="false">IF(ISNUMBER(G8),D8*G8,0)</f>
        <v>489533.4</v>
      </c>
      <c r="I8" s="8" t="n">
        <f aca="false">H8-N(E8)</f>
        <v>-37638.6</v>
      </c>
      <c r="J8" s="9" t="n">
        <f aca="false">IF(N(E8)&gt;0,I8/E8,"")</f>
        <v>-0.0713971910496006</v>
      </c>
      <c r="K8" s="9" t="n">
        <f aca="false">IF($H$6=0,"",H8/$H$6)</f>
        <v>0.0936877823754703</v>
      </c>
      <c r="L8" s="10" t="n">
        <v>489024</v>
      </c>
      <c r="M8" s="57" t="n">
        <f aca="false">IF(ISNUMBER(L8),L8/D8,"")</f>
        <v>432</v>
      </c>
      <c r="N8" s="8" t="n">
        <f aca="false">IF(ISNUMBER(L8),H8-L8,"")</f>
        <v>509.399999999965</v>
      </c>
      <c r="O8" s="67"/>
      <c r="Q8" s="68" t="s">
        <v>201</v>
      </c>
      <c r="R8" s="68" t="s">
        <v>202</v>
      </c>
      <c r="S8" s="68" t="s">
        <v>102</v>
      </c>
      <c r="T8" s="68" t="n">
        <v>3</v>
      </c>
      <c r="U8" s="63" t="n">
        <v>3179</v>
      </c>
      <c r="V8" s="10" t="n">
        <v>9537</v>
      </c>
    </row>
    <row r="9" customFormat="false" ht="15" hidden="false" customHeight="false" outlineLevel="0" collapsed="false">
      <c r="A9" s="5" t="n">
        <v>3</v>
      </c>
      <c r="B9" s="5" t="s">
        <v>95</v>
      </c>
      <c r="C9" s="5" t="s">
        <v>16</v>
      </c>
      <c r="D9" s="66" t="n">
        <v>325</v>
      </c>
      <c r="E9" s="10" t="n">
        <v>325000</v>
      </c>
      <c r="F9" s="57" t="n">
        <f aca="false">IF(AND(D9&gt;0,N(E9)&gt;0),E9/D9,"")</f>
        <v>1000</v>
      </c>
      <c r="G9" s="48" t="n">
        <f aca="false">IFERROR(INDEX(Prices!$C$6:$C$300,MATCH(B9,Prices!$A$6:$A$300,0)),"")</f>
        <v>1000</v>
      </c>
      <c r="H9" s="8" t="n">
        <f aca="false">IF(ISNUMBER(G9),D9*G9,0)</f>
        <v>325000</v>
      </c>
      <c r="I9" s="8" t="n">
        <f aca="false">H9-N(E9)</f>
        <v>0</v>
      </c>
      <c r="J9" s="9" t="n">
        <f aca="false">IF(N(E9)&gt;0,I9/E9,"")</f>
        <v>0</v>
      </c>
      <c r="K9" s="9" t="n">
        <f aca="false">IF($H$6=0,"",H9/$H$6)</f>
        <v>0.0621990844179945</v>
      </c>
      <c r="L9" s="10" t="n">
        <v>325000</v>
      </c>
      <c r="M9" s="57" t="n">
        <f aca="false">IF(ISNUMBER(L9),L9/D9,"")</f>
        <v>1000</v>
      </c>
      <c r="N9" s="8" t="n">
        <f aca="false">IF(ISNUMBER(L9),H9-L9,"")</f>
        <v>0</v>
      </c>
      <c r="O9" s="67"/>
      <c r="Q9" s="68" t="s">
        <v>201</v>
      </c>
      <c r="R9" s="68" t="s">
        <v>202</v>
      </c>
      <c r="S9" s="68" t="s">
        <v>79</v>
      </c>
      <c r="T9" s="68" t="n">
        <v>237</v>
      </c>
      <c r="U9" s="63" t="n">
        <v>932.3</v>
      </c>
      <c r="V9" s="10" t="n">
        <v>220956</v>
      </c>
    </row>
    <row r="10" customFormat="false" ht="15" hidden="false" customHeight="false" outlineLevel="0" collapsed="false">
      <c r="A10" s="5" t="n">
        <v>4</v>
      </c>
      <c r="B10" s="5" t="s">
        <v>82</v>
      </c>
      <c r="C10" s="5" t="s">
        <v>16</v>
      </c>
      <c r="D10" s="66" t="n">
        <v>447</v>
      </c>
      <c r="E10" s="10" t="n">
        <v>320122</v>
      </c>
      <c r="F10" s="57" t="n">
        <f aca="false">IF(AND(D10&gt;0,N(E10)&gt;0),E10/D10,"")</f>
        <v>716.156599552573</v>
      </c>
      <c r="G10" s="48" t="n">
        <f aca="false">IFERROR(INDEX(Prices!$C$6:$C$300,MATCH(B10,Prices!$A$6:$A$300,0)),"")</f>
        <v>694.05</v>
      </c>
      <c r="H10" s="8" t="n">
        <f aca="false">IF(ISNUMBER(G10),D10*G10,0)</f>
        <v>310240.35</v>
      </c>
      <c r="I10" s="8" t="n">
        <f aca="false">H10-N(E10)</f>
        <v>-9881.65000000002</v>
      </c>
      <c r="J10" s="9" t="n">
        <f aca="false">IF(N(E10)&gt;0,I10/E10,"")</f>
        <v>-0.0308683876771981</v>
      </c>
      <c r="K10" s="9" t="n">
        <f aca="false">IF($H$6=0,"",H10/$H$6)</f>
        <v>0.0593743560600558</v>
      </c>
      <c r="L10" s="10" t="n">
        <v>310218</v>
      </c>
      <c r="M10" s="57" t="n">
        <f aca="false">IF(ISNUMBER(L10),L10/D10,"")</f>
        <v>694</v>
      </c>
      <c r="N10" s="8" t="n">
        <f aca="false">IF(ISNUMBER(L10),H10-L10,"")</f>
        <v>22.3499999999767</v>
      </c>
      <c r="O10" s="67"/>
      <c r="Q10" s="68" t="s">
        <v>201</v>
      </c>
      <c r="R10" s="68" t="s">
        <v>202</v>
      </c>
      <c r="S10" s="68" t="s">
        <v>87</v>
      </c>
      <c r="T10" s="68" t="n">
        <v>274</v>
      </c>
      <c r="U10" s="63" t="n">
        <v>81.1</v>
      </c>
      <c r="V10" s="10" t="n">
        <v>22222</v>
      </c>
    </row>
    <row r="11" customFormat="false" ht="15" hidden="false" customHeight="false" outlineLevel="0" collapsed="false">
      <c r="A11" s="5" t="n">
        <v>5</v>
      </c>
      <c r="B11" s="5" t="s">
        <v>86</v>
      </c>
      <c r="C11" s="5" t="s">
        <v>16</v>
      </c>
      <c r="D11" s="66" t="n">
        <v>60</v>
      </c>
      <c r="E11" s="10" t="n">
        <v>273840</v>
      </c>
      <c r="F11" s="57" t="n">
        <f aca="false">IF(AND(D11&gt;0,N(E11)&gt;0),E11/D11,"")</f>
        <v>4564</v>
      </c>
      <c r="G11" s="48" t="n">
        <f aca="false">IFERROR(INDEX(Prices!$C$6:$C$300,MATCH(B11,Prices!$A$6:$A$300,0)),"")</f>
        <v>4274</v>
      </c>
      <c r="H11" s="8" t="n">
        <f aca="false">IF(ISNUMBER(G11),D11*G11,0)</f>
        <v>256440</v>
      </c>
      <c r="I11" s="8" t="n">
        <f aca="false">H11-N(E11)</f>
        <v>-17400</v>
      </c>
      <c r="J11" s="9" t="n">
        <f aca="false">IF(N(E11)&gt;0,I11/E11,"")</f>
        <v>-0.0635407537248028</v>
      </c>
      <c r="K11" s="9" t="n">
        <f aca="false">IF($H$6=0,"",H11/$H$6)</f>
        <v>0.0490779483327708</v>
      </c>
      <c r="L11" s="10" t="n">
        <v>256440</v>
      </c>
      <c r="M11" s="57" t="n">
        <f aca="false">IF(ISNUMBER(L11),L11/D11,"")</f>
        <v>4274</v>
      </c>
      <c r="N11" s="8" t="n">
        <f aca="false">IF(ISNUMBER(L11),H11-L11,"")</f>
        <v>0</v>
      </c>
      <c r="O11" s="67" t="s">
        <v>203</v>
      </c>
      <c r="Q11" s="68" t="s">
        <v>201</v>
      </c>
      <c r="R11" s="68" t="s">
        <v>202</v>
      </c>
      <c r="S11" s="68" t="s">
        <v>97</v>
      </c>
      <c r="T11" s="68" t="n">
        <v>3</v>
      </c>
      <c r="U11" s="63" t="n">
        <v>7055</v>
      </c>
      <c r="V11" s="10" t="n">
        <v>21165</v>
      </c>
    </row>
    <row r="12" customFormat="false" ht="15" hidden="false" customHeight="false" outlineLevel="0" collapsed="false">
      <c r="A12" s="5" t="n">
        <v>6</v>
      </c>
      <c r="B12" s="5" t="s">
        <v>85</v>
      </c>
      <c r="C12" s="5" t="s">
        <v>16</v>
      </c>
      <c r="D12" s="66" t="n">
        <v>92</v>
      </c>
      <c r="E12" s="10" t="n">
        <v>210588</v>
      </c>
      <c r="F12" s="57" t="n">
        <f aca="false">IF(AND(D12&gt;0,N(E12)&gt;0),E12/D12,"")</f>
        <v>2289</v>
      </c>
      <c r="G12" s="48" t="n">
        <f aca="false">IFERROR(INDEX(Prices!$C$6:$C$300,MATCH(B12,Prices!$A$6:$A$300,0)),"")</f>
        <v>2506.9</v>
      </c>
      <c r="H12" s="8" t="n">
        <f aca="false">IF(ISNUMBER(G12),D12*G12,0)</f>
        <v>230634.8</v>
      </c>
      <c r="I12" s="8" t="n">
        <f aca="false">H12-N(E12)</f>
        <v>20046.8</v>
      </c>
      <c r="J12" s="9" t="n">
        <f aca="false">IF(N(E12)&gt;0,I12/E12,"")</f>
        <v>0.0951944080384448</v>
      </c>
      <c r="K12" s="9" t="n">
        <f aca="false">IF($H$6=0,"",H12/$H$6)</f>
        <v>0.0441393027536224</v>
      </c>
      <c r="L12" s="10" t="n">
        <v>230644</v>
      </c>
      <c r="M12" s="57" t="n">
        <f aca="false">IF(ISNUMBER(L12),L12/D12,"")</f>
        <v>2507</v>
      </c>
      <c r="N12" s="8" t="n">
        <f aca="false">IF(ISNUMBER(L12),H12-L12,"")</f>
        <v>-9.19999999998254</v>
      </c>
      <c r="O12" s="67"/>
      <c r="Q12" s="68" t="s">
        <v>201</v>
      </c>
      <c r="R12" s="68" t="s">
        <v>202</v>
      </c>
      <c r="S12" s="68" t="s">
        <v>91</v>
      </c>
      <c r="T12" s="68" t="n">
        <v>138</v>
      </c>
      <c r="U12" s="63" t="n">
        <v>52.29</v>
      </c>
      <c r="V12" s="10" t="n">
        <v>7216</v>
      </c>
    </row>
    <row r="13" customFormat="false" ht="15" hidden="false" customHeight="false" outlineLevel="0" collapsed="false">
      <c r="A13" s="5" t="n">
        <v>7</v>
      </c>
      <c r="B13" s="5" t="s">
        <v>80</v>
      </c>
      <c r="C13" s="5" t="s">
        <v>16</v>
      </c>
      <c r="D13" s="66" t="n">
        <v>47</v>
      </c>
      <c r="E13" s="10" t="n">
        <v>223898</v>
      </c>
      <c r="F13" s="57" t="n">
        <f aca="false">IF(AND(D13&gt;0,N(E13)&gt;0),E13/D13,"")</f>
        <v>4763.78723404255</v>
      </c>
      <c r="G13" s="48" t="n">
        <f aca="false">IFERROR(INDEX(Prices!$C$6:$C$300,MATCH(B13,Prices!$A$6:$A$300,0)),"")</f>
        <v>4350</v>
      </c>
      <c r="H13" s="8" t="n">
        <f aca="false">IF(ISNUMBER(G13),D13*G13,0)</f>
        <v>204450</v>
      </c>
      <c r="I13" s="8" t="n">
        <f aca="false">H13-N(E13)</f>
        <v>-19448</v>
      </c>
      <c r="J13" s="9" t="n">
        <f aca="false">IF(N(E13)&gt;0,I13/E13,"")</f>
        <v>-0.0868609813397172</v>
      </c>
      <c r="K13" s="9" t="n">
        <f aca="false">IF($H$6=0,"",H13/$H$6)</f>
        <v>0.0391280086438737</v>
      </c>
      <c r="L13" s="10" t="n">
        <v>204450</v>
      </c>
      <c r="M13" s="57" t="n">
        <f aca="false">IF(ISNUMBER(L13),L13/D13,"")</f>
        <v>4350</v>
      </c>
      <c r="N13" s="8" t="n">
        <f aca="false">IF(ISNUMBER(L13),H13-L13,"")</f>
        <v>0</v>
      </c>
      <c r="O13" s="67"/>
      <c r="Q13" s="68" t="s">
        <v>201</v>
      </c>
      <c r="R13" s="68" t="s">
        <v>202</v>
      </c>
      <c r="S13" s="68" t="s">
        <v>82</v>
      </c>
      <c r="T13" s="68" t="n">
        <v>57</v>
      </c>
      <c r="U13" s="63" t="n">
        <v>693.96</v>
      </c>
      <c r="V13" s="10" t="n">
        <v>39556</v>
      </c>
    </row>
    <row r="14" customFormat="false" ht="15" hidden="false" customHeight="false" outlineLevel="0" collapsed="false">
      <c r="A14" s="5" t="n">
        <v>8</v>
      </c>
      <c r="B14" s="5" t="s">
        <v>88</v>
      </c>
      <c r="C14" s="5" t="s">
        <v>16</v>
      </c>
      <c r="D14" s="66" t="n">
        <v>800</v>
      </c>
      <c r="E14" s="10" t="n">
        <v>211200</v>
      </c>
      <c r="F14" s="57" t="n">
        <f aca="false">IF(AND(D14&gt;0,N(E14)&gt;0),E14/D14,"")</f>
        <v>264</v>
      </c>
      <c r="G14" s="48" t="n">
        <f aca="false">IFERROR(INDEX(Prices!$C$6:$C$300,MATCH(B14,Prices!$A$6:$A$300,0)),"")</f>
        <v>234.25</v>
      </c>
      <c r="H14" s="8" t="n">
        <f aca="false">IF(ISNUMBER(G14),D14*G14,0)</f>
        <v>187400</v>
      </c>
      <c r="I14" s="8" t="n">
        <f aca="false">H14-N(E14)</f>
        <v>-23800</v>
      </c>
      <c r="J14" s="9" t="n">
        <f aca="false">IF(N(E14)&gt;0,I14/E14,"")</f>
        <v>-0.112689393939394</v>
      </c>
      <c r="K14" s="9" t="n">
        <f aca="false">IF($H$6=0,"",H14/$H$6)</f>
        <v>0.0358649489844067</v>
      </c>
      <c r="L14" s="10" t="n">
        <v>192000</v>
      </c>
      <c r="M14" s="57" t="n">
        <f aca="false">IF(ISNUMBER(L14),L14/D14,"")</f>
        <v>240</v>
      </c>
      <c r="N14" s="8" t="n">
        <f aca="false">IF(ISNUMBER(L14),H14-L14,"")</f>
        <v>-4600</v>
      </c>
      <c r="O14" s="67"/>
      <c r="Q14" s="68" t="s">
        <v>201</v>
      </c>
      <c r="R14" s="68" t="s">
        <v>204</v>
      </c>
      <c r="S14" s="68" t="s">
        <v>205</v>
      </c>
      <c r="T14" s="68" t="n">
        <v>80</v>
      </c>
      <c r="U14" s="63" t="n">
        <v>314</v>
      </c>
      <c r="V14" s="10" t="n">
        <v>25120</v>
      </c>
    </row>
    <row r="15" customFormat="false" ht="15" hidden="false" customHeight="false" outlineLevel="0" collapsed="false">
      <c r="A15" s="5" t="n">
        <v>9</v>
      </c>
      <c r="B15" s="5" t="s">
        <v>84</v>
      </c>
      <c r="C15" s="5" t="s">
        <v>16</v>
      </c>
      <c r="D15" s="66" t="n">
        <v>120</v>
      </c>
      <c r="E15" s="10" t="n">
        <v>199920</v>
      </c>
      <c r="F15" s="57" t="n">
        <f aca="false">IF(AND(D15&gt;0,N(E15)&gt;0),E15/D15,"")</f>
        <v>1666</v>
      </c>
      <c r="G15" s="48" t="n">
        <f aca="false">IFERROR(INDEX(Prices!$C$6:$C$300,MATCH(B15,Prices!$A$6:$A$300,0)),"")</f>
        <v>1371.45</v>
      </c>
      <c r="H15" s="8" t="n">
        <f aca="false">IF(ISNUMBER(G15),D15*G15,0)</f>
        <v>164574</v>
      </c>
      <c r="I15" s="8" t="n">
        <f aca="false">H15-N(E15)</f>
        <v>-35346</v>
      </c>
      <c r="J15" s="9" t="n">
        <f aca="false">IF(N(E15)&gt;0,I15/E15,"")</f>
        <v>-0.176800720288115</v>
      </c>
      <c r="K15" s="9" t="n">
        <f aca="false">IF($H$6=0,"",H15/$H$6)</f>
        <v>0.0314964680584831</v>
      </c>
      <c r="L15" s="10" t="n">
        <v>165240</v>
      </c>
      <c r="M15" s="57" t="n">
        <f aca="false">IF(ISNUMBER(L15),L15/D15,"")</f>
        <v>1377</v>
      </c>
      <c r="N15" s="8" t="n">
        <f aca="false">IF(ISNUMBER(L15),H15-L15,"")</f>
        <v>-666</v>
      </c>
      <c r="O15" s="67" t="s">
        <v>206</v>
      </c>
      <c r="Q15" s="68" t="s">
        <v>201</v>
      </c>
      <c r="R15" s="68" t="s">
        <v>202</v>
      </c>
      <c r="S15" s="68" t="s">
        <v>89</v>
      </c>
      <c r="T15" s="68" t="n">
        <v>5</v>
      </c>
      <c r="U15" s="63" t="n">
        <v>3954</v>
      </c>
      <c r="V15" s="10" t="n">
        <v>19770</v>
      </c>
    </row>
    <row r="16" customFormat="false" ht="15" hidden="false" customHeight="false" outlineLevel="0" collapsed="false">
      <c r="A16" s="5" t="n">
        <v>10</v>
      </c>
      <c r="B16" s="5" t="s">
        <v>92</v>
      </c>
      <c r="C16" s="5" t="s">
        <v>16</v>
      </c>
      <c r="D16" s="66" t="n">
        <v>41</v>
      </c>
      <c r="E16" s="10" t="n">
        <v>140474</v>
      </c>
      <c r="F16" s="57" t="n">
        <f aca="false">IF(AND(D16&gt;0,N(E16)&gt;0),E16/D16,"")</f>
        <v>3426.19512195122</v>
      </c>
      <c r="G16" s="48" t="n">
        <f aca="false">IFERROR(INDEX(Prices!$C$6:$C$300,MATCH(B16,Prices!$A$6:$A$300,0)),"")</f>
        <v>3846.8</v>
      </c>
      <c r="H16" s="8" t="n">
        <f aca="false">IF(ISNUMBER(G16),D16*G16,0)</f>
        <v>157718.8</v>
      </c>
      <c r="I16" s="8" t="n">
        <f aca="false">H16-N(E16)</f>
        <v>17244.8</v>
      </c>
      <c r="J16" s="9" t="n">
        <f aca="false">IF(N(E16)&gt;0,I16/E16,"")</f>
        <v>0.122761507467574</v>
      </c>
      <c r="K16" s="9" t="n">
        <f aca="false">IF($H$6=0,"",H16/$H$6)</f>
        <v>0.0301845075553993</v>
      </c>
      <c r="L16" s="10" t="n">
        <v>157727</v>
      </c>
      <c r="M16" s="57" t="n">
        <f aca="false">IF(ISNUMBER(L16),L16/D16,"")</f>
        <v>3847</v>
      </c>
      <c r="N16" s="8" t="n">
        <f aca="false">IF(ISNUMBER(L16),H16-L16,"")</f>
        <v>-8.19999999998254</v>
      </c>
      <c r="O16" s="67"/>
      <c r="Q16" s="68" t="s">
        <v>201</v>
      </c>
      <c r="R16" s="68" t="s">
        <v>202</v>
      </c>
      <c r="S16" s="68" t="s">
        <v>95</v>
      </c>
      <c r="T16" s="68" t="n">
        <v>25</v>
      </c>
      <c r="U16" s="63" t="n">
        <v>1000</v>
      </c>
      <c r="V16" s="10" t="n">
        <v>25000</v>
      </c>
    </row>
    <row r="17" customFormat="false" ht="15" hidden="false" customHeight="false" outlineLevel="0" collapsed="false">
      <c r="A17" s="5" t="n">
        <v>11</v>
      </c>
      <c r="B17" s="5" t="s">
        <v>97</v>
      </c>
      <c r="C17" s="5" t="s">
        <v>16</v>
      </c>
      <c r="D17" s="66" t="n">
        <v>20</v>
      </c>
      <c r="E17" s="10" t="n">
        <v>147414</v>
      </c>
      <c r="F17" s="57" t="n">
        <f aca="false">IF(AND(D17&gt;0,N(E17)&gt;0),E17/D17,"")</f>
        <v>7370.7</v>
      </c>
      <c r="G17" s="48" t="n">
        <f aca="false">IFERROR(INDEX(Prices!$C$6:$C$300,MATCH(B17,Prices!$A$6:$A$300,0)),"")</f>
        <v>7084.5</v>
      </c>
      <c r="H17" s="8" t="n">
        <f aca="false">IF(ISNUMBER(G17),D17*G17,0)</f>
        <v>141690</v>
      </c>
      <c r="I17" s="8" t="n">
        <f aca="false">H17-N(E17)</f>
        <v>-5724</v>
      </c>
      <c r="J17" s="9" t="n">
        <f aca="false">IF(N(E17)&gt;0,I17/E17,"")</f>
        <v>-0.0388294191867801</v>
      </c>
      <c r="K17" s="9" t="n">
        <f aca="false">IF($H$6=0,"",H17/$H$6)</f>
        <v>0.0271168869882635</v>
      </c>
      <c r="L17" s="10" t="n">
        <v>141680</v>
      </c>
      <c r="M17" s="57" t="n">
        <f aca="false">IF(ISNUMBER(L17),L17/D17,"")</f>
        <v>7084</v>
      </c>
      <c r="N17" s="8" t="n">
        <f aca="false">IF(ISNUMBER(L17),H17-L17,"")</f>
        <v>10</v>
      </c>
      <c r="O17" s="67"/>
      <c r="Q17" s="68" t="s">
        <v>201</v>
      </c>
      <c r="R17" s="68" t="s">
        <v>202</v>
      </c>
      <c r="S17" s="68" t="s">
        <v>93</v>
      </c>
      <c r="T17" s="68" t="n">
        <v>3</v>
      </c>
      <c r="U17" s="63" t="n">
        <v>5806</v>
      </c>
      <c r="V17" s="10" t="n">
        <v>17418</v>
      </c>
    </row>
    <row r="18" customFormat="false" ht="15" hidden="false" customHeight="false" outlineLevel="0" collapsed="false">
      <c r="A18" s="5" t="n">
        <v>12</v>
      </c>
      <c r="B18" s="5" t="s">
        <v>87</v>
      </c>
      <c r="C18" s="5" t="s">
        <v>16</v>
      </c>
      <c r="D18" s="66" t="n">
        <v>1600</v>
      </c>
      <c r="E18" s="10" t="n">
        <v>132930</v>
      </c>
      <c r="F18" s="57" t="n">
        <f aca="false">IF(AND(D18&gt;0,N(E18)&gt;0),E18/D18,"")</f>
        <v>83.08125</v>
      </c>
      <c r="G18" s="48" t="n">
        <f aca="false">IFERROR(INDEX(Prices!$C$6:$C$300,MATCH(B18,Prices!$A$6:$A$300,0)),"")</f>
        <v>81.02</v>
      </c>
      <c r="H18" s="8" t="n">
        <f aca="false">IF(ISNUMBER(G18),D18*G18,0)</f>
        <v>129632</v>
      </c>
      <c r="I18" s="8" t="n">
        <f aca="false">H18-N(E18)</f>
        <v>-3298</v>
      </c>
      <c r="J18" s="9" t="n">
        <f aca="false">IF(N(E18)&gt;0,I18/E18,"")</f>
        <v>-0.0248100504024675</v>
      </c>
      <c r="K18" s="9" t="n">
        <f aca="false">IF($H$6=0,"",H18/$H$6)</f>
        <v>0.0248092052654568</v>
      </c>
      <c r="L18" s="10" t="n">
        <v>129920</v>
      </c>
      <c r="M18" s="57" t="n">
        <f aca="false">IF(ISNUMBER(L18),L18/D18,"")</f>
        <v>81.2</v>
      </c>
      <c r="N18" s="8" t="n">
        <f aca="false">IF(ISNUMBER(L18),H18-L18,"")</f>
        <v>-288</v>
      </c>
      <c r="O18" s="67"/>
      <c r="Q18" s="68" t="s">
        <v>201</v>
      </c>
      <c r="R18" s="68" t="s">
        <v>202</v>
      </c>
      <c r="S18" s="68" t="s">
        <v>83</v>
      </c>
      <c r="T18" s="68" t="n">
        <v>131</v>
      </c>
      <c r="U18" s="63" t="n">
        <v>432.84</v>
      </c>
      <c r="V18" s="10" t="n">
        <v>56702</v>
      </c>
    </row>
    <row r="19" customFormat="false" ht="15" hidden="false" customHeight="false" outlineLevel="0" collapsed="false">
      <c r="A19" s="5" t="n">
        <v>13</v>
      </c>
      <c r="B19" s="5" t="s">
        <v>89</v>
      </c>
      <c r="C19" s="5" t="s">
        <v>16</v>
      </c>
      <c r="D19" s="66" t="n">
        <v>30</v>
      </c>
      <c r="E19" s="10" t="n">
        <v>104531</v>
      </c>
      <c r="F19" s="57" t="n">
        <f aca="false">IF(AND(D19&gt;0,N(E19)&gt;0),E19/D19,"")</f>
        <v>3484.36666666667</v>
      </c>
      <c r="G19" s="48" t="n">
        <f aca="false">IFERROR(INDEX(Prices!$C$6:$C$300,MATCH(B19,Prices!$A$6:$A$300,0)),"")</f>
        <v>3954.8</v>
      </c>
      <c r="H19" s="8" t="n">
        <f aca="false">IF(ISNUMBER(G19),D19*G19,0)</f>
        <v>118644</v>
      </c>
      <c r="I19" s="8" t="n">
        <f aca="false">H19-N(E19)</f>
        <v>14113</v>
      </c>
      <c r="J19" s="9" t="n">
        <f aca="false">IF(N(E19)&gt;0,I19/E19,"")</f>
        <v>0.135012580000191</v>
      </c>
      <c r="K19" s="9" t="n">
        <f aca="false">IF($H$6=0,"",H19/$H$6)</f>
        <v>0.022706302066734</v>
      </c>
      <c r="L19" s="10" t="n">
        <v>119880</v>
      </c>
      <c r="M19" s="57" t="n">
        <f aca="false">IF(ISNUMBER(L19),L19/D19,"")</f>
        <v>3996</v>
      </c>
      <c r="N19" s="8" t="n">
        <f aca="false">IF(ISNUMBER(L19),H19-L19,"")</f>
        <v>-1236</v>
      </c>
      <c r="O19" s="67"/>
      <c r="Q19" s="68" t="s">
        <v>201</v>
      </c>
      <c r="R19" s="68" t="s">
        <v>202</v>
      </c>
      <c r="S19" s="68" t="s">
        <v>104</v>
      </c>
      <c r="T19" s="68" t="n">
        <v>9</v>
      </c>
      <c r="U19" s="63" t="n">
        <v>789.22</v>
      </c>
      <c r="V19" s="10" t="n">
        <v>7103</v>
      </c>
    </row>
    <row r="20" customFormat="false" ht="15" hidden="false" customHeight="false" outlineLevel="0" collapsed="false">
      <c r="A20" s="5" t="n">
        <v>14</v>
      </c>
      <c r="B20" s="5" t="s">
        <v>93</v>
      </c>
      <c r="C20" s="5" t="s">
        <v>16</v>
      </c>
      <c r="D20" s="66" t="n">
        <v>19</v>
      </c>
      <c r="E20" s="10" t="n">
        <v>105436</v>
      </c>
      <c r="F20" s="57" t="n">
        <f aca="false">IF(AND(D20&gt;0,N(E20)&gt;0),E20/D20,"")</f>
        <v>5549.26315789474</v>
      </c>
      <c r="G20" s="48" t="n">
        <f aca="false">IFERROR(INDEX(Prices!$C$6:$C$300,MATCH(B20,Prices!$A$6:$A$300,0)),"")</f>
        <v>5740.5</v>
      </c>
      <c r="H20" s="8" t="n">
        <f aca="false">IF(ISNUMBER(G20),D20*G20,0)</f>
        <v>109069.5</v>
      </c>
      <c r="I20" s="8" t="n">
        <f aca="false">H20-N(E20)</f>
        <v>3633.5</v>
      </c>
      <c r="J20" s="9" t="n">
        <f aca="false">IF(N(E20)&gt;0,I20/E20,"")</f>
        <v>0.0344616639477977</v>
      </c>
      <c r="K20" s="9" t="n">
        <f aca="false">IF($H$6=0,"",H20/$H$6)</f>
        <v>0.0208739170397798</v>
      </c>
      <c r="L20" s="10" t="n">
        <v>109060</v>
      </c>
      <c r="M20" s="57" t="n">
        <f aca="false">IF(ISNUMBER(L20),L20/D20,"")</f>
        <v>5740</v>
      </c>
      <c r="N20" s="8" t="n">
        <f aca="false">IF(ISNUMBER(L20),H20-L20,"")</f>
        <v>9.5</v>
      </c>
      <c r="O20" s="67"/>
      <c r="Q20" s="68" t="s">
        <v>201</v>
      </c>
      <c r="R20" s="68" t="s">
        <v>202</v>
      </c>
      <c r="S20" s="68" t="s">
        <v>92</v>
      </c>
      <c r="T20" s="68" t="n">
        <v>7</v>
      </c>
      <c r="U20" s="63" t="n">
        <v>3852.57</v>
      </c>
      <c r="V20" s="10" t="n">
        <v>26968</v>
      </c>
    </row>
    <row r="21" customFormat="false" ht="15" hidden="false" customHeight="false" outlineLevel="0" collapsed="false">
      <c r="A21" s="5" t="n">
        <v>15</v>
      </c>
      <c r="B21" s="5" t="s">
        <v>107</v>
      </c>
      <c r="C21" s="5" t="s">
        <v>16</v>
      </c>
      <c r="D21" s="66" t="n">
        <v>20</v>
      </c>
      <c r="E21" s="10" t="n">
        <v>103860</v>
      </c>
      <c r="F21" s="57" t="n">
        <f aca="false">IF(AND(D21&gt;0,N(E21)&gt;0),E21/D21,"")</f>
        <v>5193</v>
      </c>
      <c r="G21" s="48" t="n">
        <f aca="false">IFERROR(INDEX(Prices!$C$6:$C$300,MATCH(B21,Prices!$A$6:$A$300,0)),"")</f>
        <v>4600</v>
      </c>
      <c r="H21" s="8" t="n">
        <f aca="false">IF(ISNUMBER(G21),D21*G21,0)</f>
        <v>92000</v>
      </c>
      <c r="I21" s="8" t="n">
        <f aca="false">H21-N(E21)</f>
        <v>-11860</v>
      </c>
      <c r="J21" s="9" t="n">
        <f aca="false">IF(N(E21)&gt;0,I21/E21,"")</f>
        <v>-0.11419218178317</v>
      </c>
      <c r="K21" s="9" t="n">
        <f aca="false">IF($H$6=0,"",H21/$H$6)</f>
        <v>0.0176071254352477</v>
      </c>
      <c r="L21" s="10" t="n">
        <v>92160</v>
      </c>
      <c r="M21" s="57" t="n">
        <f aca="false">IF(ISNUMBER(L21),L21/D21,"")</f>
        <v>4608</v>
      </c>
      <c r="N21" s="8" t="n">
        <f aca="false">IF(ISNUMBER(L21),H21-L21,"")</f>
        <v>-160</v>
      </c>
      <c r="O21" s="67" t="s">
        <v>207</v>
      </c>
      <c r="Q21" s="68" t="s">
        <v>201</v>
      </c>
      <c r="R21" s="68" t="s">
        <v>202</v>
      </c>
      <c r="S21" s="68" t="s">
        <v>80</v>
      </c>
      <c r="T21" s="68" t="n">
        <v>6</v>
      </c>
      <c r="U21" s="63" t="n">
        <v>4349</v>
      </c>
      <c r="V21" s="10" t="n">
        <v>26094</v>
      </c>
    </row>
    <row r="22" customFormat="false" ht="15" hidden="false" customHeight="false" outlineLevel="0" collapsed="false">
      <c r="A22" s="5" t="n">
        <v>16</v>
      </c>
      <c r="B22" s="5" t="s">
        <v>94</v>
      </c>
      <c r="C22" s="5" t="s">
        <v>16</v>
      </c>
      <c r="D22" s="66" t="n">
        <v>66</v>
      </c>
      <c r="E22" s="10" t="n">
        <v>106115</v>
      </c>
      <c r="F22" s="57" t="n">
        <f aca="false">IF(AND(D22&gt;0,N(E22)&gt;0),E22/D22,"")</f>
        <v>1607.80303030303</v>
      </c>
      <c r="G22" s="48" t="n">
        <f aca="false">IFERROR(INDEX(Prices!$C$6:$C$300,MATCH(B22,Prices!$A$6:$A$300,0)),"")</f>
        <v>1362.8</v>
      </c>
      <c r="H22" s="8" t="n">
        <f aca="false">IF(ISNUMBER(G22),D22*G22,0)</f>
        <v>89944.8</v>
      </c>
      <c r="I22" s="8" t="n">
        <f aca="false">H22-N(E22)</f>
        <v>-16170.2</v>
      </c>
      <c r="J22" s="9" t="n">
        <f aca="false">IF(N(E22)&gt;0,I22/E22,"")</f>
        <v>-0.152383734627527</v>
      </c>
      <c r="K22" s="9" t="n">
        <f aca="false">IF($H$6=0,"",H22/$H$6)</f>
        <v>0.0172137975635681</v>
      </c>
      <c r="L22" s="10" t="n">
        <v>89958</v>
      </c>
      <c r="M22" s="57" t="n">
        <f aca="false">IF(ISNUMBER(L22),L22/D22,"")</f>
        <v>1363</v>
      </c>
      <c r="N22" s="8" t="n">
        <f aca="false">IF(ISNUMBER(L22),H22-L22,"")</f>
        <v>-13.1999999999971</v>
      </c>
      <c r="O22" s="67"/>
      <c r="Q22" s="68" t="s">
        <v>201</v>
      </c>
      <c r="R22" s="68" t="s">
        <v>202</v>
      </c>
      <c r="S22" s="68" t="s">
        <v>100</v>
      </c>
      <c r="T22" s="68" t="n">
        <v>3</v>
      </c>
      <c r="U22" s="63" t="n">
        <v>2787.33</v>
      </c>
      <c r="V22" s="10" t="n">
        <v>8362</v>
      </c>
    </row>
    <row r="23" customFormat="false" ht="15" hidden="false" customHeight="false" outlineLevel="0" collapsed="false">
      <c r="A23" s="5" t="n">
        <v>17</v>
      </c>
      <c r="B23" s="5" t="s">
        <v>100</v>
      </c>
      <c r="C23" s="5" t="s">
        <v>16</v>
      </c>
      <c r="D23" s="66" t="n">
        <v>31</v>
      </c>
      <c r="E23" s="10" t="n">
        <v>86006</v>
      </c>
      <c r="F23" s="57" t="n">
        <f aca="false">IF(AND(D23&gt;0,N(E23)&gt;0),E23/D23,"")</f>
        <v>2774.38709677419</v>
      </c>
      <c r="G23" s="48" t="n">
        <f aca="false">IFERROR(INDEX(Prices!$C$6:$C$300,MATCH(B23,Prices!$A$6:$A$300,0)),"")</f>
        <v>2775.8</v>
      </c>
      <c r="H23" s="8" t="n">
        <f aca="false">IF(ISNUMBER(G23),D23*G23,0)</f>
        <v>86049.8</v>
      </c>
      <c r="I23" s="8" t="n">
        <f aca="false">H23-N(E23)</f>
        <v>43.8000000000029</v>
      </c>
      <c r="J23" s="9" t="n">
        <f aca="false">IF(N(E23)&gt;0,I23/E23,"")</f>
        <v>0.000509266795339894</v>
      </c>
      <c r="K23" s="9" t="n">
        <f aca="false">IF($H$6=0,"",H23/$H$6)</f>
        <v>0.0164683654595432</v>
      </c>
      <c r="L23" s="10" t="n">
        <v>86056</v>
      </c>
      <c r="M23" s="57" t="n">
        <f aca="false">IF(ISNUMBER(L23),L23/D23,"")</f>
        <v>2776</v>
      </c>
      <c r="N23" s="8" t="n">
        <f aca="false">IF(ISNUMBER(L23),H23-L23,"")</f>
        <v>-6.19999999999709</v>
      </c>
      <c r="O23" s="67"/>
      <c r="Q23" s="68" t="s">
        <v>201</v>
      </c>
      <c r="R23" s="68" t="s">
        <v>202</v>
      </c>
      <c r="S23" s="68" t="s">
        <v>105</v>
      </c>
      <c r="T23" s="68" t="n">
        <v>3</v>
      </c>
      <c r="U23" s="63" t="n">
        <v>2367.33</v>
      </c>
      <c r="V23" s="10" t="n">
        <v>7102</v>
      </c>
    </row>
    <row r="24" customFormat="false" ht="15" hidden="false" customHeight="false" outlineLevel="0" collapsed="false">
      <c r="A24" s="5" t="n">
        <v>18</v>
      </c>
      <c r="B24" s="5" t="s">
        <v>102</v>
      </c>
      <c r="C24" s="5" t="s">
        <v>16</v>
      </c>
      <c r="D24" s="66" t="n">
        <v>24</v>
      </c>
      <c r="E24" s="10" t="n">
        <v>89946</v>
      </c>
      <c r="F24" s="57" t="n">
        <f aca="false">IF(AND(D24&gt;0,N(E24)&gt;0),E24/D24,"")</f>
        <v>3747.75</v>
      </c>
      <c r="G24" s="48" t="n">
        <f aca="false">IFERROR(INDEX(Prices!$C$6:$C$300,MATCH(B24,Prices!$A$6:$A$300,0)),"")</f>
        <v>3166</v>
      </c>
      <c r="H24" s="8" t="n">
        <f aca="false">IF(ISNUMBER(G24),D24*G24,0)</f>
        <v>75984</v>
      </c>
      <c r="I24" s="8" t="n">
        <f aca="false">H24-N(E24)</f>
        <v>-13962</v>
      </c>
      <c r="J24" s="9" t="n">
        <f aca="false">IF(N(E24)&gt;0,I24/E24,"")</f>
        <v>-0.155226469214862</v>
      </c>
      <c r="K24" s="9" t="n">
        <f aca="false">IF($H$6=0,"",H24/$H$6)</f>
        <v>0.0145419545551289</v>
      </c>
      <c r="L24" s="10" t="n">
        <v>75984</v>
      </c>
      <c r="M24" s="57" t="n">
        <f aca="false">IF(ISNUMBER(L24),L24/D24,"")</f>
        <v>3166</v>
      </c>
      <c r="N24" s="8" t="n">
        <f aca="false">IF(ISNUMBER(L24),H24-L24,"")</f>
        <v>0</v>
      </c>
      <c r="O24" s="67"/>
      <c r="S24" s="69" t="s">
        <v>208</v>
      </c>
      <c r="V24" s="70" t="n">
        <f aca="false">SUMIFS(V7:V23,R7:R23,"BUY")-SUMIFS(V7:V23,R7:R23,"SELL")</f>
        <v>500968</v>
      </c>
    </row>
    <row r="25" customFormat="false" ht="15" hidden="false" customHeight="false" outlineLevel="0" collapsed="false">
      <c r="A25" s="5" t="n">
        <v>19</v>
      </c>
      <c r="B25" s="5" t="s">
        <v>105</v>
      </c>
      <c r="C25" s="5" t="s">
        <v>16</v>
      </c>
      <c r="D25" s="66" t="n">
        <v>27</v>
      </c>
      <c r="E25" s="10" t="n">
        <v>68363</v>
      </c>
      <c r="F25" s="57" t="n">
        <f aca="false">IF(AND(D25&gt;0,N(E25)&gt;0),E25/D25,"")</f>
        <v>2531.96296296296</v>
      </c>
      <c r="G25" s="48" t="n">
        <f aca="false">IFERROR(INDEX(Prices!$C$6:$C$300,MATCH(B25,Prices!$A$6:$A$300,0)),"")</f>
        <v>2370</v>
      </c>
      <c r="H25" s="8" t="n">
        <f aca="false">IF(ISNUMBER(G25),D25*G25,0)</f>
        <v>63990</v>
      </c>
      <c r="I25" s="8" t="n">
        <f aca="false">H25-N(E25)</f>
        <v>-4373</v>
      </c>
      <c r="J25" s="9" t="n">
        <f aca="false">IF(N(E25)&gt;0,I25/E25,"")</f>
        <v>-0.063967350759914</v>
      </c>
      <c r="K25" s="9" t="n">
        <f aca="false">IF($H$6=0,"",H25/$H$6)</f>
        <v>0.0122465212674076</v>
      </c>
      <c r="L25" s="10" t="n">
        <v>63990</v>
      </c>
      <c r="M25" s="57" t="n">
        <f aca="false">IF(ISNUMBER(L25),L25/D25,"")</f>
        <v>2370</v>
      </c>
      <c r="N25" s="8" t="n">
        <f aca="false">IF(ISNUMBER(L25),H25-L25,"")</f>
        <v>0</v>
      </c>
      <c r="O25" s="67"/>
    </row>
    <row r="26" customFormat="false" ht="15" hidden="false" customHeight="false" outlineLevel="0" collapsed="false">
      <c r="A26" s="5" t="n">
        <v>20</v>
      </c>
      <c r="B26" s="5" t="s">
        <v>104</v>
      </c>
      <c r="C26" s="5" t="s">
        <v>16</v>
      </c>
      <c r="D26" s="66" t="n">
        <v>72</v>
      </c>
      <c r="E26" s="10" t="n">
        <v>59636</v>
      </c>
      <c r="F26" s="57" t="n">
        <f aca="false">IF(AND(D26&gt;0,N(E26)&gt;0),E26/D26,"")</f>
        <v>828.277777777778</v>
      </c>
      <c r="G26" s="48" t="n">
        <f aca="false">IFERROR(INDEX(Prices!$C$6:$C$300,MATCH(B26,Prices!$A$6:$A$300,0)),"")</f>
        <v>788.1</v>
      </c>
      <c r="H26" s="8" t="n">
        <f aca="false">IF(ISNUMBER(G26),D26*G26,0)</f>
        <v>56743.2</v>
      </c>
      <c r="I26" s="8" t="n">
        <f aca="false">H26-N(E26)</f>
        <v>-2892.8</v>
      </c>
      <c r="J26" s="9" t="n">
        <f aca="false">IF(N(E26)&gt;0,I26/E26,"")</f>
        <v>-0.0485076128512978</v>
      </c>
      <c r="K26" s="9" t="n">
        <f aca="false">IF($H$6=0,"",H26/$H$6)</f>
        <v>0.0108596156521451</v>
      </c>
      <c r="L26" s="10" t="n">
        <v>56808</v>
      </c>
      <c r="M26" s="57" t="n">
        <f aca="false">IF(ISNUMBER(L26),L26/D26,"")</f>
        <v>789</v>
      </c>
      <c r="N26" s="8" t="n">
        <f aca="false">IF(ISNUMBER(L26),H26-L26,"")</f>
        <v>-64.7999999999956</v>
      </c>
      <c r="O26" s="67"/>
    </row>
    <row r="27" customFormat="false" ht="15" hidden="false" customHeight="false" outlineLevel="0" collapsed="false">
      <c r="A27" s="5" t="n">
        <v>21</v>
      </c>
      <c r="B27" s="5" t="s">
        <v>91</v>
      </c>
      <c r="C27" s="5" t="s">
        <v>16</v>
      </c>
      <c r="D27" s="66" t="n">
        <v>830</v>
      </c>
      <c r="E27" s="10" t="n">
        <v>46702</v>
      </c>
      <c r="F27" s="57" t="n">
        <f aca="false">IF(AND(D27&gt;0,N(E27)&gt;0),E27/D27,"")</f>
        <v>56.2674698795181</v>
      </c>
      <c r="G27" s="48" t="n">
        <f aca="false">IFERROR(INDEX(Prices!$C$6:$C$300,MATCH(B27,Prices!$A$6:$A$300,0)),"")</f>
        <v>51.55</v>
      </c>
      <c r="H27" s="8" t="n">
        <f aca="false">IF(ISNUMBER(G27),D27*G27,0)</f>
        <v>42786.5</v>
      </c>
      <c r="I27" s="8" t="n">
        <f aca="false">H27-N(E27)</f>
        <v>-3915.5</v>
      </c>
      <c r="J27" s="9" t="n">
        <f aca="false">IF(N(E27)&gt;0,I27/E27,"")</f>
        <v>-0.0838400925013918</v>
      </c>
      <c r="K27" s="9" t="n">
        <f aca="false">IF($H$6=0,"",H27/$H$6)</f>
        <v>0.00818855730907852</v>
      </c>
      <c r="L27" s="10" t="n">
        <v>43575</v>
      </c>
      <c r="M27" s="57" t="n">
        <f aca="false">IF(ISNUMBER(L27),L27/D27,"")</f>
        <v>52.5</v>
      </c>
      <c r="N27" s="8" t="n">
        <f aca="false">IF(ISNUMBER(L27),H27-L27,"")</f>
        <v>-788.5</v>
      </c>
      <c r="O27" s="67"/>
    </row>
    <row r="28" customFormat="false" ht="15" hidden="false" customHeight="false" outlineLevel="0" collapsed="false">
      <c r="A28" s="5" t="n">
        <v>22</v>
      </c>
      <c r="B28" s="5" t="s">
        <v>106</v>
      </c>
      <c r="C28" s="5" t="s">
        <v>16</v>
      </c>
      <c r="D28" s="66" t="n">
        <v>22</v>
      </c>
      <c r="E28" s="10" t="n">
        <v>27683</v>
      </c>
      <c r="F28" s="57" t="n">
        <f aca="false">IF(AND(D28&gt;0,N(E28)&gt;0),E28/D28,"")</f>
        <v>1258.31818181818</v>
      </c>
      <c r="G28" s="48" t="n">
        <f aca="false">IFERROR(INDEX(Prices!$C$6:$C$300,MATCH(B28,Prices!$A$6:$A$300,0)),"")</f>
        <v>1189.9</v>
      </c>
      <c r="H28" s="8" t="n">
        <f aca="false">IF(ISNUMBER(G28),D28*G28,0)</f>
        <v>26177.8</v>
      </c>
      <c r="I28" s="8" t="n">
        <f aca="false">H28-N(E28)</f>
        <v>-1505.2</v>
      </c>
      <c r="J28" s="9" t="n">
        <f aca="false">IF(N(E28)&gt;0,I28/E28,"")</f>
        <v>-0.0543727197196835</v>
      </c>
      <c r="K28" s="9" t="n">
        <f aca="false">IF($H$6=0,"",H28/$H$6)</f>
        <v>0.00500995443716116</v>
      </c>
      <c r="L28" s="10" t="n">
        <v>26180</v>
      </c>
      <c r="M28" s="57" t="n">
        <f aca="false">IF(ISNUMBER(L28),L28/D28,"")</f>
        <v>1190</v>
      </c>
      <c r="N28" s="8" t="n">
        <f aca="false">IF(ISNUMBER(L28),H28-L28,"")</f>
        <v>-2.19999999999709</v>
      </c>
      <c r="O28" s="67"/>
    </row>
    <row r="29" customFormat="false" ht="15" hidden="false" customHeight="false" outlineLevel="0" collapsed="false">
      <c r="A29" s="5" t="n">
        <v>23</v>
      </c>
      <c r="B29" s="5" t="s">
        <v>140</v>
      </c>
      <c r="C29" s="5" t="s">
        <v>16</v>
      </c>
      <c r="D29" s="66" t="n">
        <v>250</v>
      </c>
      <c r="E29" s="10" t="n">
        <v>19250</v>
      </c>
      <c r="F29" s="57" t="n">
        <f aca="false">IF(AND(D29&gt;0,N(E29)&gt;0),E29/D29,"")</f>
        <v>77</v>
      </c>
      <c r="G29" s="48" t="n">
        <f aca="false">IFERROR(INDEX(Prices!$C$6:$C$300,MATCH(B29,Prices!$A$6:$A$300,0)),"")</f>
        <v>65.13</v>
      </c>
      <c r="H29" s="8" t="n">
        <f aca="false">IF(ISNUMBER(G29),D29*G29,0)</f>
        <v>16282.5</v>
      </c>
      <c r="I29" s="8" t="n">
        <f aca="false">H29-N(E29)</f>
        <v>-2967.5</v>
      </c>
      <c r="J29" s="9" t="n">
        <f aca="false">IF(N(E29)&gt;0,I29/E29,"")</f>
        <v>-0.154155844155844</v>
      </c>
      <c r="K29" s="9" t="n">
        <f aca="false">IF($H$6=0,"",H29/$H$6)</f>
        <v>0.00311617412934152</v>
      </c>
      <c r="L29" s="10" t="n">
        <v>16925</v>
      </c>
      <c r="M29" s="57" t="n">
        <f aca="false">IF(ISNUMBER(L29),L29/D29,"")</f>
        <v>67.7</v>
      </c>
      <c r="N29" s="8" t="n">
        <f aca="false">IF(ISNUMBER(L29),H29-L29,"")</f>
        <v>-642.500000000002</v>
      </c>
      <c r="O29" s="67"/>
    </row>
    <row r="30" customFormat="false" ht="15" hidden="false" customHeight="false" outlineLevel="0" collapsed="false">
      <c r="A30" s="5" t="n">
        <v>24</v>
      </c>
      <c r="B30" s="5" t="s">
        <v>144</v>
      </c>
      <c r="C30" s="5" t="s">
        <v>16</v>
      </c>
      <c r="D30" s="66" t="n">
        <v>150</v>
      </c>
      <c r="E30" s="10" t="n">
        <v>16050</v>
      </c>
      <c r="F30" s="57" t="n">
        <f aca="false">IF(AND(D30&gt;0,N(E30)&gt;0),E30/D30,"")</f>
        <v>107</v>
      </c>
      <c r="G30" s="48" t="n">
        <f aca="false">IFERROR(INDEX(Prices!$C$6:$C$300,MATCH(B30,Prices!$A$6:$A$300,0)),"")</f>
        <v>105.54</v>
      </c>
      <c r="H30" s="8" t="n">
        <f aca="false">IF(ISNUMBER(G30),D30*G30,0)</f>
        <v>15831</v>
      </c>
      <c r="I30" s="8" t="n">
        <f aca="false">H30-N(E30)</f>
        <v>-218.999999999998</v>
      </c>
      <c r="J30" s="9" t="n">
        <f aca="false">IF(N(E30)&gt;0,I30/E30,"")</f>
        <v>-0.013644859813084</v>
      </c>
      <c r="K30" s="9" t="n">
        <f aca="false">IF($H$6=0,"",H30/$H$6)</f>
        <v>0.00302976524745006</v>
      </c>
      <c r="L30" s="10" t="n">
        <v>15900</v>
      </c>
      <c r="M30" s="57" t="n">
        <f aca="false">IF(ISNUMBER(L30),L30/D30,"")</f>
        <v>106</v>
      </c>
      <c r="N30" s="8" t="n">
        <f aca="false">IF(ISNUMBER(L30),H30-L30,"")</f>
        <v>-68.9999999999982</v>
      </c>
      <c r="O30" s="67"/>
    </row>
    <row r="31" customFormat="false" ht="15" hidden="false" customHeight="false" outlineLevel="0" collapsed="false">
      <c r="A31" s="5" t="n">
        <v>25</v>
      </c>
      <c r="B31" s="5" t="s">
        <v>146</v>
      </c>
      <c r="C31" s="5" t="s">
        <v>16</v>
      </c>
      <c r="D31" s="66" t="n">
        <v>121</v>
      </c>
      <c r="E31" s="10" t="n">
        <v>13310</v>
      </c>
      <c r="F31" s="57" t="n">
        <f aca="false">IF(AND(D31&gt;0,N(E31)&gt;0),E31/D31,"")</f>
        <v>110</v>
      </c>
      <c r="G31" s="48" t="n">
        <f aca="false">IFERROR(INDEX(Prices!$C$6:$C$300,MATCH(B31,Prices!$A$6:$A$300,0)),"")</f>
        <v>123</v>
      </c>
      <c r="H31" s="8" t="n">
        <f aca="false">IF(ISNUMBER(G31),D31*G31,0)</f>
        <v>14883</v>
      </c>
      <c r="I31" s="8" t="n">
        <f aca="false">H31-N(E31)</f>
        <v>1573</v>
      </c>
      <c r="J31" s="9" t="n">
        <f aca="false">IF(N(E31)&gt;0,I31/E31,"")</f>
        <v>0.118181818181818</v>
      </c>
      <c r="K31" s="9" t="n">
        <f aca="false">IF($H$6=0,"",H31/$H$6)</f>
        <v>0.00284833530274773</v>
      </c>
      <c r="L31" s="10" t="n">
        <v>14883</v>
      </c>
      <c r="M31" s="57" t="n">
        <f aca="false">IF(ISNUMBER(L31),L31/D31,"")</f>
        <v>123</v>
      </c>
      <c r="N31" s="8" t="n">
        <f aca="false">IF(ISNUMBER(L31),H31-L31,"")</f>
        <v>0</v>
      </c>
      <c r="O31" s="67"/>
    </row>
    <row r="32" customFormat="false" ht="15" hidden="false" customHeight="false" outlineLevel="0" collapsed="false">
      <c r="A32" s="5" t="n">
        <v>26</v>
      </c>
      <c r="B32" s="5" t="s">
        <v>101</v>
      </c>
      <c r="C32" s="5" t="s">
        <v>16</v>
      </c>
      <c r="D32" s="66" t="n">
        <v>10</v>
      </c>
      <c r="E32" s="10" t="n">
        <v>11941</v>
      </c>
      <c r="F32" s="57" t="n">
        <f aca="false">IF(AND(D32&gt;0,N(E32)&gt;0),E32/D32,"")</f>
        <v>1194.1</v>
      </c>
      <c r="G32" s="48" t="n">
        <f aca="false">IFERROR(INDEX(Prices!$C$6:$C$300,MATCH(B32,Prices!$A$6:$A$300,0)),"")</f>
        <v>1089.9</v>
      </c>
      <c r="H32" s="8" t="n">
        <f aca="false">IF(ISNUMBER(G32),D32*G32,0)</f>
        <v>10899</v>
      </c>
      <c r="I32" s="8" t="n">
        <f aca="false">H32-N(E32)</f>
        <v>-1042</v>
      </c>
      <c r="J32" s="9" t="n">
        <f aca="false">IF(N(E32)&gt;0,I32/E32,"")</f>
        <v>-0.0872623733355665</v>
      </c>
      <c r="K32" s="9" t="n">
        <f aca="false">IF($H$6=0,"",H32/$H$6)</f>
        <v>0.00208587021868222</v>
      </c>
      <c r="L32" s="10" t="n">
        <v>10970</v>
      </c>
      <c r="M32" s="57" t="n">
        <f aca="false">IF(ISNUMBER(L32),L32/D32,"")</f>
        <v>1097</v>
      </c>
      <c r="N32" s="8" t="n">
        <f aca="false">IF(ISNUMBER(L32),H32-L32,"")</f>
        <v>-71</v>
      </c>
      <c r="O32" s="67"/>
    </row>
    <row r="33" customFormat="false" ht="15" hidden="false" customHeight="false" outlineLevel="0" collapsed="false">
      <c r="A33" s="5" t="n">
        <v>27</v>
      </c>
      <c r="B33" s="5" t="s">
        <v>154</v>
      </c>
      <c r="C33" s="5" t="s">
        <v>16</v>
      </c>
      <c r="D33" s="66" t="n">
        <v>5</v>
      </c>
      <c r="E33" s="10" t="n">
        <v>9610</v>
      </c>
      <c r="F33" s="57" t="n">
        <f aca="false">IF(AND(D33&gt;0,N(E33)&gt;0),E33/D33,"")</f>
        <v>1922</v>
      </c>
      <c r="G33" s="48" t="n">
        <f aca="false">IFERROR(INDEX(Prices!$C$6:$C$300,MATCH(B33,Prices!$A$6:$A$300,0)),"")</f>
        <v>1895</v>
      </c>
      <c r="H33" s="8" t="n">
        <f aca="false">IF(ISNUMBER(G33),D33*G33,0)</f>
        <v>9475</v>
      </c>
      <c r="I33" s="8" t="n">
        <f aca="false">H33-N(E33)</f>
        <v>-135</v>
      </c>
      <c r="J33" s="9" t="n">
        <f aca="false">IF(N(E33)&gt;0,I33/E33,"")</f>
        <v>-0.014047866805411</v>
      </c>
      <c r="K33" s="9" t="n">
        <f aca="false">IF($H$6=0,"",H33/$H$6)</f>
        <v>0.0018133425380323</v>
      </c>
      <c r="L33" s="10" t="n">
        <v>9475</v>
      </c>
      <c r="M33" s="57" t="n">
        <f aca="false">IF(ISNUMBER(L33),L33/D33,"")</f>
        <v>1895</v>
      </c>
      <c r="N33" s="8" t="n">
        <f aca="false">IF(ISNUMBER(L33),H33-L33,"")</f>
        <v>0</v>
      </c>
      <c r="O33" s="67"/>
    </row>
    <row r="34" customFormat="false" ht="15" hidden="false" customHeight="false" outlineLevel="0" collapsed="false">
      <c r="A34" s="5" t="n">
        <v>28</v>
      </c>
      <c r="B34" s="5" t="s">
        <v>158</v>
      </c>
      <c r="C34" s="5" t="s">
        <v>16</v>
      </c>
      <c r="D34" s="66" t="n">
        <v>25</v>
      </c>
      <c r="E34" s="10" t="n">
        <v>4500</v>
      </c>
      <c r="F34" s="57" t="n">
        <f aca="false">IF(AND(D34&gt;0,N(E34)&gt;0),E34/D34,"")</f>
        <v>180</v>
      </c>
      <c r="G34" s="48" t="n">
        <f aca="false">IFERROR(INDEX(Prices!$C$6:$C$300,MATCH(B34,Prices!$A$6:$A$300,0)),"")</f>
        <v>188.91</v>
      </c>
      <c r="H34" s="8" t="n">
        <f aca="false">IF(ISNUMBER(G34),D34*G34,0)</f>
        <v>4722.75</v>
      </c>
      <c r="I34" s="8" t="n">
        <f aca="false">H34-N(E34)</f>
        <v>222.75</v>
      </c>
      <c r="J34" s="9" t="n">
        <f aca="false">IF(N(E34)&gt;0,I34/E34,"")</f>
        <v>0.0495</v>
      </c>
      <c r="K34" s="9" t="n">
        <f aca="false">IF($H$6=0,"",H34/$H$6)</f>
        <v>0.000903848387492564</v>
      </c>
      <c r="L34" s="10" t="n">
        <v>3850</v>
      </c>
      <c r="M34" s="57" t="n">
        <f aca="false">IF(ISNUMBER(L34),L34/D34,"")</f>
        <v>154</v>
      </c>
      <c r="N34" s="8" t="n">
        <f aca="false">IF(ISNUMBER(L34),H34-L34,"")</f>
        <v>872.75</v>
      </c>
      <c r="O34" s="67"/>
    </row>
    <row r="35" customFormat="false" ht="15" hidden="false" customHeight="false" outlineLevel="0" collapsed="false">
      <c r="A35" s="5" t="n">
        <v>29</v>
      </c>
      <c r="B35" s="5" t="s">
        <v>118</v>
      </c>
      <c r="C35" s="5" t="s">
        <v>16</v>
      </c>
      <c r="D35" s="66" t="n">
        <v>27</v>
      </c>
      <c r="E35" s="10" t="n">
        <v>3672</v>
      </c>
      <c r="F35" s="57" t="n">
        <f aca="false">IF(AND(D35&gt;0,N(E35)&gt;0),E35/D35,"")</f>
        <v>136</v>
      </c>
      <c r="G35" s="48" t="n">
        <f aca="false">IFERROR(INDEX(Prices!$C$6:$C$300,MATCH(B35,Prices!$A$6:$A$300,0)),"")</f>
        <v>127</v>
      </c>
      <c r="H35" s="8" t="n">
        <f aca="false">IF(ISNUMBER(G35),D35*G35,0)</f>
        <v>3429</v>
      </c>
      <c r="I35" s="8" t="n">
        <f aca="false">H35-N(E35)</f>
        <v>-243</v>
      </c>
      <c r="J35" s="9" t="n">
        <f aca="false">IF(N(E35)&gt;0,I35/E35,"")</f>
        <v>-0.0661764705882353</v>
      </c>
      <c r="K35" s="9" t="n">
        <f aca="false">IF($H$6=0,"",H35/$H$6)</f>
        <v>0.000656248186059394</v>
      </c>
      <c r="L35" s="10" t="n">
        <v>3429</v>
      </c>
      <c r="M35" s="57" t="n">
        <f aca="false">IF(ISNUMBER(L35),L35/D35,"")</f>
        <v>127</v>
      </c>
      <c r="N35" s="8" t="n">
        <f aca="false">IF(ISNUMBER(L35),H35-L35,"")</f>
        <v>0</v>
      </c>
      <c r="O35" s="67"/>
    </row>
    <row r="36" customFormat="false" ht="15" hidden="false" customHeight="false" outlineLevel="0" collapsed="false">
      <c r="A36" s="71" t="n">
        <v>30</v>
      </c>
      <c r="B36" s="71" t="s">
        <v>166</v>
      </c>
      <c r="C36" s="71" t="s">
        <v>16</v>
      </c>
      <c r="D36" s="72" t="n">
        <v>144</v>
      </c>
      <c r="E36" s="73"/>
      <c r="F36" s="74" t="str">
        <f aca="false">IF(AND(D36&gt;0,N(E36)&gt;0),E36/D36,"")</f>
        <v/>
      </c>
      <c r="G36" s="75" t="str">
        <f aca="false">IFERROR(INDEX(Prices!$C$6:$C$300,MATCH(B36,Prices!$A$6:$A$300,0)),"")</f>
        <v/>
      </c>
      <c r="H36" s="76" t="n">
        <f aca="false">IF(ISNUMBER(G36),D36*G36,0)</f>
        <v>0</v>
      </c>
      <c r="I36" s="76" t="n">
        <f aca="false">H36-N(E36)</f>
        <v>0</v>
      </c>
      <c r="J36" s="77" t="str">
        <f aca="false">IF(N(E36)&gt;0,I36/E36,"")</f>
        <v/>
      </c>
      <c r="K36" s="77" t="n">
        <f aca="false">IF($H$6=0,"",H36/$H$6)</f>
        <v>0</v>
      </c>
      <c r="L36" s="73"/>
      <c r="M36" s="74" t="str">
        <f aca="false">IF(ISNUMBER(L36),L36/D36,"")</f>
        <v/>
      </c>
      <c r="N36" s="76" t="str">
        <f aca="false">IF(ISNUMBER(L36),H36-L36,"")</f>
        <v/>
      </c>
      <c r="O36" s="78" t="s">
        <v>209</v>
      </c>
    </row>
    <row r="37" customFormat="false" ht="15" hidden="false" customHeight="false" outlineLevel="0" collapsed="false">
      <c r="A37" s="71" t="n">
        <v>31</v>
      </c>
      <c r="B37" s="71" t="s">
        <v>167</v>
      </c>
      <c r="C37" s="71" t="s">
        <v>16</v>
      </c>
      <c r="D37" s="72" t="n">
        <v>1000</v>
      </c>
      <c r="E37" s="73"/>
      <c r="F37" s="74" t="str">
        <f aca="false">IF(AND(D37&gt;0,N(E37)&gt;0),E37/D37,"")</f>
        <v/>
      </c>
      <c r="G37" s="75" t="str">
        <f aca="false">IFERROR(INDEX(Prices!$C$6:$C$300,MATCH(B37,Prices!$A$6:$A$300,0)),"")</f>
        <v/>
      </c>
      <c r="H37" s="76" t="n">
        <f aca="false">IF(ISNUMBER(G37),D37*G37,0)</f>
        <v>0</v>
      </c>
      <c r="I37" s="76" t="n">
        <f aca="false">H37-N(E37)</f>
        <v>0</v>
      </c>
      <c r="J37" s="77" t="str">
        <f aca="false">IF(N(E37)&gt;0,I37/E37,"")</f>
        <v/>
      </c>
      <c r="K37" s="77" t="n">
        <f aca="false">IF($H$6=0,"",H37/$H$6)</f>
        <v>0</v>
      </c>
      <c r="L37" s="73"/>
      <c r="M37" s="74" t="str">
        <f aca="false">IF(ISNUMBER(L37),L37/D37,"")</f>
        <v/>
      </c>
      <c r="N37" s="76" t="str">
        <f aca="false">IF(ISNUMBER(L37),H37-L37,"")</f>
        <v/>
      </c>
      <c r="O37" s="78" t="s">
        <v>209</v>
      </c>
    </row>
  </sheetData>
  <conditionalFormatting sqref="G7:G300">
    <cfRule type="expression" priority="2" aboveAverage="0" equalAverage="0" bottom="0" percent="0" rank="0" text="" dxfId="0">
      <formula>ISNUMBER(SEARCH("stale",INDEX(Prices!$D$6:$D$300,MATCH($B7,Prices!$A$6:$A$300,0))))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3" min="3" style="0" width="17"/>
    <col collapsed="false" customWidth="true" hidden="false" outlineLevel="0" max="4" min="4" style="0" width="10"/>
    <col collapsed="false" customWidth="true" hidden="false" outlineLevel="0" max="5" min="5" style="0" width="14"/>
    <col collapsed="false" customWidth="true" hidden="false" outlineLevel="0" max="6" min="6" style="0" width="12"/>
    <col collapsed="false" customWidth="true" hidden="false" outlineLevel="0" max="7" min="7" style="0" width="11"/>
    <col collapsed="false" customWidth="true" hidden="false" outlineLevel="0" max="8" min="8" style="0" width="14"/>
    <col collapsed="false" customWidth="true" hidden="false" outlineLevel="0" max="9" min="9" style="0" width="13"/>
    <col collapsed="false" customWidth="true" hidden="false" outlineLevel="0" max="10" min="10" style="0" width="8"/>
    <col collapsed="false" customWidth="true" hidden="false" outlineLevel="0" max="11" min="11" style="0" width="9"/>
    <col collapsed="false" customWidth="true" hidden="false" outlineLevel="0" max="12" min="12" style="0" width="14"/>
    <col collapsed="false" customWidth="true" hidden="false" outlineLevel="0" max="13" min="13" style="0" width="11"/>
    <col collapsed="false" customWidth="true" hidden="false" outlineLevel="0" max="14" min="14" style="0" width="13"/>
    <col collapsed="false" customWidth="true" hidden="false" outlineLevel="0" max="15" min="15" style="0" width="38"/>
  </cols>
  <sheetData>
    <row r="1" customFormat="false" ht="17.35" hidden="false" customHeight="false" outlineLevel="0" collapsed="false">
      <c r="A1" s="1" t="s">
        <v>64</v>
      </c>
    </row>
    <row r="2" customFormat="false" ht="15" hidden="false" customHeight="false" outlineLevel="0" collapsed="false">
      <c r="A2" s="2" t="s">
        <v>210</v>
      </c>
    </row>
    <row r="3" customFormat="false" ht="15" hidden="false" customHeight="false" outlineLevel="0" collapsed="false">
      <c r="A3" s="2" t="s">
        <v>186</v>
      </c>
    </row>
    <row r="5" customFormat="false" ht="31.5" hidden="false" customHeight="true" outlineLevel="0" collapsed="false">
      <c r="A5" s="23" t="s">
        <v>69</v>
      </c>
      <c r="B5" s="23" t="s">
        <v>187</v>
      </c>
      <c r="C5" s="23" t="s">
        <v>3</v>
      </c>
      <c r="D5" s="23" t="s">
        <v>188</v>
      </c>
      <c r="E5" s="23" t="s">
        <v>189</v>
      </c>
      <c r="F5" s="23" t="s">
        <v>74</v>
      </c>
      <c r="G5" s="23" t="s">
        <v>70</v>
      </c>
      <c r="H5" s="23" t="s">
        <v>8</v>
      </c>
      <c r="I5" s="23" t="s">
        <v>9</v>
      </c>
      <c r="J5" s="23" t="s">
        <v>10</v>
      </c>
      <c r="K5" s="23" t="s">
        <v>190</v>
      </c>
      <c r="L5" s="23" t="s">
        <v>191</v>
      </c>
      <c r="M5" s="23" t="s">
        <v>192</v>
      </c>
      <c r="N5" s="23" t="s">
        <v>193</v>
      </c>
      <c r="O5" s="23" t="s">
        <v>194</v>
      </c>
    </row>
    <row r="6" customFormat="false" ht="15" hidden="false" customHeight="false" outlineLevel="0" collapsed="false">
      <c r="A6" s="11"/>
      <c r="B6" s="11" t="s">
        <v>78</v>
      </c>
      <c r="C6" s="11"/>
      <c r="D6" s="11"/>
      <c r="E6" s="79" t="n">
        <f aca="false">SUM(E7:E53)</f>
        <v>9857778</v>
      </c>
      <c r="F6" s="11"/>
      <c r="G6" s="11"/>
      <c r="H6" s="79" t="n">
        <f aca="false">SUM(H7:H53)</f>
        <v>11825894.92</v>
      </c>
      <c r="I6" s="79" t="n">
        <f aca="false">H6-E6</f>
        <v>1968116.92</v>
      </c>
      <c r="J6" s="80" t="n">
        <f aca="false">IF(E6&gt;0,I6/E6,"")</f>
        <v>0.199651170882525</v>
      </c>
      <c r="K6" s="80" t="n">
        <f aca="false">SUM(K7:K53)</f>
        <v>1</v>
      </c>
      <c r="L6" s="79" t="n">
        <f aca="false">SUM(L7:L53)</f>
        <v>11636414.18</v>
      </c>
      <c r="M6" s="11"/>
      <c r="N6" s="79" t="n">
        <f aca="false">SUM(N7:N53)</f>
        <v>189480.74</v>
      </c>
      <c r="O6" s="11"/>
    </row>
    <row r="7" customFormat="false" ht="15" hidden="false" customHeight="false" outlineLevel="0" collapsed="false">
      <c r="A7" s="5" t="n">
        <v>1</v>
      </c>
      <c r="B7" s="5" t="s">
        <v>79</v>
      </c>
      <c r="C7" s="5" t="s">
        <v>211</v>
      </c>
      <c r="D7" s="66" t="n">
        <v>3895</v>
      </c>
      <c r="E7" s="10" t="n">
        <v>2912389</v>
      </c>
      <c r="F7" s="57" t="n">
        <f aca="false">IF(AND(D7&gt;0,N(E7)&gt;0),E7/D7,"")</f>
        <v>747.725032092426</v>
      </c>
      <c r="G7" s="48" t="n">
        <f aca="false">IFERROR(INDEX(Prices!$C$6:$C$300,MATCH(B7,Prices!$A$6:$A$300,0)),"")</f>
        <v>942.1</v>
      </c>
      <c r="H7" s="8" t="n">
        <f aca="false">IF(ISNUMBER(G7),D7*G7,0)</f>
        <v>3669479.5</v>
      </c>
      <c r="I7" s="8" t="n">
        <f aca="false">H7-N(E7)</f>
        <v>757090.5</v>
      </c>
      <c r="J7" s="9" t="n">
        <f aca="false">IF(N(E7)&gt;0,I7/E7,"")</f>
        <v>0.25995514335482</v>
      </c>
      <c r="K7" s="9" t="n">
        <f aca="false">IF($H$6=0,"",H7/$H$6)</f>
        <v>0.310291908123939</v>
      </c>
      <c r="L7" s="10" t="n">
        <v>3625900</v>
      </c>
      <c r="M7" s="57" t="n">
        <f aca="false">IF(ISNUMBER(L7),L7/D7,"")</f>
        <v>930.911424903723</v>
      </c>
      <c r="N7" s="8" t="n">
        <f aca="false">IF(ISNUMBER(L7),H7-L7,"")</f>
        <v>43579.5</v>
      </c>
      <c r="O7" s="67" t="s">
        <v>212</v>
      </c>
    </row>
    <row r="8" customFormat="false" ht="15" hidden="false" customHeight="false" outlineLevel="0" collapsed="false">
      <c r="A8" s="5" t="n">
        <v>2</v>
      </c>
      <c r="B8" s="5" t="s">
        <v>81</v>
      </c>
      <c r="C8" s="5" t="s">
        <v>211</v>
      </c>
      <c r="D8" s="66" t="n">
        <v>11160</v>
      </c>
      <c r="E8" s="10" t="n">
        <v>1687580</v>
      </c>
      <c r="F8" s="57" t="n">
        <f aca="false">IF(AND(D8&gt;0,N(E8)&gt;0),E8/D8,"")</f>
        <v>151.216845878136</v>
      </c>
      <c r="G8" s="48" t="n">
        <f aca="false">IFERROR(INDEX(Prices!$C$6:$C$300,MATCH(B8,Prices!$A$6:$A$300,0)),"")</f>
        <v>256.692921146953</v>
      </c>
      <c r="H8" s="8" t="n">
        <f aca="false">IF(ISNUMBER(G8),D8*G8,0)</f>
        <v>2864693</v>
      </c>
      <c r="I8" s="8" t="n">
        <f aca="false">H8-N(E8)</f>
        <v>1177113</v>
      </c>
      <c r="J8" s="9" t="n">
        <f aca="false">IF(N(E8)&gt;0,I8/E8,"")</f>
        <v>0.697515377048792</v>
      </c>
      <c r="K8" s="9" t="n">
        <f aca="false">IF($H$6=0,"",H8/$H$6)</f>
        <v>0.2422390034225</v>
      </c>
      <c r="L8" s="10" t="n">
        <v>2864693</v>
      </c>
      <c r="M8" s="57" t="n">
        <f aca="false">IF(ISNUMBER(L8),L8/D8,"")</f>
        <v>256.692921146953</v>
      </c>
      <c r="N8" s="8" t="n">
        <f aca="false">IF(ISNUMBER(L8),H8-L8,"")</f>
        <v>0</v>
      </c>
      <c r="O8" s="67" t="s">
        <v>213</v>
      </c>
    </row>
    <row r="9" customFormat="false" ht="15" hidden="false" customHeight="false" outlineLevel="0" collapsed="false">
      <c r="A9" s="5" t="n">
        <v>3</v>
      </c>
      <c r="B9" s="5" t="s">
        <v>80</v>
      </c>
      <c r="C9" s="5" t="s">
        <v>211</v>
      </c>
      <c r="D9" s="66" t="n">
        <v>165</v>
      </c>
      <c r="E9" s="10" t="n">
        <v>564530</v>
      </c>
      <c r="F9" s="57" t="n">
        <f aca="false">IF(AND(D9&gt;0,N(E9)&gt;0),E9/D9,"")</f>
        <v>3421.39393939394</v>
      </c>
      <c r="G9" s="48" t="n">
        <f aca="false">IFERROR(INDEX(Prices!$C$6:$C$300,MATCH(B9,Prices!$A$6:$A$300,0)),"")</f>
        <v>4350</v>
      </c>
      <c r="H9" s="8" t="n">
        <f aca="false">IF(ISNUMBER(G9),D9*G9,0)</f>
        <v>717750</v>
      </c>
      <c r="I9" s="8" t="n">
        <f aca="false">H9-N(E9)</f>
        <v>153220</v>
      </c>
      <c r="J9" s="9" t="n">
        <f aca="false">IF(N(E9)&gt;0,I9/E9,"")</f>
        <v>0.271411616743131</v>
      </c>
      <c r="K9" s="9" t="n">
        <f aca="false">IF($H$6=0,"",H9/$H$6)</f>
        <v>0.0606930811456931</v>
      </c>
      <c r="L9" s="10" t="n">
        <v>700725</v>
      </c>
      <c r="M9" s="57" t="n">
        <f aca="false">IF(ISNUMBER(L9),L9/D9,"")</f>
        <v>4246.81818181818</v>
      </c>
      <c r="N9" s="8" t="n">
        <f aca="false">IF(ISNUMBER(L9),H9-L9,"")</f>
        <v>17025</v>
      </c>
      <c r="O9" s="67" t="s">
        <v>214</v>
      </c>
    </row>
    <row r="10" customFormat="false" ht="15" hidden="false" customHeight="false" outlineLevel="0" collapsed="false">
      <c r="A10" s="5" t="n">
        <v>4</v>
      </c>
      <c r="B10" s="5" t="s">
        <v>82</v>
      </c>
      <c r="C10" s="5" t="s">
        <v>211</v>
      </c>
      <c r="D10" s="66" t="n">
        <v>1013</v>
      </c>
      <c r="E10" s="10" t="n">
        <v>812683</v>
      </c>
      <c r="F10" s="57" t="n">
        <f aca="false">IF(AND(D10&gt;0,N(E10)&gt;0),E10/D10,"")</f>
        <v>802.253701875617</v>
      </c>
      <c r="G10" s="48" t="n">
        <f aca="false">IFERROR(INDEX(Prices!$C$6:$C$300,MATCH(B10,Prices!$A$6:$A$300,0)),"")</f>
        <v>694.05</v>
      </c>
      <c r="H10" s="8" t="n">
        <f aca="false">IF(ISNUMBER(G10),D10*G10,0)</f>
        <v>703072.65</v>
      </c>
      <c r="I10" s="8" t="n">
        <f aca="false">H10-N(E10)</f>
        <v>-109610.35</v>
      </c>
      <c r="J10" s="9" t="n">
        <f aca="false">IF(N(E10)&gt;0,I10/E10,"")</f>
        <v>-0.134874668228571</v>
      </c>
      <c r="K10" s="9" t="n">
        <f aca="false">IF($H$6=0,"",H10/$H$6)</f>
        <v>0.0594519615433891</v>
      </c>
      <c r="L10" s="10" t="n">
        <v>697943</v>
      </c>
      <c r="M10" s="57" t="n">
        <f aca="false">IF(ISNUMBER(L10),L10/D10,"")</f>
        <v>688.986179664363</v>
      </c>
      <c r="N10" s="8" t="n">
        <f aca="false">IF(ISNUMBER(L10),H10-L10,"")</f>
        <v>5129.64999999991</v>
      </c>
      <c r="O10" s="67" t="s">
        <v>215</v>
      </c>
    </row>
    <row r="11" customFormat="false" ht="15" hidden="false" customHeight="false" outlineLevel="0" collapsed="false">
      <c r="A11" s="5" t="n">
        <v>5</v>
      </c>
      <c r="B11" s="5" t="s">
        <v>83</v>
      </c>
      <c r="C11" s="5" t="s">
        <v>211</v>
      </c>
      <c r="D11" s="66" t="n">
        <v>1394</v>
      </c>
      <c r="E11" s="10" t="n">
        <v>622513</v>
      </c>
      <c r="F11" s="57" t="n">
        <f aca="false">IF(AND(D11&gt;0,N(E11)&gt;0),E11/D11,"")</f>
        <v>446.56599713056</v>
      </c>
      <c r="G11" s="48" t="n">
        <f aca="false">IFERROR(INDEX(Prices!$C$6:$C$300,MATCH(B11,Prices!$A$6:$A$300,0)),"")</f>
        <v>432.45</v>
      </c>
      <c r="H11" s="8" t="n">
        <f aca="false">IF(ISNUMBER(G11),D11*G11,0)</f>
        <v>602835.3</v>
      </c>
      <c r="I11" s="8" t="n">
        <f aca="false">H11-N(E11)</f>
        <v>-19677.7000000001</v>
      </c>
      <c r="J11" s="9" t="n">
        <f aca="false">IF(N(E11)&gt;0,I11/E11,"")</f>
        <v>-0.0316101029215455</v>
      </c>
      <c r="K11" s="9" t="n">
        <f aca="false">IF($H$6=0,"",H11/$H$6)</f>
        <v>0.0509758715156924</v>
      </c>
      <c r="L11" s="10" t="n">
        <v>578058</v>
      </c>
      <c r="M11" s="57" t="n">
        <f aca="false">IF(ISNUMBER(L11),L11/D11,"")</f>
        <v>414.675753228121</v>
      </c>
      <c r="N11" s="8" t="n">
        <f aca="false">IF(ISNUMBER(L11),H11-L11,"")</f>
        <v>24777.2999999999</v>
      </c>
      <c r="O11" s="67" t="s">
        <v>216</v>
      </c>
    </row>
    <row r="12" customFormat="false" ht="15" hidden="false" customHeight="false" outlineLevel="0" collapsed="false">
      <c r="A12" s="5" t="n">
        <v>6</v>
      </c>
      <c r="B12" s="5" t="s">
        <v>84</v>
      </c>
      <c r="C12" s="5" t="s">
        <v>217</v>
      </c>
      <c r="D12" s="66" t="n">
        <v>360</v>
      </c>
      <c r="E12" s="10" t="n">
        <v>362724</v>
      </c>
      <c r="F12" s="57" t="n">
        <f aca="false">IF(AND(D12&gt;0,N(E12)&gt;0),E12/D12,"")</f>
        <v>1007.56666666667</v>
      </c>
      <c r="G12" s="48" t="n">
        <f aca="false">IFERROR(INDEX(Prices!$C$6:$C$300,MATCH(B12,Prices!$A$6:$A$300,0)),"")</f>
        <v>1371.45</v>
      </c>
      <c r="H12" s="8" t="n">
        <f aca="false">IF(ISNUMBER(G12),D12*G12,0)</f>
        <v>493722</v>
      </c>
      <c r="I12" s="8" t="n">
        <f aca="false">H12-N(E12)</f>
        <v>130998</v>
      </c>
      <c r="J12" s="9" t="n">
        <f aca="false">IF(N(E12)&gt;0,I12/E12,"")</f>
        <v>0.36115062692295</v>
      </c>
      <c r="K12" s="9" t="n">
        <f aca="false">IF($H$6=0,"",H12/$H$6)</f>
        <v>0.0417492294105383</v>
      </c>
      <c r="L12" s="10" t="n">
        <v>457200</v>
      </c>
      <c r="M12" s="57" t="n">
        <f aca="false">IF(ISNUMBER(L12),L12/D12,"")</f>
        <v>1270</v>
      </c>
      <c r="N12" s="8" t="n">
        <f aca="false">IF(ISNUMBER(L12),H12-L12,"")</f>
        <v>36522</v>
      </c>
      <c r="O12" s="67"/>
    </row>
    <row r="13" customFormat="false" ht="15" hidden="false" customHeight="false" outlineLevel="0" collapsed="false">
      <c r="A13" s="5" t="n">
        <v>7</v>
      </c>
      <c r="B13" s="5" t="s">
        <v>96</v>
      </c>
      <c r="C13" s="5" t="s">
        <v>218</v>
      </c>
      <c r="D13" s="66" t="n">
        <v>2004.589</v>
      </c>
      <c r="E13" s="10" t="n">
        <v>199990</v>
      </c>
      <c r="F13" s="57" t="n">
        <f aca="false">IF(AND(D13&gt;0,N(E13)&gt;0),E13/D13,"")</f>
        <v>99.7660867140347</v>
      </c>
      <c r="G13" s="48" t="n">
        <f aca="false">IFERROR(INDEX(Prices!$C$6:$C$300,MATCH(B13,Prices!$A$6:$A$300,0)),"")</f>
        <v>157.329098383758</v>
      </c>
      <c r="H13" s="8" t="n">
        <f aca="false">IF(ISNUMBER(G13),D13*G13,0)</f>
        <v>315380.18</v>
      </c>
      <c r="I13" s="8" t="n">
        <f aca="false">H13-N(E13)</f>
        <v>115390.18</v>
      </c>
      <c r="J13" s="9" t="n">
        <f aca="false">IF(N(E13)&gt;0,I13/E13,"")</f>
        <v>0.576979748987449</v>
      </c>
      <c r="K13" s="9" t="n">
        <f aca="false">IF($H$6=0,"",H13/$H$6)</f>
        <v>0.0266686100403808</v>
      </c>
      <c r="L13" s="10" t="n">
        <v>315380.18</v>
      </c>
      <c r="M13" s="57" t="n">
        <f aca="false">IF(ISNUMBER(L13),L13/D13,"")</f>
        <v>157.329098383758</v>
      </c>
      <c r="N13" s="8" t="n">
        <f aca="false">IF(ISNUMBER(L13),H13-L13,"")</f>
        <v>0</v>
      </c>
      <c r="O13" s="67" t="s">
        <v>219</v>
      </c>
    </row>
    <row r="14" customFormat="false" ht="15" hidden="false" customHeight="false" outlineLevel="0" collapsed="false">
      <c r="A14" s="5" t="n">
        <v>8</v>
      </c>
      <c r="B14" s="5" t="s">
        <v>87</v>
      </c>
      <c r="C14" s="5" t="s">
        <v>211</v>
      </c>
      <c r="D14" s="66" t="n">
        <v>3762</v>
      </c>
      <c r="E14" s="10" t="n">
        <v>432693</v>
      </c>
      <c r="F14" s="57" t="n">
        <f aca="false">IF(AND(D14&gt;0,N(E14)&gt;0),E14/D14,"")</f>
        <v>115.016746411483</v>
      </c>
      <c r="G14" s="48" t="n">
        <f aca="false">IFERROR(INDEX(Prices!$C$6:$C$300,MATCH(B14,Prices!$A$6:$A$300,0)),"")</f>
        <v>81.02</v>
      </c>
      <c r="H14" s="8" t="n">
        <f aca="false">IF(ISNUMBER(G14),D14*G14,0)</f>
        <v>304797.24</v>
      </c>
      <c r="I14" s="8" t="n">
        <f aca="false">H14-N(E14)</f>
        <v>-127895.76</v>
      </c>
      <c r="J14" s="9" t="n">
        <f aca="false">IF(N(E14)&gt;0,I14/E14,"")</f>
        <v>-0.295580839070658</v>
      </c>
      <c r="K14" s="9" t="n">
        <f aca="false">IF($H$6=0,"",H14/$H$6)</f>
        <v>0.0257737145528433</v>
      </c>
      <c r="L14" s="10" t="n">
        <v>292084</v>
      </c>
      <c r="M14" s="57" t="n">
        <f aca="false">IF(ISNUMBER(L14),L14/D14,"")</f>
        <v>77.6406166932483</v>
      </c>
      <c r="N14" s="8" t="n">
        <f aca="false">IF(ISNUMBER(L14),H14-L14,"")</f>
        <v>12713.24</v>
      </c>
      <c r="O14" s="67" t="s">
        <v>220</v>
      </c>
    </row>
    <row r="15" customFormat="false" ht="15" hidden="false" customHeight="false" outlineLevel="0" collapsed="false">
      <c r="A15" s="5" t="n">
        <v>9</v>
      </c>
      <c r="B15" s="5" t="s">
        <v>89</v>
      </c>
      <c r="C15" s="5" t="s">
        <v>211</v>
      </c>
      <c r="D15" s="66" t="n">
        <v>72</v>
      </c>
      <c r="E15" s="10" t="n">
        <v>303467</v>
      </c>
      <c r="F15" s="57" t="n">
        <f aca="false">IF(AND(D15&gt;0,N(E15)&gt;0),E15/D15,"")</f>
        <v>4214.81944444444</v>
      </c>
      <c r="G15" s="48" t="n">
        <f aca="false">IFERROR(INDEX(Prices!$C$6:$C$300,MATCH(B15,Prices!$A$6:$A$300,0)),"")</f>
        <v>3954.8</v>
      </c>
      <c r="H15" s="8" t="n">
        <f aca="false">IF(ISNUMBER(G15),D15*G15,0)</f>
        <v>284745.6</v>
      </c>
      <c r="I15" s="8" t="n">
        <f aca="false">H15-N(E15)</f>
        <v>-18721.4</v>
      </c>
      <c r="J15" s="9" t="n">
        <f aca="false">IF(N(E15)&gt;0,I15/E15,"")</f>
        <v>-0.0616917160679743</v>
      </c>
      <c r="K15" s="9" t="n">
        <f aca="false">IF($H$6=0,"",H15/$H$6)</f>
        <v>0.024078143931284</v>
      </c>
      <c r="L15" s="10" t="n">
        <v>282588</v>
      </c>
      <c r="M15" s="57" t="n">
        <f aca="false">IF(ISNUMBER(L15),L15/D15,"")</f>
        <v>3924.83333333333</v>
      </c>
      <c r="N15" s="8" t="n">
        <f aca="false">IF(ISNUMBER(L15),H15-L15,"")</f>
        <v>2157.60000000004</v>
      </c>
      <c r="O15" s="67" t="s">
        <v>221</v>
      </c>
    </row>
    <row r="16" customFormat="false" ht="15" hidden="false" customHeight="false" outlineLevel="0" collapsed="false">
      <c r="A16" s="5" t="n">
        <v>10</v>
      </c>
      <c r="B16" s="5" t="s">
        <v>86</v>
      </c>
      <c r="C16" s="5" t="s">
        <v>211</v>
      </c>
      <c r="D16" s="66" t="n">
        <v>66</v>
      </c>
      <c r="E16" s="10" t="n">
        <v>348137</v>
      </c>
      <c r="F16" s="57" t="n">
        <f aca="false">IF(AND(D16&gt;0,N(E16)&gt;0),E16/D16,"")</f>
        <v>5274.80303030303</v>
      </c>
      <c r="G16" s="48" t="n">
        <f aca="false">IFERROR(INDEX(Prices!$C$6:$C$300,MATCH(B16,Prices!$A$6:$A$300,0)),"")</f>
        <v>4274</v>
      </c>
      <c r="H16" s="8" t="n">
        <f aca="false">IF(ISNUMBER(G16),D16*G16,0)</f>
        <v>282084</v>
      </c>
      <c r="I16" s="8" t="n">
        <f aca="false">H16-N(E16)</f>
        <v>-66053</v>
      </c>
      <c r="J16" s="9" t="n">
        <f aca="false">IF(N(E16)&gt;0,I16/E16,"")</f>
        <v>-0.189732777613411</v>
      </c>
      <c r="K16" s="9" t="n">
        <f aca="false">IF($H$6=0,"",H16/$H$6)</f>
        <v>0.0238530785118798</v>
      </c>
      <c r="L16" s="10" t="n">
        <v>276816</v>
      </c>
      <c r="M16" s="57" t="n">
        <f aca="false">IF(ISNUMBER(L16),L16/D16,"")</f>
        <v>4194.18181818182</v>
      </c>
      <c r="N16" s="8" t="n">
        <f aca="false">IF(ISNUMBER(L16),H16-L16,"")</f>
        <v>5268</v>
      </c>
      <c r="O16" s="67" t="s">
        <v>222</v>
      </c>
    </row>
    <row r="17" customFormat="false" ht="15" hidden="false" customHeight="false" outlineLevel="0" collapsed="false">
      <c r="A17" s="5" t="n">
        <v>11</v>
      </c>
      <c r="B17" s="5" t="s">
        <v>88</v>
      </c>
      <c r="C17" s="5" t="s">
        <v>217</v>
      </c>
      <c r="D17" s="66" t="n">
        <v>800</v>
      </c>
      <c r="E17" s="10" t="n">
        <v>188075</v>
      </c>
      <c r="F17" s="57" t="n">
        <f aca="false">IF(AND(D17&gt;0,N(E17)&gt;0),E17/D17,"")</f>
        <v>235.09375</v>
      </c>
      <c r="G17" s="48" t="n">
        <f aca="false">IFERROR(INDEX(Prices!$C$6:$C$300,MATCH(B17,Prices!$A$6:$A$300,0)),"")</f>
        <v>234.25</v>
      </c>
      <c r="H17" s="8" t="n">
        <f aca="false">IF(ISNUMBER(G17),D17*G17,0)</f>
        <v>187400</v>
      </c>
      <c r="I17" s="8" t="n">
        <f aca="false">H17-N(E17)</f>
        <v>-675</v>
      </c>
      <c r="J17" s="9" t="n">
        <f aca="false">IF(N(E17)&gt;0,I17/E17,"")</f>
        <v>-0.00358899375249236</v>
      </c>
      <c r="K17" s="9" t="n">
        <f aca="false">IF($H$6=0,"",H17/$H$6)</f>
        <v>0.0158465808522506</v>
      </c>
      <c r="L17" s="10" t="n">
        <v>175200</v>
      </c>
      <c r="M17" s="57" t="n">
        <f aca="false">IF(ISNUMBER(L17),L17/D17,"")</f>
        <v>219</v>
      </c>
      <c r="N17" s="8" t="n">
        <f aca="false">IF(ISNUMBER(L17),H17-L17,"")</f>
        <v>12200</v>
      </c>
      <c r="O17" s="67"/>
    </row>
    <row r="18" customFormat="false" ht="15" hidden="false" customHeight="false" outlineLevel="0" collapsed="false">
      <c r="A18" s="5" t="n">
        <v>12</v>
      </c>
      <c r="B18" s="5" t="s">
        <v>91</v>
      </c>
      <c r="C18" s="5" t="s">
        <v>217</v>
      </c>
      <c r="D18" s="66" t="n">
        <v>3500</v>
      </c>
      <c r="E18" s="10" t="n">
        <v>117474</v>
      </c>
      <c r="F18" s="57" t="n">
        <f aca="false">IF(AND(D18&gt;0,N(E18)&gt;0),E18/D18,"")</f>
        <v>33.564</v>
      </c>
      <c r="G18" s="48" t="n">
        <f aca="false">IFERROR(INDEX(Prices!$C$6:$C$300,MATCH(B18,Prices!$A$6:$A$300,0)),"")</f>
        <v>51.55</v>
      </c>
      <c r="H18" s="8" t="n">
        <f aca="false">IF(ISNUMBER(G18),D18*G18,0)</f>
        <v>180425</v>
      </c>
      <c r="I18" s="8" t="n">
        <f aca="false">H18-N(E18)</f>
        <v>62951</v>
      </c>
      <c r="J18" s="9" t="n">
        <f aca="false">IF(N(E18)&gt;0,I18/E18,"")</f>
        <v>0.535871767369801</v>
      </c>
      <c r="K18" s="9" t="n">
        <f aca="false">IF($H$6=0,"",H18/$H$6)</f>
        <v>0.0152567734806154</v>
      </c>
      <c r="L18" s="10" t="n">
        <v>167755</v>
      </c>
      <c r="M18" s="57" t="n">
        <f aca="false">IF(ISNUMBER(L18),L18/D18,"")</f>
        <v>47.93</v>
      </c>
      <c r="N18" s="8" t="n">
        <f aca="false">IF(ISNUMBER(L18),H18-L18,"")</f>
        <v>12670</v>
      </c>
      <c r="O18" s="67"/>
    </row>
    <row r="19" customFormat="false" ht="15" hidden="false" customHeight="false" outlineLevel="0" collapsed="false">
      <c r="A19" s="5" t="n">
        <v>13</v>
      </c>
      <c r="B19" s="5" t="s">
        <v>103</v>
      </c>
      <c r="C19" s="5" t="s">
        <v>217</v>
      </c>
      <c r="D19" s="66" t="n">
        <v>134</v>
      </c>
      <c r="E19" s="10" t="n">
        <v>51658</v>
      </c>
      <c r="F19" s="57" t="n">
        <f aca="false">IF(AND(D19&gt;0,N(E19)&gt;0),E19/D19,"")</f>
        <v>385.507462686567</v>
      </c>
      <c r="G19" s="48" t="n">
        <f aca="false">IFERROR(INDEX(Prices!$C$6:$C$300,MATCH(B19,Prices!$A$6:$A$300,0)),"")</f>
        <v>1225</v>
      </c>
      <c r="H19" s="8" t="n">
        <f aca="false">IF(ISNUMBER(G19),D19*G19,0)</f>
        <v>164150</v>
      </c>
      <c r="I19" s="8" t="n">
        <f aca="false">H19-N(E19)</f>
        <v>112492</v>
      </c>
      <c r="J19" s="9" t="n">
        <f aca="false">IF(N(E19)&gt;0,I19/E19,"")</f>
        <v>2.17762979596578</v>
      </c>
      <c r="K19" s="9" t="n">
        <f aca="false">IF($H$6=0,"",H19/$H$6)</f>
        <v>0.0138805562801331</v>
      </c>
      <c r="L19" s="10" t="n">
        <v>158643</v>
      </c>
      <c r="M19" s="57" t="n">
        <f aca="false">IF(ISNUMBER(L19),L19/D19,"")</f>
        <v>1183.90298507463</v>
      </c>
      <c r="N19" s="8" t="n">
        <f aca="false">IF(ISNUMBER(L19),H19-L19,"")</f>
        <v>5507</v>
      </c>
      <c r="O19" s="67"/>
    </row>
    <row r="20" customFormat="false" ht="15" hidden="false" customHeight="false" outlineLevel="0" collapsed="false">
      <c r="A20" s="5" t="n">
        <v>14</v>
      </c>
      <c r="B20" s="5" t="s">
        <v>92</v>
      </c>
      <c r="C20" s="5" t="s">
        <v>223</v>
      </c>
      <c r="D20" s="66" t="n">
        <v>32</v>
      </c>
      <c r="E20" s="10" t="n">
        <v>212270</v>
      </c>
      <c r="F20" s="57" t="n">
        <f aca="false">IF(AND(D20&gt;0,N(E20)&gt;0),E20/D20,"")</f>
        <v>6633.4375</v>
      </c>
      <c r="G20" s="48" t="n">
        <f aca="false">IFERROR(INDEX(Prices!$C$6:$C$300,MATCH(B20,Prices!$A$6:$A$300,0)),"")</f>
        <v>3846.8</v>
      </c>
      <c r="H20" s="8" t="n">
        <f aca="false">IF(ISNUMBER(G20),D20*G20,0)</f>
        <v>123097.6</v>
      </c>
      <c r="I20" s="8" t="n">
        <f aca="false">H20-N(E20)</f>
        <v>-89172.4</v>
      </c>
      <c r="J20" s="9" t="n">
        <f aca="false">IF(N(E20)&gt;0,I20/E20,"")</f>
        <v>-0.420089508644651</v>
      </c>
      <c r="K20" s="9" t="n">
        <f aca="false">IF($H$6=0,"",H20/$H$6)</f>
        <v>0.0104091572631697</v>
      </c>
      <c r="L20" s="10" t="n">
        <v>120470</v>
      </c>
      <c r="M20" s="57" t="n">
        <f aca="false">IF(ISNUMBER(L20),L20/D20,"")</f>
        <v>3764.6875</v>
      </c>
      <c r="N20" s="8" t="n">
        <f aca="false">IF(ISNUMBER(L20),H20-L20,"")</f>
        <v>2627.60000000001</v>
      </c>
      <c r="O20" s="67" t="s">
        <v>224</v>
      </c>
    </row>
    <row r="21" customFormat="false" ht="15" hidden="false" customHeight="false" outlineLevel="0" collapsed="false">
      <c r="A21" s="5" t="n">
        <v>15</v>
      </c>
      <c r="B21" s="5" t="s">
        <v>109</v>
      </c>
      <c r="C21" s="5" t="s">
        <v>225</v>
      </c>
      <c r="D21" s="66" t="n">
        <v>44</v>
      </c>
      <c r="E21" s="10" t="n">
        <v>52231</v>
      </c>
      <c r="F21" s="57" t="n">
        <f aca="false">IF(AND(D21&gt;0,N(E21)&gt;0),E21/D21,"")</f>
        <v>1187.06818181818</v>
      </c>
      <c r="G21" s="48" t="n">
        <f aca="false">IFERROR(INDEX(Prices!$C$6:$C$300,MATCH(B21,Prices!$A$6:$A$300,0)),"")</f>
        <v>1843.7</v>
      </c>
      <c r="H21" s="8" t="n">
        <f aca="false">IF(ISNUMBER(G21),D21*G21,0)</f>
        <v>81122.8</v>
      </c>
      <c r="I21" s="8" t="n">
        <f aca="false">H21-N(E21)</f>
        <v>28891.8</v>
      </c>
      <c r="J21" s="9" t="n">
        <f aca="false">IF(N(E21)&gt;0,I21/E21,"")</f>
        <v>0.553154257050411</v>
      </c>
      <c r="K21" s="9" t="n">
        <f aca="false">IF($H$6=0,"",H21/$H$6)</f>
        <v>0.00685975992081621</v>
      </c>
      <c r="L21" s="10" t="n">
        <v>80313</v>
      </c>
      <c r="M21" s="57" t="n">
        <f aca="false">IF(ISNUMBER(L21),L21/D21,"")</f>
        <v>1825.29545454545</v>
      </c>
      <c r="N21" s="8" t="n">
        <f aca="false">IF(ISNUMBER(L21),H21-L21,"")</f>
        <v>809.800000000003</v>
      </c>
      <c r="O21" s="67"/>
    </row>
    <row r="22" customFormat="false" ht="15" hidden="false" customHeight="false" outlineLevel="0" collapsed="false">
      <c r="A22" s="5" t="n">
        <v>16</v>
      </c>
      <c r="B22" s="5" t="s">
        <v>110</v>
      </c>
      <c r="C22" s="5" t="s">
        <v>217</v>
      </c>
      <c r="D22" s="66" t="n">
        <v>3</v>
      </c>
      <c r="E22" s="10" t="n">
        <v>54700</v>
      </c>
      <c r="F22" s="57" t="n">
        <f aca="false">IF(AND(D22&gt;0,N(E22)&gt;0),E22/D22,"")</f>
        <v>18233.3333333333</v>
      </c>
      <c r="G22" s="48" t="n">
        <f aca="false">IFERROR(INDEX(Prices!$C$6:$C$300,MATCH(B22,Prices!$A$6:$A$300,0)),"")</f>
        <v>25360</v>
      </c>
      <c r="H22" s="8" t="n">
        <f aca="false">IF(ISNUMBER(G22),D22*G22,0)</f>
        <v>76080</v>
      </c>
      <c r="I22" s="8" t="n">
        <f aca="false">H22-N(E22)</f>
        <v>21380</v>
      </c>
      <c r="J22" s="9" t="n">
        <f aca="false">IF(N(E22)&gt;0,I22/E22,"")</f>
        <v>0.390859232175503</v>
      </c>
      <c r="K22" s="9" t="n">
        <f aca="false">IF($H$6=0,"",H22/$H$6)</f>
        <v>0.0064333397611485</v>
      </c>
      <c r="L22" s="10" t="n">
        <v>74400</v>
      </c>
      <c r="M22" s="57" t="n">
        <f aca="false">IF(ISNUMBER(L22),L22/D22,"")</f>
        <v>24800</v>
      </c>
      <c r="N22" s="8" t="n">
        <f aca="false">IF(ISNUMBER(L22),H22-L22,"")</f>
        <v>1680</v>
      </c>
      <c r="O22" s="67"/>
    </row>
    <row r="23" customFormat="false" ht="15" hidden="false" customHeight="false" outlineLevel="0" collapsed="false">
      <c r="A23" s="5" t="n">
        <v>17</v>
      </c>
      <c r="B23" s="5" t="s">
        <v>111</v>
      </c>
      <c r="C23" s="5" t="s">
        <v>217</v>
      </c>
      <c r="D23" s="66" t="n">
        <v>64</v>
      </c>
      <c r="E23" s="10" t="n">
        <v>102862</v>
      </c>
      <c r="F23" s="57" t="n">
        <f aca="false">IF(AND(D23&gt;0,N(E23)&gt;0),E23/D23,"")</f>
        <v>1607.21875</v>
      </c>
      <c r="G23" s="48" t="n">
        <f aca="false">IFERROR(INDEX(Prices!$C$6:$C$300,MATCH(B23,Prices!$A$6:$A$300,0)),"")</f>
        <v>1153.35</v>
      </c>
      <c r="H23" s="8" t="n">
        <f aca="false">IF(ISNUMBER(G23),D23*G23,0)</f>
        <v>73814.4</v>
      </c>
      <c r="I23" s="8" t="n">
        <f aca="false">H23-N(E23)</f>
        <v>-29047.6</v>
      </c>
      <c r="J23" s="9" t="n">
        <f aca="false">IF(N(E23)&gt;0,I23/E23,"")</f>
        <v>-0.282393886955338</v>
      </c>
      <c r="K23" s="9" t="n">
        <f aca="false">IF($H$6=0,"",H23/$H$6)</f>
        <v>0.00624176017961776</v>
      </c>
      <c r="L23" s="10" t="n">
        <v>74240</v>
      </c>
      <c r="M23" s="57" t="n">
        <f aca="false">IF(ISNUMBER(L23),L23/D23,"")</f>
        <v>1160</v>
      </c>
      <c r="N23" s="8" t="n">
        <f aca="false">IF(ISNUMBER(L23),H23-L23,"")</f>
        <v>-425.600000000006</v>
      </c>
      <c r="O23" s="67"/>
    </row>
    <row r="24" customFormat="false" ht="15" hidden="false" customHeight="false" outlineLevel="0" collapsed="false">
      <c r="A24" s="5" t="n">
        <v>18</v>
      </c>
      <c r="B24" s="5" t="s">
        <v>85</v>
      </c>
      <c r="C24" s="5" t="s">
        <v>217</v>
      </c>
      <c r="D24" s="66" t="n">
        <v>29</v>
      </c>
      <c r="E24" s="10" t="n">
        <v>97994</v>
      </c>
      <c r="F24" s="57" t="n">
        <f aca="false">IF(AND(D24&gt;0,N(E24)&gt;0),E24/D24,"")</f>
        <v>3379.10344827586</v>
      </c>
      <c r="G24" s="48" t="n">
        <f aca="false">IFERROR(INDEX(Prices!$C$6:$C$300,MATCH(B24,Prices!$A$6:$A$300,0)),"")</f>
        <v>2506.9</v>
      </c>
      <c r="H24" s="8" t="n">
        <f aca="false">IF(ISNUMBER(G24),D24*G24,0)</f>
        <v>72700.1</v>
      </c>
      <c r="I24" s="8" t="n">
        <f aca="false">H24-N(E24)</f>
        <v>-25293.9</v>
      </c>
      <c r="J24" s="9" t="n">
        <f aca="false">IF(N(E24)&gt;0,I24/E24,"")</f>
        <v>-0.258116823478988</v>
      </c>
      <c r="K24" s="9" t="n">
        <f aca="false">IF($H$6=0,"",H24/$H$6)</f>
        <v>0.00614753475249043</v>
      </c>
      <c r="L24" s="10" t="n">
        <v>74127</v>
      </c>
      <c r="M24" s="57" t="n">
        <f aca="false">IF(ISNUMBER(L24),L24/D24,"")</f>
        <v>2556.10344827586</v>
      </c>
      <c r="N24" s="8" t="n">
        <f aca="false">IF(ISNUMBER(L24),H24-L24,"")</f>
        <v>-1426.89999999999</v>
      </c>
      <c r="O24" s="67"/>
    </row>
    <row r="25" customFormat="false" ht="15" hidden="false" customHeight="false" outlineLevel="0" collapsed="false">
      <c r="A25" s="5" t="n">
        <v>19</v>
      </c>
      <c r="B25" s="5" t="s">
        <v>112</v>
      </c>
      <c r="C25" s="5" t="s">
        <v>226</v>
      </c>
      <c r="D25" s="66" t="n">
        <v>160</v>
      </c>
      <c r="E25" s="10" t="n">
        <v>63501</v>
      </c>
      <c r="F25" s="57" t="n">
        <f aca="false">IF(AND(D25&gt;0,N(E25)&gt;0),E25/D25,"")</f>
        <v>396.88125</v>
      </c>
      <c r="G25" s="48" t="n">
        <f aca="false">IFERROR(INDEX(Prices!$C$6:$C$300,MATCH(B25,Prices!$A$6:$A$300,0)),"")</f>
        <v>437</v>
      </c>
      <c r="H25" s="8" t="n">
        <f aca="false">IF(ISNUMBER(G25),D25*G25,0)</f>
        <v>69920</v>
      </c>
      <c r="I25" s="8" t="n">
        <f aca="false">H25-N(E25)</f>
        <v>6419</v>
      </c>
      <c r="J25" s="9" t="n">
        <f aca="false">IF(N(E25)&gt;0,I25/E25,"")</f>
        <v>0.101085022283114</v>
      </c>
      <c r="K25" s="9" t="n">
        <f aca="false">IF($H$6=0,"",H25/$H$6)</f>
        <v>0.00591244894978316</v>
      </c>
      <c r="L25" s="10" t="n">
        <v>69298</v>
      </c>
      <c r="M25" s="57" t="n">
        <f aca="false">IF(ISNUMBER(L25),L25/D25,"")</f>
        <v>433.1125</v>
      </c>
      <c r="N25" s="8" t="n">
        <f aca="false">IF(ISNUMBER(L25),H25-L25,"")</f>
        <v>622</v>
      </c>
      <c r="O25" s="67" t="s">
        <v>227</v>
      </c>
    </row>
    <row r="26" customFormat="false" ht="15" hidden="false" customHeight="false" outlineLevel="0" collapsed="false">
      <c r="A26" s="5" t="n">
        <v>20</v>
      </c>
      <c r="B26" s="5" t="s">
        <v>113</v>
      </c>
      <c r="C26" s="5" t="s">
        <v>225</v>
      </c>
      <c r="D26" s="66" t="n">
        <v>2</v>
      </c>
      <c r="E26" s="10" t="n">
        <v>93537</v>
      </c>
      <c r="F26" s="57" t="n">
        <f aca="false">IF(AND(D26&gt;0,N(E26)&gt;0),E26/D26,"")</f>
        <v>46768.5</v>
      </c>
      <c r="G26" s="48" t="n">
        <f aca="false">IFERROR(INDEX(Prices!$C$6:$C$300,MATCH(B26,Prices!$A$6:$A$300,0)),"")</f>
        <v>34425</v>
      </c>
      <c r="H26" s="8" t="n">
        <f aca="false">IF(ISNUMBER(G26),D26*G26,0)</f>
        <v>68850</v>
      </c>
      <c r="I26" s="8" t="n">
        <f aca="false">H26-N(E26)</f>
        <v>-24687</v>
      </c>
      <c r="J26" s="9" t="n">
        <f aca="false">IF(N(E26)&gt;0,I26/E26,"")</f>
        <v>-0.263927643606273</v>
      </c>
      <c r="K26" s="9" t="n">
        <f aca="false">IF($H$6=0,"",H26/$H$6)</f>
        <v>0.00582196953936743</v>
      </c>
      <c r="L26" s="10" t="n">
        <v>67650</v>
      </c>
      <c r="M26" s="57" t="n">
        <f aca="false">IF(ISNUMBER(L26),L26/D26,"")</f>
        <v>33825</v>
      </c>
      <c r="N26" s="8" t="n">
        <f aca="false">IF(ISNUMBER(L26),H26-L26,"")</f>
        <v>1200</v>
      </c>
      <c r="O26" s="67"/>
    </row>
    <row r="27" customFormat="false" ht="15" hidden="false" customHeight="false" outlineLevel="0" collapsed="false">
      <c r="A27" s="5" t="n">
        <v>21</v>
      </c>
      <c r="B27" s="5" t="s">
        <v>94</v>
      </c>
      <c r="C27" s="5" t="s">
        <v>211</v>
      </c>
      <c r="D27" s="66" t="n">
        <v>47</v>
      </c>
      <c r="E27" s="10" t="n">
        <v>76969</v>
      </c>
      <c r="F27" s="57" t="n">
        <f aca="false">IF(AND(D27&gt;0,N(E27)&gt;0),E27/D27,"")</f>
        <v>1637.63829787234</v>
      </c>
      <c r="G27" s="48" t="n">
        <f aca="false">IFERROR(INDEX(Prices!$C$6:$C$300,MATCH(B27,Prices!$A$6:$A$300,0)),"")</f>
        <v>1362.8</v>
      </c>
      <c r="H27" s="8" t="n">
        <f aca="false">IF(ISNUMBER(G27),D27*G27,0)</f>
        <v>64051.6</v>
      </c>
      <c r="I27" s="8" t="n">
        <f aca="false">H27-N(E27)</f>
        <v>-12917.4</v>
      </c>
      <c r="J27" s="9" t="n">
        <f aca="false">IF(N(E27)&gt;0,I27/E27,"")</f>
        <v>-0.1678260078733</v>
      </c>
      <c r="K27" s="9" t="n">
        <f aca="false">IF($H$6=0,"",H27/$H$6)</f>
        <v>0.00541621589176103</v>
      </c>
      <c r="L27" s="10" t="n">
        <v>62254</v>
      </c>
      <c r="M27" s="57" t="n">
        <f aca="false">IF(ISNUMBER(L27),L27/D27,"")</f>
        <v>1324.55319148936</v>
      </c>
      <c r="N27" s="8" t="n">
        <f aca="false">IF(ISNUMBER(L27),H27-L27,"")</f>
        <v>1797.6</v>
      </c>
      <c r="O27" s="67" t="s">
        <v>228</v>
      </c>
    </row>
    <row r="28" customFormat="false" ht="15" hidden="false" customHeight="false" outlineLevel="0" collapsed="false">
      <c r="A28" s="5" t="n">
        <v>22</v>
      </c>
      <c r="B28" s="5" t="s">
        <v>93</v>
      </c>
      <c r="C28" s="5" t="s">
        <v>223</v>
      </c>
      <c r="D28" s="66" t="n">
        <v>11</v>
      </c>
      <c r="E28" s="10" t="n">
        <v>49823</v>
      </c>
      <c r="F28" s="57" t="n">
        <f aca="false">IF(AND(D28&gt;0,N(E28)&gt;0),E28/D28,"")</f>
        <v>4529.36363636364</v>
      </c>
      <c r="G28" s="48" t="n">
        <f aca="false">IFERROR(INDEX(Prices!$C$6:$C$300,MATCH(B28,Prices!$A$6:$A$300,0)),"")</f>
        <v>5740.5</v>
      </c>
      <c r="H28" s="8" t="n">
        <f aca="false">IF(ISNUMBER(G28),D28*G28,0)</f>
        <v>63145.5</v>
      </c>
      <c r="I28" s="8" t="n">
        <f aca="false">H28-N(E28)</f>
        <v>13322.5</v>
      </c>
      <c r="J28" s="9" t="n">
        <f aca="false">IF(N(E28)&gt;0,I28/E28,"")</f>
        <v>0.267396583907031</v>
      </c>
      <c r="K28" s="9" t="n">
        <f aca="false">IF($H$6=0,"",H28/$H$6)</f>
        <v>0.00533959589757627</v>
      </c>
      <c r="L28" s="10" t="n">
        <v>63648</v>
      </c>
      <c r="M28" s="57" t="n">
        <f aca="false">IF(ISNUMBER(L28),L28/D28,"")</f>
        <v>5786.18181818182</v>
      </c>
      <c r="N28" s="8" t="n">
        <f aca="false">IF(ISNUMBER(L28),H28-L28,"")</f>
        <v>-502.5</v>
      </c>
      <c r="O28" s="67" t="s">
        <v>229</v>
      </c>
    </row>
    <row r="29" customFormat="false" ht="15" hidden="false" customHeight="false" outlineLevel="0" collapsed="false">
      <c r="A29" s="5" t="n">
        <v>23</v>
      </c>
      <c r="B29" s="5" t="s">
        <v>115</v>
      </c>
      <c r="C29" s="5" t="s">
        <v>217</v>
      </c>
      <c r="D29" s="66" t="n">
        <v>22</v>
      </c>
      <c r="E29" s="10" t="n">
        <v>78545</v>
      </c>
      <c r="F29" s="57" t="n">
        <f aca="false">IF(AND(D29&gt;0,N(E29)&gt;0),E29/D29,"")</f>
        <v>3570.22727272727</v>
      </c>
      <c r="G29" s="48" t="n">
        <f aca="false">IFERROR(INDEX(Prices!$C$6:$C$300,MATCH(B29,Prices!$A$6:$A$300,0)),"")</f>
        <v>2284.8</v>
      </c>
      <c r="H29" s="8" t="n">
        <f aca="false">IF(ISNUMBER(G29),D29*G29,0)</f>
        <v>50265.6</v>
      </c>
      <c r="I29" s="8" t="n">
        <f aca="false">H29-N(E29)</f>
        <v>-28279.4</v>
      </c>
      <c r="J29" s="9" t="n">
        <f aca="false">IF(N(E29)&gt;0,I29/E29,"")</f>
        <v>-0.36004074097651</v>
      </c>
      <c r="K29" s="9" t="n">
        <f aca="false">IF($H$6=0,"",H29/$H$6)</f>
        <v>0.00425046902074114</v>
      </c>
      <c r="L29" s="10" t="n">
        <v>50046</v>
      </c>
      <c r="M29" s="57" t="n">
        <f aca="false">IF(ISNUMBER(L29),L29/D29,"")</f>
        <v>2274.81818181818</v>
      </c>
      <c r="N29" s="8" t="n">
        <f aca="false">IF(ISNUMBER(L29),H29-L29,"")</f>
        <v>219.600000000006</v>
      </c>
      <c r="O29" s="67"/>
    </row>
    <row r="30" customFormat="false" ht="15" hidden="false" customHeight="false" outlineLevel="0" collapsed="false">
      <c r="A30" s="5" t="n">
        <v>24</v>
      </c>
      <c r="B30" s="5" t="s">
        <v>97</v>
      </c>
      <c r="C30" s="5" t="s">
        <v>223</v>
      </c>
      <c r="D30" s="66" t="n">
        <v>6</v>
      </c>
      <c r="E30" s="10" t="n">
        <v>43747</v>
      </c>
      <c r="F30" s="57" t="n">
        <f aca="false">IF(AND(D30&gt;0,N(E30)&gt;0),E30/D30,"")</f>
        <v>7291.16666666667</v>
      </c>
      <c r="G30" s="48" t="n">
        <f aca="false">IFERROR(INDEX(Prices!$C$6:$C$300,MATCH(B30,Prices!$A$6:$A$300,0)),"")</f>
        <v>7084.5</v>
      </c>
      <c r="H30" s="8" t="n">
        <f aca="false">IF(ISNUMBER(G30),D30*G30,0)</f>
        <v>42507</v>
      </c>
      <c r="I30" s="8" t="n">
        <f aca="false">H30-N(E30)</f>
        <v>-1240</v>
      </c>
      <c r="J30" s="9" t="n">
        <f aca="false">IF(N(E30)&gt;0,I30/E30,"")</f>
        <v>-0.0283448007863396</v>
      </c>
      <c r="K30" s="9" t="n">
        <f aca="false">IF($H$6=0,"",H30/$H$6)</f>
        <v>0.00359440027901077</v>
      </c>
      <c r="L30" s="10" t="n">
        <v>41760</v>
      </c>
      <c r="M30" s="57" t="n">
        <f aca="false">IF(ISNUMBER(L30),L30/D30,"")</f>
        <v>6960</v>
      </c>
      <c r="N30" s="8" t="n">
        <f aca="false">IF(ISNUMBER(L30),H30-L30,"")</f>
        <v>747</v>
      </c>
      <c r="O30" s="67" t="s">
        <v>230</v>
      </c>
    </row>
    <row r="31" customFormat="false" ht="15" hidden="false" customHeight="false" outlineLevel="0" collapsed="false">
      <c r="A31" s="5" t="n">
        <v>25</v>
      </c>
      <c r="B31" s="5" t="s">
        <v>99</v>
      </c>
      <c r="C31" s="5" t="s">
        <v>217</v>
      </c>
      <c r="D31" s="66" t="n">
        <v>32</v>
      </c>
      <c r="E31" s="10" t="n">
        <v>38635</v>
      </c>
      <c r="F31" s="57" t="n">
        <f aca="false">IF(AND(D31&gt;0,N(E31)&gt;0),E31/D31,"")</f>
        <v>1207.34375</v>
      </c>
      <c r="G31" s="48" t="n">
        <f aca="false">IFERROR(INDEX(Prices!$C$6:$C$300,MATCH(B31,Prices!$A$6:$A$300,0)),"")</f>
        <v>1184.5</v>
      </c>
      <c r="H31" s="8" t="n">
        <f aca="false">IF(ISNUMBER(G31),D31*G31,0)</f>
        <v>37904</v>
      </c>
      <c r="I31" s="8" t="n">
        <f aca="false">H31-N(E31)</f>
        <v>-731</v>
      </c>
      <c r="J31" s="9" t="n">
        <f aca="false">IF(N(E31)&gt;0,I31/E31,"")</f>
        <v>-0.0189206677882749</v>
      </c>
      <c r="K31" s="9" t="n">
        <f aca="false">IF($H$6=0,"",H31/$H$6)</f>
        <v>0.00320516969382982</v>
      </c>
      <c r="L31" s="10" t="n">
        <v>37526</v>
      </c>
      <c r="M31" s="57" t="n">
        <f aca="false">IF(ISNUMBER(L31),L31/D31,"")</f>
        <v>1172.6875</v>
      </c>
      <c r="N31" s="8" t="n">
        <f aca="false">IF(ISNUMBER(L31),H31-L31,"")</f>
        <v>378</v>
      </c>
      <c r="O31" s="67"/>
    </row>
    <row r="32" customFormat="false" ht="15" hidden="false" customHeight="false" outlineLevel="0" collapsed="false">
      <c r="A32" s="5" t="n">
        <v>26</v>
      </c>
      <c r="B32" s="5" t="s">
        <v>125</v>
      </c>
      <c r="C32" s="5" t="s">
        <v>217</v>
      </c>
      <c r="D32" s="66" t="n">
        <v>34</v>
      </c>
      <c r="E32" s="10" t="n">
        <v>14923</v>
      </c>
      <c r="F32" s="57" t="n">
        <f aca="false">IF(AND(D32&gt;0,N(E32)&gt;0),E32/D32,"")</f>
        <v>438.911764705882</v>
      </c>
      <c r="G32" s="48" t="n">
        <f aca="false">IFERROR(INDEX(Prices!$C$6:$C$300,MATCH(B32,Prices!$A$6:$A$300,0)),"")</f>
        <v>877.029411764706</v>
      </c>
      <c r="H32" s="8" t="n">
        <f aca="false">IF(ISNUMBER(G32),D32*G32,0)</f>
        <v>29819</v>
      </c>
      <c r="I32" s="8" t="n">
        <f aca="false">H32-N(E32)</f>
        <v>14896</v>
      </c>
      <c r="J32" s="9" t="n">
        <f aca="false">IF(N(E32)&gt;0,I32/E32,"")</f>
        <v>0.998190712323259</v>
      </c>
      <c r="K32" s="9" t="n">
        <f aca="false">IF($H$6=0,"",H32/$H$6)</f>
        <v>0.00252150050391282</v>
      </c>
      <c r="L32" s="10" t="n">
        <v>29819</v>
      </c>
      <c r="M32" s="57" t="n">
        <f aca="false">IF(ISNUMBER(L32),L32/D32,"")</f>
        <v>877.029411764706</v>
      </c>
      <c r="N32" s="8" t="n">
        <f aca="false">IF(ISNUMBER(L32),H32-L32,"")</f>
        <v>0</v>
      </c>
      <c r="O32" s="67"/>
    </row>
    <row r="33" customFormat="false" ht="15" hidden="false" customHeight="false" outlineLevel="0" collapsed="false">
      <c r="A33" s="5" t="n">
        <v>27</v>
      </c>
      <c r="B33" s="5" t="s">
        <v>100</v>
      </c>
      <c r="C33" s="5" t="s">
        <v>223</v>
      </c>
      <c r="D33" s="66" t="n">
        <v>10</v>
      </c>
      <c r="E33" s="10" t="n">
        <v>30536</v>
      </c>
      <c r="F33" s="57" t="n">
        <f aca="false">IF(AND(D33&gt;0,N(E33)&gt;0),E33/D33,"")</f>
        <v>3053.6</v>
      </c>
      <c r="G33" s="48" t="n">
        <f aca="false">IFERROR(INDEX(Prices!$C$6:$C$300,MATCH(B33,Prices!$A$6:$A$300,0)),"")</f>
        <v>2775.8</v>
      </c>
      <c r="H33" s="8" t="n">
        <f aca="false">IF(ISNUMBER(G33),D33*G33,0)</f>
        <v>27758</v>
      </c>
      <c r="I33" s="8" t="n">
        <f aca="false">H33-N(E33)</f>
        <v>-2778</v>
      </c>
      <c r="J33" s="9" t="n">
        <f aca="false">IF(N(E33)&gt;0,I33/E33,"")</f>
        <v>-0.0909745873722819</v>
      </c>
      <c r="K33" s="9" t="n">
        <f aca="false">IF($H$6=0,"",H33/$H$6)</f>
        <v>0.00234722193861672</v>
      </c>
      <c r="L33" s="10" t="n">
        <v>27130</v>
      </c>
      <c r="M33" s="57" t="n">
        <f aca="false">IF(ISNUMBER(L33),L33/D33,"")</f>
        <v>2713</v>
      </c>
      <c r="N33" s="8" t="n">
        <f aca="false">IF(ISNUMBER(L33),H33-L33,"")</f>
        <v>628</v>
      </c>
      <c r="O33" s="67" t="s">
        <v>231</v>
      </c>
    </row>
    <row r="34" customFormat="false" ht="15" hidden="false" customHeight="false" outlineLevel="0" collapsed="false">
      <c r="A34" s="5" t="n">
        <v>28</v>
      </c>
      <c r="B34" s="5" t="s">
        <v>118</v>
      </c>
      <c r="C34" s="5" t="s">
        <v>223</v>
      </c>
      <c r="D34" s="66" t="n">
        <v>168</v>
      </c>
      <c r="E34" s="10" t="n">
        <v>15354</v>
      </c>
      <c r="F34" s="57" t="n">
        <f aca="false">IF(AND(D34&gt;0,N(E34)&gt;0),E34/D34,"")</f>
        <v>91.3928571428571</v>
      </c>
      <c r="G34" s="48" t="n">
        <f aca="false">IFERROR(INDEX(Prices!$C$6:$C$300,MATCH(B34,Prices!$A$6:$A$300,0)),"")</f>
        <v>127</v>
      </c>
      <c r="H34" s="8" t="n">
        <f aca="false">IF(ISNUMBER(G34),D34*G34,0)</f>
        <v>21336</v>
      </c>
      <c r="I34" s="8" t="n">
        <f aca="false">H34-N(E34)</f>
        <v>5982</v>
      </c>
      <c r="J34" s="9" t="n">
        <f aca="false">IF(N(E34)&gt;0,I34/E34,"")</f>
        <v>0.389605314576006</v>
      </c>
      <c r="K34" s="9" t="n">
        <f aca="false">IF($H$6=0,"",H34/$H$6)</f>
        <v>0.00180417635572903</v>
      </c>
      <c r="L34" s="10" t="n">
        <v>20131</v>
      </c>
      <c r="M34" s="57" t="n">
        <f aca="false">IF(ISNUMBER(L34),L34/D34,"")</f>
        <v>119.827380952381</v>
      </c>
      <c r="N34" s="8" t="n">
        <f aca="false">IF(ISNUMBER(L34),H34-L34,"")</f>
        <v>1205</v>
      </c>
      <c r="O34" s="67" t="s">
        <v>232</v>
      </c>
    </row>
    <row r="35" customFormat="false" ht="15" hidden="false" customHeight="false" outlineLevel="0" collapsed="false">
      <c r="A35" s="5" t="n">
        <v>29</v>
      </c>
      <c r="B35" s="5" t="s">
        <v>135</v>
      </c>
      <c r="C35" s="5" t="s">
        <v>217</v>
      </c>
      <c r="D35" s="66" t="n">
        <v>33</v>
      </c>
      <c r="E35" s="10" t="n">
        <v>40602</v>
      </c>
      <c r="F35" s="57" t="n">
        <f aca="false">IF(AND(D35&gt;0,N(E35)&gt;0),E35/D35,"")</f>
        <v>1230.36363636364</v>
      </c>
      <c r="G35" s="48" t="n">
        <f aca="false">IFERROR(INDEX(Prices!$C$6:$C$300,MATCH(B35,Prices!$A$6:$A$300,0)),"")</f>
        <v>581.3</v>
      </c>
      <c r="H35" s="8" t="n">
        <f aca="false">IF(ISNUMBER(G35),D35*G35,0)</f>
        <v>19182.9</v>
      </c>
      <c r="I35" s="8" t="n">
        <f aca="false">H35-N(E35)</f>
        <v>-21419.1</v>
      </c>
      <c r="J35" s="9" t="n">
        <f aca="false">IF(N(E35)&gt;0,I35/E35,"")</f>
        <v>-0.527538052312694</v>
      </c>
      <c r="K35" s="9" t="n">
        <f aca="false">IF($H$6=0,"",H35/$H$6)</f>
        <v>0.00162210979632144</v>
      </c>
      <c r="L35" s="10" t="n">
        <v>18610</v>
      </c>
      <c r="M35" s="57" t="n">
        <f aca="false">IF(ISNUMBER(L35),L35/D35,"")</f>
        <v>563.939393939394</v>
      </c>
      <c r="N35" s="8" t="n">
        <f aca="false">IF(ISNUMBER(L35),H35-L35,"")</f>
        <v>572.899999999998</v>
      </c>
      <c r="O35" s="67"/>
    </row>
    <row r="36" customFormat="false" ht="15" hidden="false" customHeight="false" outlineLevel="0" collapsed="false">
      <c r="A36" s="5" t="n">
        <v>30</v>
      </c>
      <c r="B36" s="5" t="s">
        <v>102</v>
      </c>
      <c r="C36" s="5" t="s">
        <v>223</v>
      </c>
      <c r="D36" s="66" t="n">
        <v>6</v>
      </c>
      <c r="E36" s="10" t="n">
        <v>23637</v>
      </c>
      <c r="F36" s="57" t="n">
        <f aca="false">IF(AND(D36&gt;0,N(E36)&gt;0),E36/D36,"")</f>
        <v>3939.5</v>
      </c>
      <c r="G36" s="48" t="n">
        <f aca="false">IFERROR(INDEX(Prices!$C$6:$C$300,MATCH(B36,Prices!$A$6:$A$300,0)),"")</f>
        <v>3166</v>
      </c>
      <c r="H36" s="8" t="n">
        <f aca="false">IF(ISNUMBER(G36),D36*G36,0)</f>
        <v>18996</v>
      </c>
      <c r="I36" s="8" t="n">
        <f aca="false">H36-N(E36)</f>
        <v>-4641</v>
      </c>
      <c r="J36" s="9" t="n">
        <f aca="false">IF(N(E36)&gt;0,I36/E36,"")</f>
        <v>-0.196344713796167</v>
      </c>
      <c r="K36" s="9" t="n">
        <f aca="false">IF($H$6=0,"",H36/$H$6)</f>
        <v>0.00160630549556752</v>
      </c>
      <c r="L36" s="10" t="n">
        <v>18758</v>
      </c>
      <c r="M36" s="57" t="n">
        <f aca="false">IF(ISNUMBER(L36),L36/D36,"")</f>
        <v>3126.33333333333</v>
      </c>
      <c r="N36" s="8" t="n">
        <f aca="false">IF(ISNUMBER(L36),H36-L36,"")</f>
        <v>238</v>
      </c>
      <c r="O36" s="67" t="s">
        <v>233</v>
      </c>
    </row>
    <row r="37" customFormat="false" ht="15" hidden="false" customHeight="false" outlineLevel="0" collapsed="false">
      <c r="A37" s="5" t="n">
        <v>31</v>
      </c>
      <c r="B37" s="5" t="s">
        <v>101</v>
      </c>
      <c r="C37" s="5" t="s">
        <v>211</v>
      </c>
      <c r="D37" s="66" t="n">
        <v>17</v>
      </c>
      <c r="E37" s="10" t="n">
        <v>29694</v>
      </c>
      <c r="F37" s="57" t="n">
        <f aca="false">IF(AND(D37&gt;0,N(E37)&gt;0),E37/D37,"")</f>
        <v>1746.70588235294</v>
      </c>
      <c r="G37" s="48" t="n">
        <f aca="false">IFERROR(INDEX(Prices!$C$6:$C$300,MATCH(B37,Prices!$A$6:$A$300,0)),"")</f>
        <v>1089.9</v>
      </c>
      <c r="H37" s="8" t="n">
        <f aca="false">IF(ISNUMBER(G37),D37*G37,0)</f>
        <v>18528.3</v>
      </c>
      <c r="I37" s="8" t="n">
        <f aca="false">H37-N(E37)</f>
        <v>-11165.7</v>
      </c>
      <c r="J37" s="9" t="n">
        <f aca="false">IF(N(E37)&gt;0,I37/E37,"")</f>
        <v>-0.376025459688826</v>
      </c>
      <c r="K37" s="9" t="n">
        <f aca="false">IF($H$6=0,"",H37/$H$6)</f>
        <v>0.00156675669159421</v>
      </c>
      <c r="L37" s="10" t="n">
        <v>18142</v>
      </c>
      <c r="M37" s="57" t="n">
        <f aca="false">IF(ISNUMBER(L37),L37/D37,"")</f>
        <v>1067.17647058824</v>
      </c>
      <c r="N37" s="8" t="n">
        <f aca="false">IF(ISNUMBER(L37),H37-L37,"")</f>
        <v>386.300000000003</v>
      </c>
      <c r="O37" s="67" t="s">
        <v>234</v>
      </c>
    </row>
    <row r="38" customFormat="false" ht="15" hidden="false" customHeight="false" outlineLevel="0" collapsed="false">
      <c r="A38" s="5" t="n">
        <v>32</v>
      </c>
      <c r="B38" s="5" t="s">
        <v>105</v>
      </c>
      <c r="C38" s="5" t="s">
        <v>223</v>
      </c>
      <c r="D38" s="66" t="n">
        <v>6</v>
      </c>
      <c r="E38" s="10" t="n">
        <v>18946</v>
      </c>
      <c r="F38" s="57" t="n">
        <f aca="false">IF(AND(D38&gt;0,N(E38)&gt;0),E38/D38,"")</f>
        <v>3157.66666666667</v>
      </c>
      <c r="G38" s="48" t="n">
        <f aca="false">IFERROR(INDEX(Prices!$C$6:$C$300,MATCH(B38,Prices!$A$6:$A$300,0)),"")</f>
        <v>2370</v>
      </c>
      <c r="H38" s="8" t="n">
        <f aca="false">IF(ISNUMBER(G38),D38*G38,0)</f>
        <v>14220</v>
      </c>
      <c r="I38" s="8" t="n">
        <f aca="false">H38-N(E38)</f>
        <v>-4726</v>
      </c>
      <c r="J38" s="9" t="n">
        <f aca="false">IF(N(E38)&gt;0,I38/E38,"")</f>
        <v>-0.249445793307294</v>
      </c>
      <c r="K38" s="9" t="n">
        <f aca="false">IF($H$6=0,"",H38/$H$6)</f>
        <v>0.00120244599636608</v>
      </c>
      <c r="L38" s="10" t="n">
        <v>13900</v>
      </c>
      <c r="M38" s="57" t="n">
        <f aca="false">IF(ISNUMBER(L38),L38/D38,"")</f>
        <v>2316.66666666667</v>
      </c>
      <c r="N38" s="8" t="n">
        <f aca="false">IF(ISNUMBER(L38),H38-L38,"")</f>
        <v>320</v>
      </c>
      <c r="O38" s="67" t="s">
        <v>233</v>
      </c>
    </row>
    <row r="39" customFormat="false" ht="15" hidden="false" customHeight="false" outlineLevel="0" collapsed="false">
      <c r="A39" s="5" t="n">
        <v>33</v>
      </c>
      <c r="B39" s="5" t="s">
        <v>148</v>
      </c>
      <c r="C39" s="5" t="s">
        <v>235</v>
      </c>
      <c r="D39" s="66" t="n">
        <v>50</v>
      </c>
      <c r="E39" s="10" t="n">
        <v>13962</v>
      </c>
      <c r="F39" s="57" t="n">
        <f aca="false">IF(AND(D39&gt;0,N(E39)&gt;0),E39/D39,"")</f>
        <v>279.24</v>
      </c>
      <c r="G39" s="48" t="n">
        <f aca="false">IFERROR(INDEX(Prices!$C$6:$C$300,MATCH(B39,Prices!$A$6:$A$300,0)),"")</f>
        <v>266.55</v>
      </c>
      <c r="H39" s="8" t="n">
        <f aca="false">IF(ISNUMBER(G39),D39*G39,0)</f>
        <v>13327.5</v>
      </c>
      <c r="I39" s="8" t="n">
        <f aca="false">H39-N(E39)</f>
        <v>-634.5</v>
      </c>
      <c r="J39" s="9" t="n">
        <f aca="false">IF(N(E39)&gt;0,I39/E39,"")</f>
        <v>-0.0454447786850022</v>
      </c>
      <c r="K39" s="9" t="n">
        <f aca="false">IF($H$6=0,"",H39/$H$6)</f>
        <v>0.00112697602085576</v>
      </c>
      <c r="L39" s="10" t="n">
        <v>12668</v>
      </c>
      <c r="M39" s="57" t="n">
        <f aca="false">IF(ISNUMBER(L39),L39/D39,"")</f>
        <v>253.36</v>
      </c>
      <c r="N39" s="8" t="n">
        <f aca="false">IF(ISNUMBER(L39),H39-L39,"")</f>
        <v>659.5</v>
      </c>
      <c r="O39" s="67"/>
    </row>
    <row r="40" customFormat="false" ht="15" hidden="false" customHeight="false" outlineLevel="0" collapsed="false">
      <c r="A40" s="5" t="n">
        <v>34</v>
      </c>
      <c r="B40" s="5" t="s">
        <v>150</v>
      </c>
      <c r="C40" s="5" t="s">
        <v>235</v>
      </c>
      <c r="D40" s="66" t="n">
        <v>35</v>
      </c>
      <c r="E40" s="10" t="n">
        <v>19821</v>
      </c>
      <c r="F40" s="57" t="n">
        <f aca="false">IF(AND(D40&gt;0,N(E40)&gt;0),E40/D40,"")</f>
        <v>566.314285714286</v>
      </c>
      <c r="G40" s="48" t="n">
        <f aca="false">IFERROR(INDEX(Prices!$C$6:$C$300,MATCH(B40,Prices!$A$6:$A$300,0)),"")</f>
        <v>316.8</v>
      </c>
      <c r="H40" s="8" t="n">
        <f aca="false">IF(ISNUMBER(G40),D40*G40,0)</f>
        <v>11088</v>
      </c>
      <c r="I40" s="8" t="n">
        <f aca="false">H40-N(E40)</f>
        <v>-8733</v>
      </c>
      <c r="J40" s="9" t="n">
        <f aca="false">IF(N(E40)&gt;0,I40/E40,"")</f>
        <v>-0.440593310125624</v>
      </c>
      <c r="K40" s="9" t="n">
        <f aca="false">IF($H$6=0,"",H40/$H$6)</f>
        <v>0.000937603460457604</v>
      </c>
      <c r="L40" s="10" t="n">
        <v>10747</v>
      </c>
      <c r="M40" s="57" t="n">
        <f aca="false">IF(ISNUMBER(L40),L40/D40,"")</f>
        <v>307.057142857143</v>
      </c>
      <c r="N40" s="8" t="n">
        <f aca="false">IF(ISNUMBER(L40),H40-L40,"")</f>
        <v>341</v>
      </c>
      <c r="O40" s="67"/>
    </row>
    <row r="41" customFormat="false" ht="15" hidden="false" customHeight="false" outlineLevel="0" collapsed="false">
      <c r="A41" s="5" t="n">
        <v>35</v>
      </c>
      <c r="B41" s="5" t="s">
        <v>151</v>
      </c>
      <c r="C41" s="5" t="s">
        <v>217</v>
      </c>
      <c r="D41" s="66" t="n">
        <v>14</v>
      </c>
      <c r="E41" s="10" t="n">
        <v>22090</v>
      </c>
      <c r="F41" s="57" t="n">
        <f aca="false">IF(AND(D41&gt;0,N(E41)&gt;0),E41/D41,"")</f>
        <v>1577.85714285714</v>
      </c>
      <c r="G41" s="48" t="n">
        <f aca="false">IFERROR(INDEX(Prices!$C$6:$C$300,MATCH(B41,Prices!$A$6:$A$300,0)),"")</f>
        <v>748.05</v>
      </c>
      <c r="H41" s="8" t="n">
        <f aca="false">IF(ISNUMBER(G41),D41*G41,0)</f>
        <v>10472.7</v>
      </c>
      <c r="I41" s="8" t="n">
        <f aca="false">H41-N(E41)</f>
        <v>-11617.3</v>
      </c>
      <c r="J41" s="9" t="n">
        <f aca="false">IF(N(E41)&gt;0,I41/E41,"")</f>
        <v>-0.525907650520598</v>
      </c>
      <c r="K41" s="9" t="n">
        <f aca="false">IF($H$6=0,"",H41/$H$6)</f>
        <v>0.000885573571458726</v>
      </c>
      <c r="L41" s="10" t="n">
        <v>10168</v>
      </c>
      <c r="M41" s="57" t="n">
        <f aca="false">IF(ISNUMBER(L41),L41/D41,"")</f>
        <v>726.285714285714</v>
      </c>
      <c r="N41" s="8" t="n">
        <f aca="false">IF(ISNUMBER(L41),H41-L41,"")</f>
        <v>304.699999999999</v>
      </c>
      <c r="O41" s="67"/>
    </row>
    <row r="42" customFormat="false" ht="15" hidden="false" customHeight="false" outlineLevel="0" collapsed="false">
      <c r="A42" s="5" t="n">
        <v>36</v>
      </c>
      <c r="B42" s="5" t="s">
        <v>152</v>
      </c>
      <c r="C42" s="5" t="s">
        <v>223</v>
      </c>
      <c r="D42" s="66" t="n">
        <v>34</v>
      </c>
      <c r="E42" s="10" t="n">
        <v>10336</v>
      </c>
      <c r="F42" s="57" t="n">
        <f aca="false">IF(AND(D42&gt;0,N(E42)&gt;0),E42/D42,"")</f>
        <v>304</v>
      </c>
      <c r="G42" s="48" t="n">
        <f aca="false">IFERROR(INDEX(Prices!$C$6:$C$300,MATCH(B42,Prices!$A$6:$A$300,0)),"")</f>
        <v>304.45</v>
      </c>
      <c r="H42" s="8" t="n">
        <f aca="false">IF(ISNUMBER(G42),D42*G42,0)</f>
        <v>10351.3</v>
      </c>
      <c r="I42" s="8" t="n">
        <f aca="false">H42-N(E42)</f>
        <v>15.2999999999993</v>
      </c>
      <c r="J42" s="9" t="n">
        <f aca="false">IF(N(E42)&gt;0,I42/E42,"")</f>
        <v>0.00148026315789467</v>
      </c>
      <c r="K42" s="9" t="n">
        <f aca="false">IF($H$6=0,"",H42/$H$6)</f>
        <v>0.000875307963585389</v>
      </c>
      <c r="L42" s="10" t="n">
        <v>10411</v>
      </c>
      <c r="M42" s="57" t="n">
        <f aca="false">IF(ISNUMBER(L42),L42/D42,"")</f>
        <v>306.205882352941</v>
      </c>
      <c r="N42" s="8" t="n">
        <f aca="false">IF(ISNUMBER(L42),H42-L42,"")</f>
        <v>-59.7000000000007</v>
      </c>
      <c r="O42" s="67" t="s">
        <v>236</v>
      </c>
    </row>
    <row r="43" customFormat="false" ht="15" hidden="false" customHeight="false" outlineLevel="0" collapsed="false">
      <c r="A43" s="5" t="n">
        <v>37</v>
      </c>
      <c r="B43" s="5" t="s">
        <v>108</v>
      </c>
      <c r="C43" s="5" t="s">
        <v>217</v>
      </c>
      <c r="D43" s="66" t="n">
        <v>32</v>
      </c>
      <c r="E43" s="10" t="n">
        <v>3256</v>
      </c>
      <c r="F43" s="57" t="n">
        <f aca="false">IF(AND(D43&gt;0,N(E43)&gt;0),E43/D43,"")</f>
        <v>101.75</v>
      </c>
      <c r="G43" s="48" t="n">
        <f aca="false">IFERROR(INDEX(Prices!$C$6:$C$300,MATCH(B43,Prices!$A$6:$A$300,0)),"")</f>
        <v>210.8</v>
      </c>
      <c r="H43" s="8" t="n">
        <f aca="false">IF(ISNUMBER(G43),D43*G43,0)</f>
        <v>6745.6</v>
      </c>
      <c r="I43" s="8" t="n">
        <f aca="false">H43-N(E43)</f>
        <v>3489.6</v>
      </c>
      <c r="J43" s="9" t="n">
        <f aca="false">IF(N(E43)&gt;0,I43/E43,"")</f>
        <v>1.07174447174447</v>
      </c>
      <c r="K43" s="9" t="n">
        <f aca="false">IF($H$6=0,"",H43/$H$6)</f>
        <v>0.000570409262523703</v>
      </c>
      <c r="L43" s="10" t="n">
        <v>6556</v>
      </c>
      <c r="M43" s="57" t="n">
        <f aca="false">IF(ISNUMBER(L43),L43/D43,"")</f>
        <v>204.875</v>
      </c>
      <c r="N43" s="8" t="n">
        <f aca="false">IF(ISNUMBER(L43),H43-L43,"")</f>
        <v>189.6</v>
      </c>
      <c r="O43" s="67"/>
    </row>
    <row r="44" customFormat="false" ht="15" hidden="false" customHeight="false" outlineLevel="0" collapsed="false">
      <c r="A44" s="5" t="n">
        <v>38</v>
      </c>
      <c r="B44" s="5" t="s">
        <v>157</v>
      </c>
      <c r="C44" s="5" t="s">
        <v>217</v>
      </c>
      <c r="D44" s="66" t="n">
        <v>3</v>
      </c>
      <c r="E44" s="10" t="n">
        <v>12327</v>
      </c>
      <c r="F44" s="57" t="n">
        <f aca="false">IF(AND(D44&gt;0,N(E44)&gt;0),E44/D44,"")</f>
        <v>4109</v>
      </c>
      <c r="G44" s="48" t="n">
        <f aca="false">IFERROR(INDEX(Prices!$C$6:$C$300,MATCH(B44,Prices!$A$6:$A$300,0)),"")</f>
        <v>1704.2</v>
      </c>
      <c r="H44" s="8" t="n">
        <f aca="false">IF(ISNUMBER(G44),D44*G44,0)</f>
        <v>5112.6</v>
      </c>
      <c r="I44" s="8" t="n">
        <f aca="false">H44-N(E44)</f>
        <v>-7214.4</v>
      </c>
      <c r="J44" s="9" t="n">
        <f aca="false">IF(N(E44)&gt;0,I44/E44,"")</f>
        <v>-0.585251886103675</v>
      </c>
      <c r="K44" s="9" t="n">
        <f aca="false">IF($H$6=0,"",H44/$H$6)</f>
        <v>0.000432322461393899</v>
      </c>
      <c r="L44" s="10" t="n">
        <v>4865</v>
      </c>
      <c r="M44" s="57" t="n">
        <f aca="false">IF(ISNUMBER(L44),L44/D44,"")</f>
        <v>1621.66666666667</v>
      </c>
      <c r="N44" s="8" t="n">
        <f aca="false">IF(ISNUMBER(L44),H44-L44,"")</f>
        <v>247.6</v>
      </c>
      <c r="O44" s="67"/>
    </row>
    <row r="45" customFormat="false" ht="15" hidden="false" customHeight="false" outlineLevel="0" collapsed="false">
      <c r="A45" s="5" t="n">
        <v>39</v>
      </c>
      <c r="B45" s="5" t="s">
        <v>95</v>
      </c>
      <c r="C45" s="5" t="s">
        <v>223</v>
      </c>
      <c r="D45" s="66" t="n">
        <v>4</v>
      </c>
      <c r="E45" s="10" t="n">
        <v>5559</v>
      </c>
      <c r="F45" s="57" t="n">
        <f aca="false">IF(AND(D45&gt;0,N(E45)&gt;0),E45/D45,"")</f>
        <v>1389.75</v>
      </c>
      <c r="G45" s="48" t="n">
        <f aca="false">IFERROR(INDEX(Prices!$C$6:$C$300,MATCH(B45,Prices!$A$6:$A$300,0)),"")</f>
        <v>1000</v>
      </c>
      <c r="H45" s="8" t="n">
        <f aca="false">IF(ISNUMBER(G45),D45*G45,0)</f>
        <v>4000</v>
      </c>
      <c r="I45" s="8" t="n">
        <f aca="false">H45-N(E45)</f>
        <v>-1559</v>
      </c>
      <c r="J45" s="9" t="n">
        <f aca="false">IF(N(E45)&gt;0,I45/E45,"")</f>
        <v>-0.28044612340349</v>
      </c>
      <c r="K45" s="9" t="n">
        <f aca="false">IF($H$6=0,"",H45/$H$6)</f>
        <v>0.000338240786600867</v>
      </c>
      <c r="L45" s="10" t="n">
        <v>5559</v>
      </c>
      <c r="M45" s="57" t="n">
        <f aca="false">IF(ISNUMBER(L45),L45/D45,"")</f>
        <v>1389.75</v>
      </c>
      <c r="N45" s="8" t="n">
        <f aca="false">IF(ISNUMBER(L45),H45-L45,"")</f>
        <v>-1559</v>
      </c>
      <c r="O45" s="67" t="s">
        <v>237</v>
      </c>
    </row>
    <row r="46" customFormat="false" ht="15" hidden="false" customHeight="false" outlineLevel="0" collapsed="false">
      <c r="A46" s="5" t="n">
        <v>40</v>
      </c>
      <c r="B46" s="5" t="s">
        <v>104</v>
      </c>
      <c r="C46" s="5" t="s">
        <v>217</v>
      </c>
      <c r="D46" s="66" t="n">
        <v>5</v>
      </c>
      <c r="E46" s="10" t="n">
        <v>3317</v>
      </c>
      <c r="F46" s="57" t="n">
        <f aca="false">IF(AND(D46&gt;0,N(E46)&gt;0),E46/D46,"")</f>
        <v>663.4</v>
      </c>
      <c r="G46" s="48" t="n">
        <f aca="false">IFERROR(INDEX(Prices!$C$6:$C$300,MATCH(B46,Prices!$A$6:$A$300,0)),"")</f>
        <v>788.1</v>
      </c>
      <c r="H46" s="8" t="n">
        <f aca="false">IF(ISNUMBER(G46),D46*G46,0)</f>
        <v>3940.5</v>
      </c>
      <c r="I46" s="8" t="n">
        <f aca="false">H46-N(E46)</f>
        <v>623.5</v>
      </c>
      <c r="J46" s="9" t="n">
        <f aca="false">IF(N(E46)&gt;0,I46/E46,"")</f>
        <v>0.187971058185107</v>
      </c>
      <c r="K46" s="9" t="n">
        <f aca="false">IF($H$6=0,"",H46/$H$6)</f>
        <v>0.000333209454900179</v>
      </c>
      <c r="L46" s="10" t="n">
        <v>3815</v>
      </c>
      <c r="M46" s="57" t="n">
        <f aca="false">IF(ISNUMBER(L46),L46/D46,"")</f>
        <v>763</v>
      </c>
      <c r="N46" s="8" t="n">
        <f aca="false">IF(ISNUMBER(L46),H46-L46,"")</f>
        <v>125.5</v>
      </c>
      <c r="O46" s="67"/>
    </row>
    <row r="47" customFormat="false" ht="15" hidden="false" customHeight="false" outlineLevel="0" collapsed="false">
      <c r="A47" s="5" t="n">
        <v>41</v>
      </c>
      <c r="B47" s="5" t="s">
        <v>159</v>
      </c>
      <c r="C47" s="5" t="s">
        <v>217</v>
      </c>
      <c r="D47" s="66" t="n">
        <v>5</v>
      </c>
      <c r="E47" s="10" t="n">
        <v>3380</v>
      </c>
      <c r="F47" s="57" t="n">
        <f aca="false">IF(AND(D47&gt;0,N(E47)&gt;0),E47/D47,"")</f>
        <v>676</v>
      </c>
      <c r="G47" s="48" t="n">
        <f aca="false">IFERROR(INDEX(Prices!$C$6:$C$300,MATCH(B47,Prices!$A$6:$A$300,0)),"")</f>
        <v>749.6</v>
      </c>
      <c r="H47" s="8" t="n">
        <f aca="false">IF(ISNUMBER(G47),D47*G47,0)</f>
        <v>3748</v>
      </c>
      <c r="I47" s="8" t="n">
        <f aca="false">H47-N(E47)</f>
        <v>368</v>
      </c>
      <c r="J47" s="9" t="n">
        <f aca="false">IF(N(E47)&gt;0,I47/E47,"")</f>
        <v>0.10887573964497</v>
      </c>
      <c r="K47" s="9" t="n">
        <f aca="false">IF($H$6=0,"",H47/$H$6)</f>
        <v>0.000316931617045013</v>
      </c>
      <c r="L47" s="10" t="n">
        <v>3606</v>
      </c>
      <c r="M47" s="57" t="n">
        <f aca="false">IF(ISNUMBER(L47),L47/D47,"")</f>
        <v>721.2</v>
      </c>
      <c r="N47" s="8" t="n">
        <f aca="false">IF(ISNUMBER(L47),H47-L47,"")</f>
        <v>142</v>
      </c>
      <c r="O47" s="67"/>
    </row>
    <row r="48" customFormat="false" ht="15" hidden="false" customHeight="false" outlineLevel="0" collapsed="false">
      <c r="A48" s="5" t="n">
        <v>42</v>
      </c>
      <c r="B48" s="5" t="s">
        <v>160</v>
      </c>
      <c r="C48" s="5" t="s">
        <v>217</v>
      </c>
      <c r="D48" s="66" t="n">
        <v>1</v>
      </c>
      <c r="E48" s="10" t="n">
        <v>6103</v>
      </c>
      <c r="F48" s="57" t="n">
        <f aca="false">IF(AND(D48&gt;0,N(E48)&gt;0),E48/D48,"")</f>
        <v>6103</v>
      </c>
      <c r="G48" s="48" t="n">
        <f aca="false">IFERROR(INDEX(Prices!$C$6:$C$300,MATCH(B48,Prices!$A$6:$A$300,0)),"")</f>
        <v>3688.9</v>
      </c>
      <c r="H48" s="8" t="n">
        <f aca="false">IF(ISNUMBER(G48),D48*G48,0)</f>
        <v>3688.9</v>
      </c>
      <c r="I48" s="8" t="n">
        <f aca="false">H48-N(E48)</f>
        <v>-2414.1</v>
      </c>
      <c r="J48" s="9" t="n">
        <f aca="false">IF(N(E48)&gt;0,I48/E48,"")</f>
        <v>-0.395559560871702</v>
      </c>
      <c r="K48" s="9" t="n">
        <f aca="false">IF($H$6=0,"",H48/$H$6)</f>
        <v>0.000311934109422985</v>
      </c>
      <c r="L48" s="10" t="n">
        <v>3601</v>
      </c>
      <c r="M48" s="57" t="n">
        <f aca="false">IF(ISNUMBER(L48),L48/D48,"")</f>
        <v>3601</v>
      </c>
      <c r="N48" s="8" t="n">
        <f aca="false">IF(ISNUMBER(L48),H48-L48,"")</f>
        <v>87.9000000000001</v>
      </c>
      <c r="O48" s="67"/>
    </row>
    <row r="49" customFormat="false" ht="15" hidden="false" customHeight="false" outlineLevel="0" collapsed="false">
      <c r="A49" s="5" t="n">
        <v>43</v>
      </c>
      <c r="B49" s="5" t="s">
        <v>156</v>
      </c>
      <c r="C49" s="5" t="s">
        <v>223</v>
      </c>
      <c r="D49" s="66" t="n">
        <v>5</v>
      </c>
      <c r="E49" s="10" t="n">
        <v>5105</v>
      </c>
      <c r="F49" s="57" t="n">
        <f aca="false">IF(AND(D49&gt;0,N(E49)&gt;0),E49/D49,"")</f>
        <v>1021</v>
      </c>
      <c r="G49" s="48" t="n">
        <f aca="false">IFERROR(INDEX(Prices!$C$6:$C$300,MATCH(B49,Prices!$A$6:$A$300,0)),"")</f>
        <v>718.95</v>
      </c>
      <c r="H49" s="8" t="n">
        <f aca="false">IF(ISNUMBER(G49),D49*G49,0)</f>
        <v>3594.75</v>
      </c>
      <c r="I49" s="8" t="n">
        <f aca="false">H49-N(E49)</f>
        <v>-1510.25</v>
      </c>
      <c r="J49" s="9" t="n">
        <f aca="false">IF(N(E49)&gt;0,I49/E49,"")</f>
        <v>-0.295837414299706</v>
      </c>
      <c r="K49" s="9" t="n">
        <f aca="false">IF($H$6=0,"",H49/$H$6)</f>
        <v>0.000303972766908367</v>
      </c>
      <c r="L49" s="10" t="n">
        <v>3398</v>
      </c>
      <c r="M49" s="57" t="n">
        <f aca="false">IF(ISNUMBER(L49),L49/D49,"")</f>
        <v>679.6</v>
      </c>
      <c r="N49" s="8" t="n">
        <f aca="false">IF(ISNUMBER(L49),H49-L49,"")</f>
        <v>196.75</v>
      </c>
      <c r="O49" s="67" t="s">
        <v>238</v>
      </c>
    </row>
    <row r="50" customFormat="false" ht="15" hidden="false" customHeight="false" outlineLevel="0" collapsed="false">
      <c r="A50" s="5" t="n">
        <v>44</v>
      </c>
      <c r="B50" s="5" t="s">
        <v>162</v>
      </c>
      <c r="C50" s="5" t="s">
        <v>217</v>
      </c>
      <c r="D50" s="66" t="n">
        <v>6</v>
      </c>
      <c r="E50" s="10" t="n">
        <v>3768</v>
      </c>
      <c r="F50" s="57" t="n">
        <f aca="false">IF(AND(D50&gt;0,N(E50)&gt;0),E50/D50,"")</f>
        <v>628</v>
      </c>
      <c r="G50" s="48" t="n">
        <f aca="false">IFERROR(INDEX(Prices!$C$6:$C$300,MATCH(B50,Prices!$A$6:$A$300,0)),"")</f>
        <v>380.05</v>
      </c>
      <c r="H50" s="8" t="n">
        <f aca="false">IF(ISNUMBER(G50),D50*G50,0)</f>
        <v>2280.3</v>
      </c>
      <c r="I50" s="8" t="n">
        <f aca="false">H50-N(E50)</f>
        <v>-1487.7</v>
      </c>
      <c r="J50" s="9" t="n">
        <f aca="false">IF(N(E50)&gt;0,I50/E50,"")</f>
        <v>-0.394824840764331</v>
      </c>
      <c r="K50" s="9" t="n">
        <f aca="false">IF($H$6=0,"",H50/$H$6)</f>
        <v>0.000192822616421489</v>
      </c>
      <c r="L50" s="10" t="n">
        <v>2241</v>
      </c>
      <c r="M50" s="57" t="n">
        <f aca="false">IF(ISNUMBER(L50),L50/D50,"")</f>
        <v>373.5</v>
      </c>
      <c r="N50" s="8" t="n">
        <f aca="false">IF(ISNUMBER(L50),H50-L50,"")</f>
        <v>39.3000000000002</v>
      </c>
      <c r="O50" s="67"/>
    </row>
    <row r="51" customFormat="false" ht="15" hidden="false" customHeight="false" outlineLevel="0" collapsed="false">
      <c r="A51" s="5" t="n">
        <v>45</v>
      </c>
      <c r="B51" s="5" t="s">
        <v>163</v>
      </c>
      <c r="C51" s="5" t="s">
        <v>217</v>
      </c>
      <c r="D51" s="66" t="n">
        <v>1</v>
      </c>
      <c r="E51" s="10" t="n">
        <v>2393</v>
      </c>
      <c r="F51" s="57" t="n">
        <f aca="false">IF(AND(D51&gt;0,N(E51)&gt;0),E51/D51,"")</f>
        <v>2393</v>
      </c>
      <c r="G51" s="48" t="n">
        <f aca="false">IFERROR(INDEX(Prices!$C$6:$C$300,MATCH(B51,Prices!$A$6:$A$300,0)),"")</f>
        <v>1487.4</v>
      </c>
      <c r="H51" s="8" t="n">
        <f aca="false">IF(ISNUMBER(G51),D51*G51,0)</f>
        <v>1487.4</v>
      </c>
      <c r="I51" s="8" t="n">
        <f aca="false">H51-N(E51)</f>
        <v>-905.6</v>
      </c>
      <c r="J51" s="9" t="n">
        <f aca="false">IF(N(E51)&gt;0,I51/E51,"")</f>
        <v>-0.378437108232344</v>
      </c>
      <c r="K51" s="9" t="n">
        <f aca="false">IF($H$6=0,"",H51/$H$6)</f>
        <v>0.000125774836497533</v>
      </c>
      <c r="L51" s="10" t="n">
        <v>1427</v>
      </c>
      <c r="M51" s="57" t="n">
        <f aca="false">IF(ISNUMBER(L51),L51/D51,"")</f>
        <v>1427</v>
      </c>
      <c r="N51" s="8" t="n">
        <f aca="false">IF(ISNUMBER(L51),H51-L51,"")</f>
        <v>60.4000000000001</v>
      </c>
      <c r="O51" s="67"/>
    </row>
    <row r="52" customFormat="false" ht="15" hidden="false" customHeight="false" outlineLevel="0" collapsed="false">
      <c r="A52" s="5" t="n">
        <v>46</v>
      </c>
      <c r="B52" s="5" t="s">
        <v>139</v>
      </c>
      <c r="C52" s="5" t="s">
        <v>217</v>
      </c>
      <c r="D52" s="66" t="n">
        <v>12</v>
      </c>
      <c r="E52" s="10" t="n">
        <v>2262</v>
      </c>
      <c r="F52" s="57" t="n">
        <f aca="false">IF(AND(D52&gt;0,N(E52)&gt;0),E52/D52,"")</f>
        <v>188.5</v>
      </c>
      <c r="G52" s="48" t="n">
        <f aca="false">IFERROR(INDEX(Prices!$C$6:$C$300,MATCH(B52,Prices!$A$6:$A$300,0)),"")</f>
        <v>104</v>
      </c>
      <c r="H52" s="8" t="n">
        <f aca="false">IF(ISNUMBER(G52),D52*G52,0)</f>
        <v>1248</v>
      </c>
      <c r="I52" s="8" t="n">
        <f aca="false">H52-N(E52)</f>
        <v>-1014</v>
      </c>
      <c r="J52" s="9" t="n">
        <f aca="false">IF(N(E52)&gt;0,I52/E52,"")</f>
        <v>-0.448275862068966</v>
      </c>
      <c r="K52" s="9" t="n">
        <f aca="false">IF($H$6=0,"",H52/$H$6)</f>
        <v>0.000105531125419471</v>
      </c>
      <c r="L52" s="10" t="n">
        <v>1209</v>
      </c>
      <c r="M52" s="57" t="n">
        <f aca="false">IF(ISNUMBER(L52),L52/D52,"")</f>
        <v>100.75</v>
      </c>
      <c r="N52" s="8" t="n">
        <f aca="false">IF(ISNUMBER(L52),H52-L52,"")</f>
        <v>39</v>
      </c>
      <c r="O52" s="67"/>
    </row>
    <row r="53" customFormat="false" ht="15" hidden="false" customHeight="false" outlineLevel="0" collapsed="false">
      <c r="A53" s="5" t="n">
        <v>47</v>
      </c>
      <c r="B53" s="5" t="s">
        <v>165</v>
      </c>
      <c r="C53" s="5" t="s">
        <v>217</v>
      </c>
      <c r="D53" s="66" t="n">
        <v>5</v>
      </c>
      <c r="E53" s="10" t="n">
        <v>1680</v>
      </c>
      <c r="F53" s="57" t="n">
        <f aca="false">IF(AND(D53&gt;0,N(E53)&gt;0),E53/D53,"")</f>
        <v>336</v>
      </c>
      <c r="G53" s="48" t="n">
        <f aca="false">IFERROR(INDEX(Prices!$C$6:$C$300,MATCH(B53,Prices!$A$6:$A$300,0)),"")</f>
        <v>195.22</v>
      </c>
      <c r="H53" s="8" t="n">
        <f aca="false">IF(ISNUMBER(G53),D53*G53,0)</f>
        <v>976.1</v>
      </c>
      <c r="I53" s="8" t="n">
        <f aca="false">H53-N(E53)</f>
        <v>-703.9</v>
      </c>
      <c r="J53" s="9" t="n">
        <f aca="false">IF(N(E53)&gt;0,I53/E53,"")</f>
        <v>-0.418988095238095</v>
      </c>
      <c r="K53" s="9" t="n">
        <f aca="false">IF($H$6=0,"",H53/$H$6)</f>
        <v>8.25392079502766E-005</v>
      </c>
      <c r="L53" s="10" t="n">
        <v>936</v>
      </c>
      <c r="M53" s="57" t="n">
        <f aca="false">IF(ISNUMBER(L53),L53/D53,"")</f>
        <v>187.2</v>
      </c>
      <c r="N53" s="8" t="n">
        <f aca="false">IF(ISNUMBER(L53),H53-L53,"")</f>
        <v>40.1</v>
      </c>
      <c r="O53" s="67"/>
    </row>
  </sheetData>
  <conditionalFormatting sqref="G7:G300">
    <cfRule type="expression" priority="2" aboveAverage="0" equalAverage="0" bottom="0" percent="0" rank="0" text="" dxfId="0">
      <formula>ISNUMBER(SEARCH("stale",INDEX(Prices!$D$6:$D$300,MATCH($B7,Prices!$A$6:$A$300,0))))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3" min="3" style="0" width="17"/>
    <col collapsed="false" customWidth="true" hidden="false" outlineLevel="0" max="4" min="4" style="0" width="10"/>
    <col collapsed="false" customWidth="true" hidden="false" outlineLevel="0" max="5" min="5" style="0" width="14"/>
    <col collapsed="false" customWidth="true" hidden="false" outlineLevel="0" max="6" min="6" style="0" width="12"/>
    <col collapsed="false" customWidth="true" hidden="false" outlineLevel="0" max="7" min="7" style="0" width="11"/>
    <col collapsed="false" customWidth="true" hidden="false" outlineLevel="0" max="8" min="8" style="0" width="14"/>
    <col collapsed="false" customWidth="true" hidden="false" outlineLevel="0" max="9" min="9" style="0" width="13"/>
    <col collapsed="false" customWidth="true" hidden="false" outlineLevel="0" max="10" min="10" style="0" width="8"/>
    <col collapsed="false" customWidth="true" hidden="false" outlineLevel="0" max="11" min="11" style="0" width="9"/>
    <col collapsed="false" customWidth="true" hidden="false" outlineLevel="0" max="12" min="12" style="0" width="14"/>
    <col collapsed="false" customWidth="true" hidden="false" outlineLevel="0" max="13" min="13" style="0" width="11"/>
    <col collapsed="false" customWidth="true" hidden="false" outlineLevel="0" max="14" min="14" style="0" width="13"/>
    <col collapsed="false" customWidth="true" hidden="false" outlineLevel="0" max="15" min="15" style="0" width="38"/>
    <col collapsed="false" customWidth="true" hidden="false" outlineLevel="0" max="17" min="17" style="0" width="19"/>
    <col collapsed="false" customWidth="true" hidden="false" outlineLevel="0" max="18" min="18" style="0" width="6"/>
    <col collapsed="false" customWidth="true" hidden="false" outlineLevel="0" max="19" min="19" style="0" width="24"/>
    <col collapsed="false" customWidth="true" hidden="false" outlineLevel="0" max="20" min="20" style="0" width="6"/>
    <col collapsed="false" customWidth="true" hidden="false" outlineLevel="0" max="21" min="21" style="0" width="12"/>
    <col collapsed="false" customWidth="true" hidden="false" outlineLevel="0" max="22" min="22" style="0" width="11"/>
  </cols>
  <sheetData>
    <row r="1" customFormat="false" ht="17.35" hidden="false" customHeight="false" outlineLevel="0" collapsed="false">
      <c r="A1" s="1" t="s">
        <v>65</v>
      </c>
    </row>
    <row r="2" customFormat="false" ht="15" hidden="false" customHeight="false" outlineLevel="0" collapsed="false">
      <c r="A2" s="2" t="s">
        <v>239</v>
      </c>
    </row>
    <row r="3" customFormat="false" ht="15" hidden="false" customHeight="false" outlineLevel="0" collapsed="false">
      <c r="A3" s="2" t="s">
        <v>186</v>
      </c>
    </row>
    <row r="5" customFormat="false" ht="31.5" hidden="false" customHeight="true" outlineLevel="0" collapsed="false">
      <c r="A5" s="24" t="s">
        <v>69</v>
      </c>
      <c r="B5" s="24" t="s">
        <v>187</v>
      </c>
      <c r="C5" s="24" t="s">
        <v>3</v>
      </c>
      <c r="D5" s="24" t="s">
        <v>188</v>
      </c>
      <c r="E5" s="24" t="s">
        <v>189</v>
      </c>
      <c r="F5" s="24" t="s">
        <v>74</v>
      </c>
      <c r="G5" s="24" t="s">
        <v>70</v>
      </c>
      <c r="H5" s="24" t="s">
        <v>8</v>
      </c>
      <c r="I5" s="24" t="s">
        <v>9</v>
      </c>
      <c r="J5" s="24" t="s">
        <v>10</v>
      </c>
      <c r="K5" s="24" t="s">
        <v>190</v>
      </c>
      <c r="L5" s="24" t="s">
        <v>191</v>
      </c>
      <c r="M5" s="24" t="s">
        <v>192</v>
      </c>
      <c r="N5" s="24" t="s">
        <v>193</v>
      </c>
      <c r="O5" s="24" t="s">
        <v>194</v>
      </c>
      <c r="Q5" s="31" t="s">
        <v>240</v>
      </c>
    </row>
    <row r="6" customFormat="false" ht="15" hidden="false" customHeight="false" outlineLevel="0" collapsed="false">
      <c r="A6" s="12"/>
      <c r="B6" s="12" t="s">
        <v>78</v>
      </c>
      <c r="C6" s="12"/>
      <c r="D6" s="12"/>
      <c r="E6" s="81" t="n">
        <f aca="false">SUM(E7:E31)</f>
        <v>11014028</v>
      </c>
      <c r="F6" s="12"/>
      <c r="G6" s="12"/>
      <c r="H6" s="81" t="n">
        <f aca="false">SUM(H7:H31)</f>
        <v>11167525.65</v>
      </c>
      <c r="I6" s="81" t="n">
        <f aca="false">H6-E6</f>
        <v>153497.65</v>
      </c>
      <c r="J6" s="82" t="n">
        <f aca="false">IF(E6&gt;0,I6/E6,"")</f>
        <v>0.0139365589046987</v>
      </c>
      <c r="K6" s="82" t="n">
        <f aca="false">SUM(K7:K31)</f>
        <v>1</v>
      </c>
      <c r="L6" s="81" t="n">
        <f aca="false">SUM(L7:L31)</f>
        <v>3325492</v>
      </c>
      <c r="M6" s="12"/>
      <c r="N6" s="81" t="n">
        <f aca="false">SUM(N7:N31)</f>
        <v>-84948.35</v>
      </c>
      <c r="O6" s="12"/>
      <c r="Q6" s="24" t="s">
        <v>196</v>
      </c>
      <c r="R6" s="24" t="s">
        <v>197</v>
      </c>
      <c r="S6" s="24" t="s">
        <v>198</v>
      </c>
      <c r="T6" s="24" t="s">
        <v>73</v>
      </c>
      <c r="U6" s="24" t="s">
        <v>199</v>
      </c>
      <c r="V6" s="24" t="s">
        <v>200</v>
      </c>
    </row>
    <row r="7" customFormat="false" ht="15" hidden="false" customHeight="false" outlineLevel="0" collapsed="false">
      <c r="A7" s="5" t="n">
        <v>1</v>
      </c>
      <c r="B7" s="5" t="s">
        <v>79</v>
      </c>
      <c r="C7" s="5" t="s">
        <v>24</v>
      </c>
      <c r="D7" s="66" t="n">
        <v>4713</v>
      </c>
      <c r="E7" s="10" t="n">
        <v>4439078</v>
      </c>
      <c r="F7" s="57" t="n">
        <f aca="false">IF(AND(D7&gt;0,N(E7)&gt;0),E7/D7,"")</f>
        <v>941.879482283047</v>
      </c>
      <c r="G7" s="48" t="n">
        <f aca="false">IFERROR(INDEX(Prices!$C$6:$C$300,MATCH(B7,Prices!$A$6:$A$300,0)),"")</f>
        <v>942.1</v>
      </c>
      <c r="H7" s="8" t="n">
        <f aca="false">IF(ISNUMBER(G7),D7*G7,0)</f>
        <v>4440117.3</v>
      </c>
      <c r="I7" s="8" t="n">
        <f aca="false">H7-N(E7)</f>
        <v>1039.29999999981</v>
      </c>
      <c r="J7" s="9" t="n">
        <f aca="false">IF(N(E7)&gt;0,I7/E7,"")</f>
        <v>0.000234125194466016</v>
      </c>
      <c r="K7" s="9" t="n">
        <f aca="false">IF($H$6=0,"",H7/$H$6)</f>
        <v>0.397591860467318</v>
      </c>
      <c r="L7" s="10"/>
      <c r="M7" s="57" t="str">
        <f aca="false">IF(ISNUMBER(L7),L7/D7,"")</f>
        <v/>
      </c>
      <c r="N7" s="8" t="str">
        <f aca="false">IF(ISNUMBER(L7),H7-L7,"")</f>
        <v/>
      </c>
      <c r="O7" s="67" t="s">
        <v>241</v>
      </c>
      <c r="Q7" s="68" t="s">
        <v>242</v>
      </c>
      <c r="R7" s="68" t="s">
        <v>204</v>
      </c>
      <c r="S7" s="68" t="s">
        <v>112</v>
      </c>
      <c r="T7" s="68" t="n">
        <v>1580</v>
      </c>
      <c r="U7" s="63" t="n">
        <v>445.65</v>
      </c>
      <c r="V7" s="10" t="n">
        <v>704127</v>
      </c>
    </row>
    <row r="8" customFormat="false" ht="15" hidden="false" customHeight="false" outlineLevel="0" collapsed="false">
      <c r="A8" s="5" t="n">
        <v>2</v>
      </c>
      <c r="B8" s="5" t="s">
        <v>80</v>
      </c>
      <c r="C8" s="5" t="s">
        <v>24</v>
      </c>
      <c r="D8" s="66" t="n">
        <v>244</v>
      </c>
      <c r="E8" s="10" t="n">
        <v>1046469</v>
      </c>
      <c r="F8" s="57" t="n">
        <f aca="false">IF(AND(D8&gt;0,N(E8)&gt;0),E8/D8,"")</f>
        <v>4288.80737704918</v>
      </c>
      <c r="G8" s="48" t="n">
        <f aca="false">IFERROR(INDEX(Prices!$C$6:$C$300,MATCH(B8,Prices!$A$6:$A$300,0)),"")</f>
        <v>4350</v>
      </c>
      <c r="H8" s="8" t="n">
        <f aca="false">IF(ISNUMBER(G8),D8*G8,0)</f>
        <v>1061400</v>
      </c>
      <c r="I8" s="8" t="n">
        <f aca="false">H8-N(E8)</f>
        <v>14931</v>
      </c>
      <c r="J8" s="9" t="n">
        <f aca="false">IF(N(E8)&gt;0,I8/E8,"")</f>
        <v>0.0142679811824335</v>
      </c>
      <c r="K8" s="9" t="n">
        <f aca="false">IF($H$6=0,"",H8/$H$6)</f>
        <v>0.095043435158799</v>
      </c>
      <c r="L8" s="10"/>
      <c r="M8" s="57" t="str">
        <f aca="false">IF(ISNUMBER(L8),L8/D8,"")</f>
        <v/>
      </c>
      <c r="N8" s="8" t="str">
        <f aca="false">IF(ISNUMBER(L8),H8-L8,"")</f>
        <v/>
      </c>
      <c r="O8" s="67" t="s">
        <v>243</v>
      </c>
      <c r="Q8" s="68" t="s">
        <v>242</v>
      </c>
      <c r="R8" s="68" t="s">
        <v>202</v>
      </c>
      <c r="S8" s="68" t="s">
        <v>87</v>
      </c>
      <c r="T8" s="68" t="n">
        <v>547</v>
      </c>
      <c r="U8" s="63" t="n">
        <v>81.76</v>
      </c>
      <c r="V8" s="10" t="n">
        <v>44723</v>
      </c>
    </row>
    <row r="9" customFormat="false" ht="15" hidden="false" customHeight="false" outlineLevel="0" collapsed="false">
      <c r="A9" s="5" t="n">
        <v>3</v>
      </c>
      <c r="B9" s="5" t="s">
        <v>90</v>
      </c>
      <c r="C9" s="5" t="s">
        <v>24</v>
      </c>
      <c r="D9" s="66" t="n">
        <v>2000</v>
      </c>
      <c r="E9" s="10" t="n">
        <v>845300</v>
      </c>
      <c r="F9" s="57" t="n">
        <f aca="false">IF(AND(D9&gt;0,N(E9)&gt;0),E9/D9,"")</f>
        <v>422.65</v>
      </c>
      <c r="G9" s="48" t="n">
        <f aca="false">IFERROR(INDEX(Prices!$C$6:$C$300,MATCH(B9,Prices!$A$6:$A$300,0)),"")</f>
        <v>404.9</v>
      </c>
      <c r="H9" s="8" t="n">
        <f aca="false">IF(ISNUMBER(G9),D9*G9,0)</f>
        <v>809800</v>
      </c>
      <c r="I9" s="8" t="n">
        <f aca="false">H9-N(E9)</f>
        <v>-35500</v>
      </c>
      <c r="J9" s="9" t="n">
        <f aca="false">IF(N(E9)&gt;0,I9/E9,"")</f>
        <v>-0.0419969241689341</v>
      </c>
      <c r="K9" s="9" t="n">
        <f aca="false">IF($H$6=0,"",H9/$H$6)</f>
        <v>0.0725138249402633</v>
      </c>
      <c r="L9" s="10" t="n">
        <v>827000</v>
      </c>
      <c r="M9" s="57" t="n">
        <f aca="false">IF(ISNUMBER(L9),L9/D9,"")</f>
        <v>413.5</v>
      </c>
      <c r="N9" s="8" t="n">
        <f aca="false">IF(ISNUMBER(L9),H9-L9,"")</f>
        <v>-17200</v>
      </c>
      <c r="O9" s="67"/>
      <c r="Q9" s="68" t="s">
        <v>242</v>
      </c>
      <c r="R9" s="68" t="s">
        <v>202</v>
      </c>
      <c r="S9" s="68" t="s">
        <v>80</v>
      </c>
      <c r="T9" s="68" t="n">
        <v>9</v>
      </c>
      <c r="U9" s="63" t="n">
        <v>4419.44</v>
      </c>
      <c r="V9" s="10" t="n">
        <v>39775</v>
      </c>
    </row>
    <row r="10" customFormat="false" ht="15" hidden="false" customHeight="false" outlineLevel="0" collapsed="false">
      <c r="A10" s="5" t="n">
        <v>4</v>
      </c>
      <c r="B10" s="5" t="s">
        <v>85</v>
      </c>
      <c r="C10" s="5" t="s">
        <v>24</v>
      </c>
      <c r="D10" s="66" t="n">
        <v>305</v>
      </c>
      <c r="E10" s="10" t="n">
        <v>659410</v>
      </c>
      <c r="F10" s="57" t="n">
        <f aca="false">IF(AND(D10&gt;0,N(E10)&gt;0),E10/D10,"")</f>
        <v>2162</v>
      </c>
      <c r="G10" s="48" t="n">
        <f aca="false">IFERROR(INDEX(Prices!$C$6:$C$300,MATCH(B10,Prices!$A$6:$A$300,0)),"")</f>
        <v>2506.9</v>
      </c>
      <c r="H10" s="8" t="n">
        <f aca="false">IF(ISNUMBER(G10),D10*G10,0)</f>
        <v>764604.5</v>
      </c>
      <c r="I10" s="8" t="n">
        <f aca="false">H10-N(E10)</f>
        <v>105194.5</v>
      </c>
      <c r="J10" s="9" t="n">
        <f aca="false">IF(N(E10)&gt;0,I10/E10,"")</f>
        <v>0.159528214616096</v>
      </c>
      <c r="K10" s="9" t="n">
        <f aca="false">IF($H$6=0,"",H10/$H$6)</f>
        <v>0.0684667780458601</v>
      </c>
      <c r="L10" s="10" t="n">
        <v>750575</v>
      </c>
      <c r="M10" s="57" t="n">
        <f aca="false">IF(ISNUMBER(L10),L10/D10,"")</f>
        <v>2460.90163934426</v>
      </c>
      <c r="N10" s="8" t="n">
        <f aca="false">IF(ISNUMBER(L10),H10-L10,"")</f>
        <v>14029.5</v>
      </c>
      <c r="O10" s="67"/>
      <c r="Q10" s="68" t="s">
        <v>242</v>
      </c>
      <c r="R10" s="68" t="s">
        <v>202</v>
      </c>
      <c r="S10" s="68" t="s">
        <v>82</v>
      </c>
      <c r="T10" s="68" t="n">
        <v>79</v>
      </c>
      <c r="U10" s="63" t="n">
        <v>710.85</v>
      </c>
      <c r="V10" s="10" t="n">
        <v>56157</v>
      </c>
    </row>
    <row r="11" customFormat="false" ht="15" hidden="false" customHeight="false" outlineLevel="0" collapsed="false">
      <c r="A11" s="5" t="n">
        <v>5</v>
      </c>
      <c r="B11" s="5" t="s">
        <v>82</v>
      </c>
      <c r="C11" s="5" t="s">
        <v>24</v>
      </c>
      <c r="D11" s="66" t="n">
        <v>1089</v>
      </c>
      <c r="E11" s="10" t="n">
        <v>841371</v>
      </c>
      <c r="F11" s="57" t="n">
        <f aca="false">IF(AND(D11&gt;0,N(E11)&gt;0),E11/D11,"")</f>
        <v>772.608815426997</v>
      </c>
      <c r="G11" s="48" t="n">
        <f aca="false">IFERROR(INDEX(Prices!$C$6:$C$300,MATCH(B11,Prices!$A$6:$A$300,0)),"")</f>
        <v>694.05</v>
      </c>
      <c r="H11" s="8" t="n">
        <f aca="false">IF(ISNUMBER(G11),D11*G11,0)</f>
        <v>755820.45</v>
      </c>
      <c r="I11" s="8" t="n">
        <f aca="false">H11-N(E11)</f>
        <v>-85550.5500000001</v>
      </c>
      <c r="J11" s="9" t="n">
        <f aca="false">IF(N(E11)&gt;0,I11/E11,"")</f>
        <v>-0.101679936674784</v>
      </c>
      <c r="K11" s="9" t="n">
        <f aca="false">IF($H$6=0,"",H11/$H$6)</f>
        <v>0.0676802072086577</v>
      </c>
      <c r="L11" s="10"/>
      <c r="M11" s="57" t="str">
        <f aca="false">IF(ISNUMBER(L11),L11/D11,"")</f>
        <v/>
      </c>
      <c r="N11" s="8" t="str">
        <f aca="false">IF(ISNUMBER(L11),H11-L11,"")</f>
        <v/>
      </c>
      <c r="O11" s="67" t="s">
        <v>244</v>
      </c>
      <c r="Q11" s="68" t="s">
        <v>242</v>
      </c>
      <c r="R11" s="68" t="s">
        <v>202</v>
      </c>
      <c r="S11" s="68" t="s">
        <v>83</v>
      </c>
      <c r="T11" s="68" t="n">
        <v>970</v>
      </c>
      <c r="U11" s="63" t="n">
        <v>445.53</v>
      </c>
      <c r="V11" s="10" t="n">
        <v>432164</v>
      </c>
    </row>
    <row r="12" customFormat="false" ht="15" hidden="false" customHeight="false" outlineLevel="0" collapsed="false">
      <c r="A12" s="5" t="n">
        <v>6</v>
      </c>
      <c r="B12" s="5" t="s">
        <v>83</v>
      </c>
      <c r="C12" s="5" t="s">
        <v>24</v>
      </c>
      <c r="D12" s="66" t="n">
        <v>1267</v>
      </c>
      <c r="E12" s="10" t="n">
        <v>552838</v>
      </c>
      <c r="F12" s="57" t="n">
        <f aca="false">IF(AND(D12&gt;0,N(E12)&gt;0),E12/D12,"")</f>
        <v>436.336227308603</v>
      </c>
      <c r="G12" s="48" t="n">
        <f aca="false">IFERROR(INDEX(Prices!$C$6:$C$300,MATCH(B12,Prices!$A$6:$A$300,0)),"")</f>
        <v>432.45</v>
      </c>
      <c r="H12" s="8" t="n">
        <f aca="false">IF(ISNUMBER(G12),D12*G12,0)</f>
        <v>547914.15</v>
      </c>
      <c r="I12" s="8" t="n">
        <f aca="false">H12-N(E12)</f>
        <v>-4923.84999999998</v>
      </c>
      <c r="J12" s="9" t="n">
        <f aca="false">IF(N(E12)&gt;0,I12/E12,"")</f>
        <v>-0.00890649702082704</v>
      </c>
      <c r="K12" s="9" t="n">
        <f aca="false">IF($H$6=0,"",H12/$H$6)</f>
        <v>0.0490631646769488</v>
      </c>
      <c r="L12" s="10"/>
      <c r="M12" s="57" t="str">
        <f aca="false">IF(ISNUMBER(L12),L12/D12,"")</f>
        <v/>
      </c>
      <c r="N12" s="8" t="str">
        <f aca="false">IF(ISNUMBER(L12),H12-L12,"")</f>
        <v/>
      </c>
      <c r="O12" s="67" t="s">
        <v>245</v>
      </c>
      <c r="Q12" s="68" t="s">
        <v>242</v>
      </c>
      <c r="R12" s="68" t="s">
        <v>204</v>
      </c>
      <c r="S12" s="68" t="s">
        <v>246</v>
      </c>
      <c r="T12" s="68" t="n">
        <v>700</v>
      </c>
      <c r="U12" s="63" t="n">
        <v>512.6</v>
      </c>
      <c r="V12" s="10" t="n">
        <v>358820</v>
      </c>
    </row>
    <row r="13" customFormat="false" ht="15" hidden="false" customHeight="false" outlineLevel="0" collapsed="false">
      <c r="A13" s="5" t="n">
        <v>7</v>
      </c>
      <c r="B13" s="5" t="s">
        <v>84</v>
      </c>
      <c r="C13" s="5" t="s">
        <v>24</v>
      </c>
      <c r="D13" s="66" t="n">
        <v>360</v>
      </c>
      <c r="E13" s="10" t="n">
        <v>361080</v>
      </c>
      <c r="F13" s="57" t="n">
        <f aca="false">IF(AND(D13&gt;0,N(E13)&gt;0),E13/D13,"")</f>
        <v>1003</v>
      </c>
      <c r="G13" s="48" t="n">
        <f aca="false">IFERROR(INDEX(Prices!$C$6:$C$300,MATCH(B13,Prices!$A$6:$A$300,0)),"")</f>
        <v>1371.45</v>
      </c>
      <c r="H13" s="8" t="n">
        <f aca="false">IF(ISNUMBER(G13),D13*G13,0)</f>
        <v>493722</v>
      </c>
      <c r="I13" s="8" t="n">
        <f aca="false">H13-N(E13)</f>
        <v>132642</v>
      </c>
      <c r="J13" s="9" t="n">
        <f aca="false">IF(N(E13)&gt;0,I13/E13,"")</f>
        <v>0.367347956131605</v>
      </c>
      <c r="K13" s="9" t="n">
        <f aca="false">IF($H$6=0,"",H13/$H$6)</f>
        <v>0.0442105096037993</v>
      </c>
      <c r="L13" s="10" t="n">
        <v>536742</v>
      </c>
      <c r="M13" s="57" t="n">
        <f aca="false">IF(ISNUMBER(L13),L13/D13,"")</f>
        <v>1490.95</v>
      </c>
      <c r="N13" s="8" t="n">
        <f aca="false">IF(ISNUMBER(L13),H13-L13,"")</f>
        <v>-43020</v>
      </c>
      <c r="O13" s="67"/>
      <c r="Q13" s="68" t="s">
        <v>242</v>
      </c>
      <c r="R13" s="68" t="s">
        <v>202</v>
      </c>
      <c r="S13" s="68" t="s">
        <v>79</v>
      </c>
      <c r="T13" s="68" t="n">
        <v>362</v>
      </c>
      <c r="U13" s="63" t="n">
        <v>935.65</v>
      </c>
      <c r="V13" s="10" t="n">
        <v>338705</v>
      </c>
    </row>
    <row r="14" customFormat="false" ht="15" hidden="false" customHeight="false" outlineLevel="0" collapsed="false">
      <c r="A14" s="5" t="n">
        <v>8</v>
      </c>
      <c r="B14" s="5" t="s">
        <v>86</v>
      </c>
      <c r="C14" s="5" t="s">
        <v>24</v>
      </c>
      <c r="D14" s="66" t="n">
        <v>83</v>
      </c>
      <c r="E14" s="10" t="n">
        <v>323526</v>
      </c>
      <c r="F14" s="57" t="n">
        <f aca="false">IF(AND(D14&gt;0,N(E14)&gt;0),E14/D14,"")</f>
        <v>3897.90361445783</v>
      </c>
      <c r="G14" s="48" t="n">
        <f aca="false">IFERROR(INDEX(Prices!$C$6:$C$300,MATCH(B14,Prices!$A$6:$A$300,0)),"")</f>
        <v>4274</v>
      </c>
      <c r="H14" s="8" t="n">
        <f aca="false">IF(ISNUMBER(G14),D14*G14,0)</f>
        <v>354742</v>
      </c>
      <c r="I14" s="8" t="n">
        <f aca="false">H14-N(E14)</f>
        <v>31216</v>
      </c>
      <c r="J14" s="9" t="n">
        <f aca="false">IF(N(E14)&gt;0,I14/E14,"")</f>
        <v>0.0964868356793581</v>
      </c>
      <c r="K14" s="9" t="n">
        <f aca="false">IF($H$6=0,"",H14/$H$6)</f>
        <v>0.0317654967732266</v>
      </c>
      <c r="L14" s="10" t="n">
        <v>353987</v>
      </c>
      <c r="M14" s="57" t="n">
        <f aca="false">IF(ISNUMBER(L14),L14/D14,"")</f>
        <v>4264.90361445783</v>
      </c>
      <c r="N14" s="8" t="n">
        <f aca="false">IF(ISNUMBER(L14),H14-L14,"")</f>
        <v>755</v>
      </c>
      <c r="O14" s="67"/>
      <c r="Q14" s="68" t="s">
        <v>247</v>
      </c>
      <c r="R14" s="68" t="s">
        <v>202</v>
      </c>
      <c r="S14" s="68" t="s">
        <v>93</v>
      </c>
      <c r="T14" s="68" t="n">
        <v>1</v>
      </c>
      <c r="U14" s="63" t="n">
        <v>5818</v>
      </c>
      <c r="V14" s="10" t="n">
        <v>5818</v>
      </c>
    </row>
    <row r="15" customFormat="false" ht="15" hidden="false" customHeight="false" outlineLevel="0" collapsed="false">
      <c r="A15" s="5" t="n">
        <v>9</v>
      </c>
      <c r="B15" s="5" t="s">
        <v>87</v>
      </c>
      <c r="C15" s="5" t="s">
        <v>24</v>
      </c>
      <c r="D15" s="66" t="n">
        <v>3860</v>
      </c>
      <c r="E15" s="10" t="n">
        <v>331672</v>
      </c>
      <c r="F15" s="57" t="n">
        <f aca="false">IF(AND(D15&gt;0,N(E15)&gt;0),E15/D15,"")</f>
        <v>85.9253886010363</v>
      </c>
      <c r="G15" s="48" t="n">
        <f aca="false">IFERROR(INDEX(Prices!$C$6:$C$300,MATCH(B15,Prices!$A$6:$A$300,0)),"")</f>
        <v>81.02</v>
      </c>
      <c r="H15" s="8" t="n">
        <f aca="false">IF(ISNUMBER(G15),D15*G15,0)</f>
        <v>312737.2</v>
      </c>
      <c r="I15" s="8" t="n">
        <f aca="false">H15-N(E15)</f>
        <v>-18934.8</v>
      </c>
      <c r="J15" s="9" t="n">
        <f aca="false">IF(N(E15)&gt;0,I15/E15,"")</f>
        <v>-0.0570889312332666</v>
      </c>
      <c r="K15" s="9" t="n">
        <f aca="false">IF($H$6=0,"",H15/$H$6)</f>
        <v>0.0280041622290789</v>
      </c>
      <c r="L15" s="10"/>
      <c r="M15" s="57" t="str">
        <f aca="false">IF(ISNUMBER(L15),L15/D15,"")</f>
        <v/>
      </c>
      <c r="N15" s="8" t="str">
        <f aca="false">IF(ISNUMBER(L15),H15-L15,"")</f>
        <v/>
      </c>
      <c r="O15" s="67" t="s">
        <v>248</v>
      </c>
      <c r="Q15" s="68" t="s">
        <v>247</v>
      </c>
      <c r="R15" s="68" t="s">
        <v>202</v>
      </c>
      <c r="S15" s="68" t="s">
        <v>92</v>
      </c>
      <c r="T15" s="68" t="n">
        <v>6</v>
      </c>
      <c r="U15" s="63" t="n">
        <v>3852.22</v>
      </c>
      <c r="V15" s="10" t="n">
        <v>23113</v>
      </c>
    </row>
    <row r="16" customFormat="false" ht="15" hidden="false" customHeight="false" outlineLevel="0" collapsed="false">
      <c r="A16" s="5" t="n">
        <v>10</v>
      </c>
      <c r="B16" s="5" t="s">
        <v>98</v>
      </c>
      <c r="C16" s="5" t="s">
        <v>24</v>
      </c>
      <c r="D16" s="66" t="n">
        <v>700</v>
      </c>
      <c r="E16" s="10" t="n">
        <v>340305</v>
      </c>
      <c r="F16" s="57" t="n">
        <f aca="false">IF(AND(D16&gt;0,N(E16)&gt;0),E16/D16,"")</f>
        <v>486.15</v>
      </c>
      <c r="G16" s="48" t="n">
        <f aca="false">IFERROR(INDEX(Prices!$C$6:$C$300,MATCH(B16,Prices!$A$6:$A$300,0)),"")</f>
        <v>431</v>
      </c>
      <c r="H16" s="8" t="n">
        <f aca="false">IF(ISNUMBER(G16),D16*G16,0)</f>
        <v>301700</v>
      </c>
      <c r="I16" s="8" t="n">
        <f aca="false">H16-N(E16)</f>
        <v>-38605</v>
      </c>
      <c r="J16" s="9" t="n">
        <f aca="false">IF(N(E16)&gt;0,I16/E16,"")</f>
        <v>-0.113442353183174</v>
      </c>
      <c r="K16" s="9" t="n">
        <f aca="false">IF($H$6=0,"",H16/$H$6)</f>
        <v>0.0270158322851043</v>
      </c>
      <c r="L16" s="10" t="n">
        <v>306600</v>
      </c>
      <c r="M16" s="57" t="n">
        <f aca="false">IF(ISNUMBER(L16),L16/D16,"")</f>
        <v>438</v>
      </c>
      <c r="N16" s="8" t="n">
        <f aca="false">IF(ISNUMBER(L16),H16-L16,"")</f>
        <v>-4900</v>
      </c>
      <c r="O16" s="67"/>
      <c r="Q16" s="68" t="s">
        <v>247</v>
      </c>
      <c r="R16" s="68" t="s">
        <v>202</v>
      </c>
      <c r="S16" s="68" t="s">
        <v>89</v>
      </c>
      <c r="T16" s="68" t="n">
        <v>1</v>
      </c>
      <c r="U16" s="63" t="n">
        <v>3930</v>
      </c>
      <c r="V16" s="10" t="n">
        <v>3930</v>
      </c>
    </row>
    <row r="17" customFormat="false" ht="15" hidden="false" customHeight="false" outlineLevel="0" collapsed="false">
      <c r="A17" s="5" t="n">
        <v>11</v>
      </c>
      <c r="B17" s="5" t="s">
        <v>89</v>
      </c>
      <c r="C17" s="5" t="s">
        <v>24</v>
      </c>
      <c r="D17" s="66" t="n">
        <v>72</v>
      </c>
      <c r="E17" s="10" t="n">
        <v>245895</v>
      </c>
      <c r="F17" s="57" t="n">
        <f aca="false">IF(AND(D17&gt;0,N(E17)&gt;0),E17/D17,"")</f>
        <v>3415.20833333333</v>
      </c>
      <c r="G17" s="48" t="n">
        <f aca="false">IFERROR(INDEX(Prices!$C$6:$C$300,MATCH(B17,Prices!$A$6:$A$300,0)),"")</f>
        <v>3954.8</v>
      </c>
      <c r="H17" s="8" t="n">
        <f aca="false">IF(ISNUMBER(G17),D17*G17,0)</f>
        <v>284745.6</v>
      </c>
      <c r="I17" s="8" t="n">
        <f aca="false">H17-N(E17)</f>
        <v>38850.6</v>
      </c>
      <c r="J17" s="9" t="n">
        <f aca="false">IF(N(E17)&gt;0,I17/E17,"")</f>
        <v>0.15799670591106</v>
      </c>
      <c r="K17" s="9" t="n">
        <f aca="false">IF($H$6=0,"",H17/$H$6)</f>
        <v>0.0254976445923811</v>
      </c>
      <c r="L17" s="10"/>
      <c r="M17" s="57" t="str">
        <f aca="false">IF(ISNUMBER(L17),L17/D17,"")</f>
        <v/>
      </c>
      <c r="N17" s="8" t="str">
        <f aca="false">IF(ISNUMBER(L17),H17-L17,"")</f>
        <v/>
      </c>
      <c r="O17" s="67" t="s">
        <v>249</v>
      </c>
      <c r="Q17" s="68" t="s">
        <v>247</v>
      </c>
      <c r="R17" s="68" t="s">
        <v>202</v>
      </c>
      <c r="S17" s="68" t="s">
        <v>100</v>
      </c>
      <c r="T17" s="68" t="n">
        <v>5</v>
      </c>
      <c r="U17" s="63" t="n">
        <v>2780.9</v>
      </c>
      <c r="V17" s="10" t="n">
        <v>13904</v>
      </c>
    </row>
    <row r="18" customFormat="false" ht="15" hidden="false" customHeight="false" outlineLevel="0" collapsed="false">
      <c r="A18" s="5" t="n">
        <v>12</v>
      </c>
      <c r="B18" s="5" t="s">
        <v>91</v>
      </c>
      <c r="C18" s="5" t="s">
        <v>24</v>
      </c>
      <c r="D18" s="66" t="n">
        <v>4830</v>
      </c>
      <c r="E18" s="10" t="n">
        <v>209864</v>
      </c>
      <c r="F18" s="57" t="n">
        <f aca="false">IF(AND(D18&gt;0,N(E18)&gt;0),E18/D18,"")</f>
        <v>43.4501035196687</v>
      </c>
      <c r="G18" s="48" t="n">
        <f aca="false">IFERROR(INDEX(Prices!$C$6:$C$300,MATCH(B18,Prices!$A$6:$A$300,0)),"")</f>
        <v>51.55</v>
      </c>
      <c r="H18" s="8" t="n">
        <f aca="false">IF(ISNUMBER(G18),D18*G18,0)</f>
        <v>248986.5</v>
      </c>
      <c r="I18" s="8" t="n">
        <f aca="false">H18-N(E18)</f>
        <v>39122.5</v>
      </c>
      <c r="J18" s="9" t="n">
        <f aca="false">IF(N(E18)&gt;0,I18/E18,"")</f>
        <v>0.18641834712004</v>
      </c>
      <c r="K18" s="9" t="n">
        <f aca="false">IF($H$6=0,"",H18/$H$6)</f>
        <v>0.022295583444664</v>
      </c>
      <c r="L18" s="10" t="n">
        <v>269562</v>
      </c>
      <c r="M18" s="57" t="n">
        <f aca="false">IF(ISNUMBER(L18),L18/D18,"")</f>
        <v>55.8099378881988</v>
      </c>
      <c r="N18" s="8" t="n">
        <f aca="false">IF(ISNUMBER(L18),H18-L18,"")</f>
        <v>-20575.5</v>
      </c>
      <c r="O18" s="67"/>
      <c r="Q18" s="68" t="s">
        <v>247</v>
      </c>
      <c r="R18" s="68" t="s">
        <v>202</v>
      </c>
      <c r="S18" s="68" t="s">
        <v>94</v>
      </c>
      <c r="T18" s="68" t="n">
        <v>8</v>
      </c>
      <c r="U18" s="63" t="n">
        <v>1380.9</v>
      </c>
      <c r="V18" s="10" t="n">
        <v>11047</v>
      </c>
    </row>
    <row r="19" customFormat="false" ht="15" hidden="false" customHeight="false" outlineLevel="0" collapsed="false">
      <c r="A19" s="5" t="n">
        <v>13</v>
      </c>
      <c r="B19" s="5" t="s">
        <v>92</v>
      </c>
      <c r="C19" s="5" t="s">
        <v>24</v>
      </c>
      <c r="D19" s="66" t="n">
        <v>61</v>
      </c>
      <c r="E19" s="10" t="n">
        <v>246916</v>
      </c>
      <c r="F19" s="57" t="n">
        <f aca="false">IF(AND(D19&gt;0,N(E19)&gt;0),E19/D19,"")</f>
        <v>4047.80327868852</v>
      </c>
      <c r="G19" s="48" t="n">
        <f aca="false">IFERROR(INDEX(Prices!$C$6:$C$300,MATCH(B19,Prices!$A$6:$A$300,0)),"")</f>
        <v>3846.8</v>
      </c>
      <c r="H19" s="8" t="n">
        <f aca="false">IF(ISNUMBER(G19),D19*G19,0)</f>
        <v>234654.8</v>
      </c>
      <c r="I19" s="8" t="n">
        <f aca="false">H19-N(E19)</f>
        <v>-12261.2</v>
      </c>
      <c r="J19" s="9" t="n">
        <f aca="false">IF(N(E19)&gt;0,I19/E19,"")</f>
        <v>-0.049657373357741</v>
      </c>
      <c r="K19" s="9" t="n">
        <f aca="false">IF($H$6=0,"",H19/$H$6)</f>
        <v>0.0210122463430384</v>
      </c>
      <c r="L19" s="10"/>
      <c r="M19" s="57" t="str">
        <f aca="false">IF(ISNUMBER(L19),L19/D19,"")</f>
        <v/>
      </c>
      <c r="N19" s="8" t="str">
        <f aca="false">IF(ISNUMBER(L19),H19-L19,"")</f>
        <v/>
      </c>
      <c r="O19" s="67" t="s">
        <v>250</v>
      </c>
      <c r="Q19" s="68" t="s">
        <v>247</v>
      </c>
      <c r="R19" s="68" t="s">
        <v>202</v>
      </c>
      <c r="S19" s="68" t="s">
        <v>97</v>
      </c>
      <c r="T19" s="68" t="n">
        <v>4</v>
      </c>
      <c r="U19" s="63" t="n">
        <v>7063.5</v>
      </c>
      <c r="V19" s="10" t="n">
        <v>28254</v>
      </c>
    </row>
    <row r="20" customFormat="false" ht="15" hidden="false" customHeight="false" outlineLevel="0" collapsed="false">
      <c r="A20" s="5" t="n">
        <v>14</v>
      </c>
      <c r="B20" s="5" t="s">
        <v>88</v>
      </c>
      <c r="C20" s="5" t="s">
        <v>24</v>
      </c>
      <c r="D20" s="66" t="n">
        <v>800</v>
      </c>
      <c r="E20" s="10" t="n">
        <v>170200</v>
      </c>
      <c r="F20" s="57" t="n">
        <f aca="false">IF(AND(D20&gt;0,N(E20)&gt;0),E20/D20,"")</f>
        <v>212.75</v>
      </c>
      <c r="G20" s="48" t="n">
        <f aca="false">IFERROR(INDEX(Prices!$C$6:$C$300,MATCH(B20,Prices!$A$6:$A$300,0)),"")</f>
        <v>234.25</v>
      </c>
      <c r="H20" s="8" t="n">
        <f aca="false">IF(ISNUMBER(G20),D20*G20,0)</f>
        <v>187400</v>
      </c>
      <c r="I20" s="8" t="n">
        <f aca="false">H20-N(E20)</f>
        <v>17200</v>
      </c>
      <c r="J20" s="9" t="n">
        <f aca="false">IF(N(E20)&gt;0,I20/E20,"")</f>
        <v>0.101057579318449</v>
      </c>
      <c r="K20" s="9" t="n">
        <f aca="false">IF($H$6=0,"",H20/$H$6)</f>
        <v>0.0167807987080827</v>
      </c>
      <c r="L20" s="10" t="n">
        <v>198400</v>
      </c>
      <c r="M20" s="57" t="n">
        <f aca="false">IF(ISNUMBER(L20),L20/D20,"")</f>
        <v>248</v>
      </c>
      <c r="N20" s="8" t="n">
        <f aca="false">IF(ISNUMBER(L20),H20-L20,"")</f>
        <v>-11000</v>
      </c>
      <c r="O20" s="67"/>
      <c r="Q20" s="68" t="s">
        <v>247</v>
      </c>
      <c r="R20" s="68" t="s">
        <v>202</v>
      </c>
      <c r="S20" s="68" t="s">
        <v>102</v>
      </c>
      <c r="T20" s="68" t="n">
        <v>4</v>
      </c>
      <c r="U20" s="63" t="n">
        <v>3191.1</v>
      </c>
      <c r="V20" s="10" t="n">
        <v>12764</v>
      </c>
    </row>
    <row r="21" customFormat="false" ht="15" hidden="false" customHeight="false" outlineLevel="0" collapsed="false">
      <c r="A21" s="5" t="n">
        <v>15</v>
      </c>
      <c r="B21" s="5" t="s">
        <v>94</v>
      </c>
      <c r="C21" s="5" t="s">
        <v>24</v>
      </c>
      <c r="D21" s="66" t="n">
        <v>73</v>
      </c>
      <c r="E21" s="10" t="n">
        <v>107884</v>
      </c>
      <c r="F21" s="57" t="n">
        <f aca="false">IF(AND(D21&gt;0,N(E21)&gt;0),E21/D21,"")</f>
        <v>1477.86301369863</v>
      </c>
      <c r="G21" s="48" t="n">
        <f aca="false">IFERROR(INDEX(Prices!$C$6:$C$300,MATCH(B21,Prices!$A$6:$A$300,0)),"")</f>
        <v>1362.8</v>
      </c>
      <c r="H21" s="8" t="n">
        <f aca="false">IF(ISNUMBER(G21),D21*G21,0)</f>
        <v>99484.4</v>
      </c>
      <c r="I21" s="8" t="n">
        <f aca="false">H21-N(E21)</f>
        <v>-8399.60000000001</v>
      </c>
      <c r="J21" s="9" t="n">
        <f aca="false">IF(N(E21)&gt;0,I21/E21,"")</f>
        <v>-0.0778576990100479</v>
      </c>
      <c r="K21" s="9" t="n">
        <f aca="false">IF($H$6=0,"",H21/$H$6)</f>
        <v>0.00890836548022614</v>
      </c>
      <c r="L21" s="10"/>
      <c r="M21" s="57" t="str">
        <f aca="false">IF(ISNUMBER(L21),L21/D21,"")</f>
        <v/>
      </c>
      <c r="N21" s="8" t="str">
        <f aca="false">IF(ISNUMBER(L21),H21-L21,"")</f>
        <v/>
      </c>
      <c r="O21" s="67" t="s">
        <v>251</v>
      </c>
      <c r="Q21" s="68" t="s">
        <v>247</v>
      </c>
      <c r="R21" s="68" t="s">
        <v>202</v>
      </c>
      <c r="S21" s="68" t="s">
        <v>104</v>
      </c>
      <c r="T21" s="68" t="n">
        <v>10</v>
      </c>
      <c r="U21" s="63" t="n">
        <v>776.5</v>
      </c>
      <c r="V21" s="10" t="n">
        <v>7765</v>
      </c>
    </row>
    <row r="22" customFormat="false" ht="15" hidden="false" customHeight="false" outlineLevel="0" collapsed="false">
      <c r="A22" s="5" t="n">
        <v>16</v>
      </c>
      <c r="B22" s="5" t="s">
        <v>104</v>
      </c>
      <c r="C22" s="5" t="s">
        <v>24</v>
      </c>
      <c r="D22" s="66" t="n">
        <v>76</v>
      </c>
      <c r="E22" s="10" t="n">
        <v>66457</v>
      </c>
      <c r="F22" s="57" t="n">
        <f aca="false">IF(AND(D22&gt;0,N(E22)&gt;0),E22/D22,"")</f>
        <v>874.434210526316</v>
      </c>
      <c r="G22" s="48" t="n">
        <f aca="false">IFERROR(INDEX(Prices!$C$6:$C$300,MATCH(B22,Prices!$A$6:$A$300,0)),"")</f>
        <v>788.1</v>
      </c>
      <c r="H22" s="8" t="n">
        <f aca="false">IF(ISNUMBER(G22),D22*G22,0)</f>
        <v>59895.6</v>
      </c>
      <c r="I22" s="8" t="n">
        <f aca="false">H22-N(E22)</f>
        <v>-6561.4</v>
      </c>
      <c r="J22" s="9" t="n">
        <f aca="false">IF(N(E22)&gt;0,I22/E22,"")</f>
        <v>-0.0987315106008397</v>
      </c>
      <c r="K22" s="9" t="n">
        <f aca="false">IF($H$6=0,"",H22/$H$6)</f>
        <v>0.00536337250320083</v>
      </c>
      <c r="L22" s="10"/>
      <c r="M22" s="57" t="str">
        <f aca="false">IF(ISNUMBER(L22),L22/D22,"")</f>
        <v/>
      </c>
      <c r="N22" s="8" t="str">
        <f aca="false">IF(ISNUMBER(L22),H22-L22,"")</f>
        <v/>
      </c>
      <c r="O22" s="67" t="s">
        <v>252</v>
      </c>
      <c r="S22" s="69" t="s">
        <v>208</v>
      </c>
      <c r="V22" s="70" t="n">
        <f aca="false">SUMIFS(V7:V21,R7:R21,"BUY")-SUMIFS(V7:V21,R7:R21,"SELL")</f>
        <v>-44828</v>
      </c>
    </row>
    <row r="23" customFormat="false" ht="15" hidden="false" customHeight="false" outlineLevel="0" collapsed="false">
      <c r="A23" s="5" t="n">
        <v>17</v>
      </c>
      <c r="B23" s="5" t="s">
        <v>101</v>
      </c>
      <c r="C23" s="5" t="s">
        <v>24</v>
      </c>
      <c r="D23" s="66" t="n">
        <v>48</v>
      </c>
      <c r="E23" s="10" t="n">
        <v>62798</v>
      </c>
      <c r="F23" s="57" t="n">
        <f aca="false">IF(AND(D23&gt;0,N(E23)&gt;0),E23/D23,"")</f>
        <v>1308.29166666667</v>
      </c>
      <c r="G23" s="48" t="n">
        <f aca="false">IFERROR(INDEX(Prices!$C$6:$C$300,MATCH(B23,Prices!$A$6:$A$300,0)),"")</f>
        <v>1089.9</v>
      </c>
      <c r="H23" s="8" t="n">
        <f aca="false">IF(ISNUMBER(G23),D23*G23,0)</f>
        <v>52315.2</v>
      </c>
      <c r="I23" s="8" t="n">
        <f aca="false">H23-N(E23)</f>
        <v>-10482.8</v>
      </c>
      <c r="J23" s="9" t="n">
        <f aca="false">IF(N(E23)&gt;0,I23/E23,"")</f>
        <v>-0.166928883085449</v>
      </c>
      <c r="K23" s="9" t="n">
        <f aca="false">IF($H$6=0,"",H23/$H$6)</f>
        <v>0.00468458292728434</v>
      </c>
      <c r="L23" s="10" t="n">
        <v>53693</v>
      </c>
      <c r="M23" s="57" t="n">
        <f aca="false">IF(ISNUMBER(L23),L23/D23,"")</f>
        <v>1118.60416666667</v>
      </c>
      <c r="N23" s="8" t="n">
        <f aca="false">IF(ISNUMBER(L23),H23-L23,"")</f>
        <v>-1377.8</v>
      </c>
      <c r="O23" s="67"/>
    </row>
    <row r="24" customFormat="false" ht="15" hidden="false" customHeight="false" outlineLevel="0" collapsed="false">
      <c r="A24" s="5" t="n">
        <v>18</v>
      </c>
      <c r="B24" s="5" t="s">
        <v>93</v>
      </c>
      <c r="C24" s="5" t="s">
        <v>24</v>
      </c>
      <c r="D24" s="66" t="n">
        <v>9</v>
      </c>
      <c r="E24" s="10" t="n">
        <v>45356</v>
      </c>
      <c r="F24" s="57" t="n">
        <f aca="false">IF(AND(D24&gt;0,N(E24)&gt;0),E24/D24,"")</f>
        <v>5039.55555555556</v>
      </c>
      <c r="G24" s="48" t="n">
        <f aca="false">IFERROR(INDEX(Prices!$C$6:$C$300,MATCH(B24,Prices!$A$6:$A$300,0)),"")</f>
        <v>5740.5</v>
      </c>
      <c r="H24" s="8" t="n">
        <f aca="false">IF(ISNUMBER(G24),D24*G24,0)</f>
        <v>51664.5</v>
      </c>
      <c r="I24" s="8" t="n">
        <f aca="false">H24-N(E24)</f>
        <v>6308.5</v>
      </c>
      <c r="J24" s="9" t="n">
        <f aca="false">IF(N(E24)&gt;0,I24/E24,"")</f>
        <v>0.139088543963312</v>
      </c>
      <c r="K24" s="9" t="n">
        <f aca="false">IF($H$6=0,"",H24/$H$6)</f>
        <v>0.00462631576762933</v>
      </c>
      <c r="L24" s="10"/>
      <c r="M24" s="57" t="str">
        <f aca="false">IF(ISNUMBER(L24),L24/D24,"")</f>
        <v/>
      </c>
      <c r="N24" s="8" t="str">
        <f aca="false">IF(ISNUMBER(L24),H24-L24,"")</f>
        <v/>
      </c>
      <c r="O24" s="67" t="s">
        <v>249</v>
      </c>
    </row>
    <row r="25" customFormat="false" ht="15" hidden="false" customHeight="false" outlineLevel="0" collapsed="false">
      <c r="A25" s="5" t="n">
        <v>19</v>
      </c>
      <c r="B25" s="5" t="s">
        <v>97</v>
      </c>
      <c r="C25" s="5" t="s">
        <v>24</v>
      </c>
      <c r="D25" s="66" t="n">
        <v>6</v>
      </c>
      <c r="E25" s="10" t="n">
        <v>43513</v>
      </c>
      <c r="F25" s="57" t="n">
        <f aca="false">IF(AND(D25&gt;0,N(E25)&gt;0),E25/D25,"")</f>
        <v>7252.16666666667</v>
      </c>
      <c r="G25" s="48" t="n">
        <f aca="false">IFERROR(INDEX(Prices!$C$6:$C$300,MATCH(B25,Prices!$A$6:$A$300,0)),"")</f>
        <v>7084.5</v>
      </c>
      <c r="H25" s="8" t="n">
        <f aca="false">IF(ISNUMBER(G25),D25*G25,0)</f>
        <v>42507</v>
      </c>
      <c r="I25" s="8" t="n">
        <f aca="false">H25-N(E25)</f>
        <v>-1006</v>
      </c>
      <c r="J25" s="9" t="n">
        <f aca="false">IF(N(E25)&gt;0,I25/E25,"")</f>
        <v>-0.0231195274975295</v>
      </c>
      <c r="K25" s="9" t="n">
        <f aca="false">IF($H$6=0,"",H25/$H$6)</f>
        <v>0.0038063042192341</v>
      </c>
      <c r="L25" s="10"/>
      <c r="M25" s="57" t="str">
        <f aca="false">IF(ISNUMBER(L25),L25/D25,"")</f>
        <v/>
      </c>
      <c r="N25" s="8" t="str">
        <f aca="false">IF(ISNUMBER(L25),H25-L25,"")</f>
        <v/>
      </c>
      <c r="O25" s="67" t="s">
        <v>253</v>
      </c>
    </row>
    <row r="26" customFormat="false" ht="15" hidden="false" customHeight="false" outlineLevel="0" collapsed="false">
      <c r="A26" s="5" t="n">
        <v>20</v>
      </c>
      <c r="B26" s="5" t="s">
        <v>102</v>
      </c>
      <c r="C26" s="5" t="s">
        <v>24</v>
      </c>
      <c r="D26" s="66" t="n">
        <v>7</v>
      </c>
      <c r="E26" s="10" t="n">
        <v>25715</v>
      </c>
      <c r="F26" s="57" t="n">
        <f aca="false">IF(AND(D26&gt;0,N(E26)&gt;0),E26/D26,"")</f>
        <v>3673.57142857143</v>
      </c>
      <c r="G26" s="48" t="n">
        <f aca="false">IFERROR(INDEX(Prices!$C$6:$C$300,MATCH(B26,Prices!$A$6:$A$300,0)),"")</f>
        <v>3166</v>
      </c>
      <c r="H26" s="8" t="n">
        <f aca="false">IF(ISNUMBER(G26),D26*G26,0)</f>
        <v>22162</v>
      </c>
      <c r="I26" s="8" t="n">
        <f aca="false">H26-N(E26)</f>
        <v>-3553</v>
      </c>
      <c r="J26" s="9" t="n">
        <f aca="false">IF(N(E26)&gt;0,I26/E26,"")</f>
        <v>-0.13816838421155</v>
      </c>
      <c r="K26" s="9" t="n">
        <f aca="false">IF($H$6=0,"",H26/$H$6)</f>
        <v>0.0019845040606645</v>
      </c>
      <c r="L26" s="10"/>
      <c r="M26" s="57" t="str">
        <f aca="false">IF(ISNUMBER(L26),L26/D26,"")</f>
        <v/>
      </c>
      <c r="N26" s="8" t="str">
        <f aca="false">IF(ISNUMBER(L26),H26-L26,"")</f>
        <v/>
      </c>
      <c r="O26" s="67" t="s">
        <v>253</v>
      </c>
    </row>
    <row r="27" customFormat="false" ht="15" hidden="false" customHeight="false" outlineLevel="0" collapsed="false">
      <c r="A27" s="5" t="n">
        <v>21</v>
      </c>
      <c r="B27" s="5" t="s">
        <v>105</v>
      </c>
      <c r="C27" s="5" t="s">
        <v>24</v>
      </c>
      <c r="D27" s="66" t="n">
        <v>8</v>
      </c>
      <c r="E27" s="10" t="n">
        <v>24527</v>
      </c>
      <c r="F27" s="57" t="n">
        <f aca="false">IF(AND(D27&gt;0,N(E27)&gt;0),E27/D27,"")</f>
        <v>3065.875</v>
      </c>
      <c r="G27" s="48" t="n">
        <f aca="false">IFERROR(INDEX(Prices!$C$6:$C$300,MATCH(B27,Prices!$A$6:$A$300,0)),"")</f>
        <v>2370</v>
      </c>
      <c r="H27" s="8" t="n">
        <f aca="false">IF(ISNUMBER(G27),D27*G27,0)</f>
        <v>18960</v>
      </c>
      <c r="I27" s="8" t="n">
        <f aca="false">H27-N(E27)</f>
        <v>-5567</v>
      </c>
      <c r="J27" s="9" t="n">
        <f aca="false">IF(N(E27)&gt;0,I27/E27,"")</f>
        <v>-0.226974354792677</v>
      </c>
      <c r="K27" s="9" t="n">
        <f aca="false">IF($H$6=0,"",H27/$H$6)</f>
        <v>0.00169777984794689</v>
      </c>
      <c r="L27" s="10" t="n">
        <v>20120</v>
      </c>
      <c r="M27" s="57" t="n">
        <f aca="false">IF(ISNUMBER(L27),L27/D27,"")</f>
        <v>2515</v>
      </c>
      <c r="N27" s="8" t="n">
        <f aca="false">IF(ISNUMBER(L27),H27-L27,"")</f>
        <v>-1160</v>
      </c>
      <c r="O27" s="67"/>
    </row>
    <row r="28" customFormat="false" ht="15" hidden="false" customHeight="false" outlineLevel="0" collapsed="false">
      <c r="A28" s="5" t="n">
        <v>22</v>
      </c>
      <c r="B28" s="5" t="s">
        <v>100</v>
      </c>
      <c r="C28" s="5" t="s">
        <v>24</v>
      </c>
      <c r="D28" s="66" t="n">
        <v>5</v>
      </c>
      <c r="E28" s="10" t="n">
        <v>13937</v>
      </c>
      <c r="F28" s="57" t="n">
        <f aca="false">IF(AND(D28&gt;0,N(E28)&gt;0),E28/D28,"")</f>
        <v>2787.4</v>
      </c>
      <c r="G28" s="48" t="n">
        <f aca="false">IFERROR(INDEX(Prices!$C$6:$C$300,MATCH(B28,Prices!$A$6:$A$300,0)),"")</f>
        <v>2775.8</v>
      </c>
      <c r="H28" s="8" t="n">
        <f aca="false">IF(ISNUMBER(G28),D28*G28,0)</f>
        <v>13879</v>
      </c>
      <c r="I28" s="8" t="n">
        <f aca="false">H28-N(E28)</f>
        <v>-58</v>
      </c>
      <c r="J28" s="9" t="n">
        <f aca="false">IF(N(E28)&gt;0,I28/E28,"")</f>
        <v>-0.00416158427208151</v>
      </c>
      <c r="K28" s="9" t="n">
        <f aca="false">IF($H$6=0,"",H28/$H$6)</f>
        <v>0.0012427999213953</v>
      </c>
      <c r="L28" s="10"/>
      <c r="M28" s="57" t="str">
        <f aca="false">IF(ISNUMBER(L28),L28/D28,"")</f>
        <v/>
      </c>
      <c r="N28" s="8" t="str">
        <f aca="false">IF(ISNUMBER(L28),H28-L28,"")</f>
        <v/>
      </c>
      <c r="O28" s="67" t="s">
        <v>254</v>
      </c>
    </row>
    <row r="29" customFormat="false" ht="15" hidden="false" customHeight="false" outlineLevel="0" collapsed="false">
      <c r="A29" s="5" t="n">
        <v>23</v>
      </c>
      <c r="B29" s="5" t="s">
        <v>106</v>
      </c>
      <c r="C29" s="5" t="s">
        <v>24</v>
      </c>
      <c r="D29" s="66" t="n">
        <v>4</v>
      </c>
      <c r="E29" s="10" t="n">
        <v>5602</v>
      </c>
      <c r="F29" s="57" t="n">
        <f aca="false">IF(AND(D29&gt;0,N(E29)&gt;0),E29/D29,"")</f>
        <v>1400.5</v>
      </c>
      <c r="G29" s="48" t="n">
        <f aca="false">IFERROR(INDEX(Prices!$C$6:$C$300,MATCH(B29,Prices!$A$6:$A$300,0)),"")</f>
        <v>1189.9</v>
      </c>
      <c r="H29" s="8" t="n">
        <f aca="false">IF(ISNUMBER(G29),D29*G29,0)</f>
        <v>4759.6</v>
      </c>
      <c r="I29" s="8" t="n">
        <f aca="false">H29-N(E29)</f>
        <v>-842.4</v>
      </c>
      <c r="J29" s="9" t="n">
        <f aca="false">IF(N(E29)&gt;0,I29/E29,"")</f>
        <v>-0.150374866119243</v>
      </c>
      <c r="K29" s="9" t="n">
        <f aca="false">IF($H$6=0,"",H29/$H$6)</f>
        <v>0.000426200050859073</v>
      </c>
      <c r="L29" s="10" t="n">
        <v>4971</v>
      </c>
      <c r="M29" s="57" t="n">
        <f aca="false">IF(ISNUMBER(L29),L29/D29,"")</f>
        <v>1242.75</v>
      </c>
      <c r="N29" s="8" t="n">
        <f aca="false">IF(ISNUMBER(L29),H29-L29,"")</f>
        <v>-211.4</v>
      </c>
      <c r="O29" s="67"/>
    </row>
    <row r="30" customFormat="false" ht="15" hidden="false" customHeight="false" outlineLevel="0" collapsed="false">
      <c r="A30" s="5" t="n">
        <v>24</v>
      </c>
      <c r="B30" s="5" t="s">
        <v>156</v>
      </c>
      <c r="C30" s="5" t="s">
        <v>24</v>
      </c>
      <c r="D30" s="66" t="n">
        <v>3</v>
      </c>
      <c r="E30" s="10" t="n">
        <v>2928</v>
      </c>
      <c r="F30" s="57" t="n">
        <f aca="false">IF(AND(D30&gt;0,N(E30)&gt;0),E30/D30,"")</f>
        <v>976</v>
      </c>
      <c r="G30" s="48" t="n">
        <f aca="false">IFERROR(INDEX(Prices!$C$6:$C$300,MATCH(B30,Prices!$A$6:$A$300,0)),"")</f>
        <v>718.95</v>
      </c>
      <c r="H30" s="8" t="n">
        <f aca="false">IF(ISNUMBER(G30),D30*G30,0)</f>
        <v>2156.85</v>
      </c>
      <c r="I30" s="8" t="n">
        <f aca="false">H30-N(E30)</f>
        <v>-771.15</v>
      </c>
      <c r="J30" s="9" t="n">
        <f aca="false">IF(N(E30)&gt;0,I30/E30,"")</f>
        <v>-0.263370901639344</v>
      </c>
      <c r="K30" s="9" t="n">
        <f aca="false">IF($H$6=0,"",H30/$H$6)</f>
        <v>0.000193135889506553</v>
      </c>
      <c r="L30" s="10" t="n">
        <v>2479</v>
      </c>
      <c r="M30" s="57" t="n">
        <f aca="false">IF(ISNUMBER(L30),L30/D30,"")</f>
        <v>826.333333333333</v>
      </c>
      <c r="N30" s="8" t="n">
        <f aca="false">IF(ISNUMBER(L30),H30-L30,"")</f>
        <v>-322.15</v>
      </c>
      <c r="O30" s="67"/>
    </row>
    <row r="31" customFormat="false" ht="15" hidden="false" customHeight="false" outlineLevel="0" collapsed="false">
      <c r="A31" s="5" t="n">
        <v>25</v>
      </c>
      <c r="B31" s="5" t="s">
        <v>118</v>
      </c>
      <c r="C31" s="5" t="s">
        <v>24</v>
      </c>
      <c r="D31" s="66" t="n">
        <v>11</v>
      </c>
      <c r="E31" s="10" t="n">
        <v>1387</v>
      </c>
      <c r="F31" s="57" t="n">
        <f aca="false">IF(AND(D31&gt;0,N(E31)&gt;0),E31/D31,"")</f>
        <v>126.090909090909</v>
      </c>
      <c r="G31" s="48" t="n">
        <f aca="false">IFERROR(INDEX(Prices!$C$6:$C$300,MATCH(B31,Prices!$A$6:$A$300,0)),"")</f>
        <v>127</v>
      </c>
      <c r="H31" s="8" t="n">
        <f aca="false">IF(ISNUMBER(G31),D31*G31,0)</f>
        <v>1397</v>
      </c>
      <c r="I31" s="8" t="n">
        <f aca="false">H31-N(E31)</f>
        <v>10</v>
      </c>
      <c r="J31" s="9" t="n">
        <f aca="false">IF(N(E31)&gt;0,I31/E31,"")</f>
        <v>0.00720980533525595</v>
      </c>
      <c r="K31" s="9" t="n">
        <f aca="false">IF($H$6=0,"",H31/$H$6)</f>
        <v>0.000125094854830264</v>
      </c>
      <c r="L31" s="10" t="n">
        <v>1363</v>
      </c>
      <c r="M31" s="57" t="n">
        <f aca="false">IF(ISNUMBER(L31),L31/D31,"")</f>
        <v>123.909090909091</v>
      </c>
      <c r="N31" s="8" t="n">
        <f aca="false">IF(ISNUMBER(L31),H31-L31,"")</f>
        <v>34</v>
      </c>
      <c r="O31" s="67"/>
    </row>
  </sheetData>
  <conditionalFormatting sqref="G7:G300">
    <cfRule type="expression" priority="2" aboveAverage="0" equalAverage="0" bottom="0" percent="0" rank="0" text="" dxfId="0">
      <formula>ISNUMBER(SEARCH("stale",INDEX(Prices!$D$6:$D$300,MATCH($B7,Prices!$A$6:$A$300,0))))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3" min="3" style="0" width="17"/>
    <col collapsed="false" customWidth="true" hidden="false" outlineLevel="0" max="4" min="4" style="0" width="10"/>
    <col collapsed="false" customWidth="true" hidden="false" outlineLevel="0" max="5" min="5" style="0" width="14"/>
    <col collapsed="false" customWidth="true" hidden="false" outlineLevel="0" max="6" min="6" style="0" width="12"/>
    <col collapsed="false" customWidth="true" hidden="false" outlineLevel="0" max="7" min="7" style="0" width="11"/>
    <col collapsed="false" customWidth="true" hidden="false" outlineLevel="0" max="8" min="8" style="0" width="14"/>
    <col collapsed="false" customWidth="true" hidden="false" outlineLevel="0" max="9" min="9" style="0" width="13"/>
    <col collapsed="false" customWidth="true" hidden="false" outlineLevel="0" max="10" min="10" style="0" width="8"/>
    <col collapsed="false" customWidth="true" hidden="false" outlineLevel="0" max="11" min="11" style="0" width="9"/>
    <col collapsed="false" customWidth="true" hidden="false" outlineLevel="0" max="12" min="12" style="0" width="14"/>
    <col collapsed="false" customWidth="true" hidden="false" outlineLevel="0" max="13" min="13" style="0" width="11"/>
    <col collapsed="false" customWidth="true" hidden="false" outlineLevel="0" max="14" min="14" style="0" width="13"/>
    <col collapsed="false" customWidth="true" hidden="false" outlineLevel="0" max="15" min="15" style="0" width="38"/>
    <col collapsed="false" customWidth="true" hidden="false" outlineLevel="0" max="17" min="17" style="0" width="19"/>
    <col collapsed="false" customWidth="true" hidden="false" outlineLevel="0" max="18" min="18" style="0" width="6"/>
    <col collapsed="false" customWidth="true" hidden="false" outlineLevel="0" max="19" min="19" style="0" width="24"/>
    <col collapsed="false" customWidth="true" hidden="false" outlineLevel="0" max="20" min="20" style="0" width="6"/>
    <col collapsed="false" customWidth="true" hidden="false" outlineLevel="0" max="21" min="21" style="0" width="12"/>
    <col collapsed="false" customWidth="true" hidden="false" outlineLevel="0" max="22" min="22" style="0" width="11"/>
  </cols>
  <sheetData>
    <row r="1" customFormat="false" ht="17.35" hidden="false" customHeight="false" outlineLevel="0" collapsed="false">
      <c r="A1" s="1" t="s">
        <v>66</v>
      </c>
    </row>
    <row r="2" customFormat="false" ht="15" hidden="false" customHeight="false" outlineLevel="0" collapsed="false">
      <c r="A2" s="2" t="s">
        <v>255</v>
      </c>
    </row>
    <row r="3" customFormat="false" ht="15" hidden="false" customHeight="false" outlineLevel="0" collapsed="false">
      <c r="A3" s="2" t="s">
        <v>186</v>
      </c>
    </row>
    <row r="5" customFormat="false" ht="31.5" hidden="false" customHeight="true" outlineLevel="0" collapsed="false">
      <c r="A5" s="25" t="s">
        <v>69</v>
      </c>
      <c r="B5" s="25" t="s">
        <v>187</v>
      </c>
      <c r="C5" s="25" t="s">
        <v>3</v>
      </c>
      <c r="D5" s="25" t="s">
        <v>188</v>
      </c>
      <c r="E5" s="25" t="s">
        <v>189</v>
      </c>
      <c r="F5" s="25" t="s">
        <v>74</v>
      </c>
      <c r="G5" s="25" t="s">
        <v>70</v>
      </c>
      <c r="H5" s="25" t="s">
        <v>8</v>
      </c>
      <c r="I5" s="25" t="s">
        <v>9</v>
      </c>
      <c r="J5" s="25" t="s">
        <v>10</v>
      </c>
      <c r="K5" s="25" t="s">
        <v>190</v>
      </c>
      <c r="L5" s="25" t="s">
        <v>191</v>
      </c>
      <c r="M5" s="25" t="s">
        <v>192</v>
      </c>
      <c r="N5" s="25" t="s">
        <v>193</v>
      </c>
      <c r="O5" s="25" t="s">
        <v>194</v>
      </c>
      <c r="Q5" s="31" t="s">
        <v>256</v>
      </c>
    </row>
    <row r="6" customFormat="false" ht="15" hidden="false" customHeight="false" outlineLevel="0" collapsed="false">
      <c r="A6" s="13"/>
      <c r="B6" s="13" t="s">
        <v>78</v>
      </c>
      <c r="C6" s="13"/>
      <c r="D6" s="13"/>
      <c r="E6" s="83" t="n">
        <f aca="false">SUM(E7:E18)</f>
        <v>201361</v>
      </c>
      <c r="F6" s="13"/>
      <c r="G6" s="13"/>
      <c r="H6" s="83" t="n">
        <f aca="false">SUM(H7:H18)</f>
        <v>226299.362921147</v>
      </c>
      <c r="I6" s="83" t="n">
        <f aca="false">H6-E6</f>
        <v>24938.362921147</v>
      </c>
      <c r="J6" s="84" t="n">
        <f aca="false">IF(E6&gt;0,I6/E6,"")</f>
        <v>0.12384902201095</v>
      </c>
      <c r="K6" s="84" t="n">
        <f aca="false">SUM(K7:K18)</f>
        <v>1</v>
      </c>
      <c r="L6" s="83" t="n">
        <f aca="false">SUM(L7:L18)</f>
        <v>230321</v>
      </c>
      <c r="M6" s="13"/>
      <c r="N6" s="83" t="n">
        <f aca="false">SUM(N7:N18)</f>
        <v>-4021.63707885304</v>
      </c>
      <c r="O6" s="13"/>
      <c r="Q6" s="25" t="s">
        <v>196</v>
      </c>
      <c r="R6" s="25" t="s">
        <v>197</v>
      </c>
      <c r="S6" s="25" t="s">
        <v>198</v>
      </c>
      <c r="T6" s="25" t="s">
        <v>73</v>
      </c>
      <c r="U6" s="25" t="s">
        <v>199</v>
      </c>
      <c r="V6" s="25" t="s">
        <v>200</v>
      </c>
    </row>
    <row r="7" customFormat="false" ht="15" hidden="false" customHeight="false" outlineLevel="0" collapsed="false">
      <c r="A7" s="5" t="n">
        <v>1</v>
      </c>
      <c r="B7" s="5" t="s">
        <v>79</v>
      </c>
      <c r="C7" s="5" t="s">
        <v>28</v>
      </c>
      <c r="D7" s="66" t="n">
        <v>121</v>
      </c>
      <c r="E7" s="10" t="n">
        <v>92928</v>
      </c>
      <c r="F7" s="57" t="n">
        <f aca="false">IF(AND(D7&gt;0,N(E7)&gt;0),E7/D7,"")</f>
        <v>768</v>
      </c>
      <c r="G7" s="48" t="n">
        <f aca="false">IFERROR(INDEX(Prices!$C$6:$C$300,MATCH(B7,Prices!$A$6:$A$300,0)),"")</f>
        <v>942.1</v>
      </c>
      <c r="H7" s="8" t="n">
        <f aca="false">IF(ISNUMBER(G7),D7*G7,0)</f>
        <v>113994.1</v>
      </c>
      <c r="I7" s="8" t="n">
        <f aca="false">H7-N(E7)</f>
        <v>21066.1</v>
      </c>
      <c r="J7" s="9" t="n">
        <f aca="false">IF(N(E7)&gt;0,I7/E7,"")</f>
        <v>0.226692708333333</v>
      </c>
      <c r="K7" s="9" t="n">
        <f aca="false">IF($H$6=0,"",H7/$H$6)</f>
        <v>0.503731422521595</v>
      </c>
      <c r="L7" s="10" t="n">
        <v>117842</v>
      </c>
      <c r="M7" s="57" t="n">
        <f aca="false">IF(ISNUMBER(L7),L7/D7,"")</f>
        <v>973.900826446281</v>
      </c>
      <c r="N7" s="8" t="n">
        <f aca="false">IF(ISNUMBER(L7),H7-L7,"")</f>
        <v>-3847.89999999999</v>
      </c>
      <c r="O7" s="67"/>
      <c r="Q7" s="68" t="s">
        <v>257</v>
      </c>
      <c r="R7" s="68" t="s">
        <v>202</v>
      </c>
      <c r="S7" s="68" t="s">
        <v>83</v>
      </c>
      <c r="T7" s="68" t="n">
        <v>8</v>
      </c>
      <c r="U7" s="63" t="n">
        <v>451</v>
      </c>
      <c r="V7" s="10" t="n">
        <v>3606</v>
      </c>
    </row>
    <row r="8" customFormat="false" ht="15" hidden="false" customHeight="false" outlineLevel="0" collapsed="false">
      <c r="A8" s="5" t="n">
        <v>2</v>
      </c>
      <c r="B8" s="5" t="s">
        <v>80</v>
      </c>
      <c r="C8" s="5" t="s">
        <v>28</v>
      </c>
      <c r="D8" s="66" t="n">
        <v>9</v>
      </c>
      <c r="E8" s="10" t="n">
        <v>28441</v>
      </c>
      <c r="F8" s="57" t="n">
        <f aca="false">IF(AND(D8&gt;0,N(E8)&gt;0),E8/D8,"")</f>
        <v>3160.11111111111</v>
      </c>
      <c r="G8" s="48" t="n">
        <f aca="false">IFERROR(INDEX(Prices!$C$6:$C$300,MATCH(B8,Prices!$A$6:$A$300,0)),"")</f>
        <v>4350</v>
      </c>
      <c r="H8" s="8" t="n">
        <f aca="false">IF(ISNUMBER(G8),D8*G8,0)</f>
        <v>39150</v>
      </c>
      <c r="I8" s="8" t="n">
        <f aca="false">H8-N(E8)</f>
        <v>10709</v>
      </c>
      <c r="J8" s="9" t="n">
        <f aca="false">IF(N(E8)&gt;0,I8/E8,"")</f>
        <v>0.376533877149186</v>
      </c>
      <c r="K8" s="9" t="n">
        <f aca="false">IF($H$6=0,"",H8/$H$6)</f>
        <v>0.173000928922817</v>
      </c>
      <c r="L8" s="10" t="n">
        <v>41130</v>
      </c>
      <c r="M8" s="57" t="n">
        <f aca="false">IF(ISNUMBER(L8),L8/D8,"")</f>
        <v>4570</v>
      </c>
      <c r="N8" s="8" t="n">
        <f aca="false">IF(ISNUMBER(L8),H8-L8,"")</f>
        <v>-1980</v>
      </c>
      <c r="O8" s="67"/>
      <c r="Q8" s="68" t="s">
        <v>258</v>
      </c>
      <c r="R8" s="68" t="s">
        <v>202</v>
      </c>
      <c r="S8" s="68" t="s">
        <v>82</v>
      </c>
      <c r="T8" s="68" t="n">
        <v>2</v>
      </c>
      <c r="U8" s="63" t="n">
        <v>707</v>
      </c>
      <c r="V8" s="10" t="n">
        <v>1414</v>
      </c>
    </row>
    <row r="9" customFormat="false" ht="15" hidden="false" customHeight="false" outlineLevel="0" collapsed="false">
      <c r="A9" s="5" t="n">
        <v>3</v>
      </c>
      <c r="B9" s="5" t="s">
        <v>83</v>
      </c>
      <c r="C9" s="5" t="s">
        <v>28</v>
      </c>
      <c r="D9" s="66" t="n">
        <v>38</v>
      </c>
      <c r="E9" s="10" t="n">
        <v>17192</v>
      </c>
      <c r="F9" s="57" t="n">
        <f aca="false">IF(AND(D9&gt;0,N(E9)&gt;0),E9/D9,"")</f>
        <v>452.421052631579</v>
      </c>
      <c r="G9" s="48" t="n">
        <f aca="false">IFERROR(INDEX(Prices!$C$6:$C$300,MATCH(B9,Prices!$A$6:$A$300,0)),"")</f>
        <v>432.45</v>
      </c>
      <c r="H9" s="8" t="n">
        <f aca="false">IF(ISNUMBER(G9),D9*G9,0)</f>
        <v>16433.1</v>
      </c>
      <c r="I9" s="8" t="n">
        <f aca="false">H9-N(E9)</f>
        <v>-758.900000000002</v>
      </c>
      <c r="J9" s="9" t="n">
        <f aca="false">IF(N(E9)&gt;0,I9/E9,"")</f>
        <v>-0.0441426244765008</v>
      </c>
      <c r="K9" s="9" t="n">
        <f aca="false">IF($H$6=0,"",H9/$H$6)</f>
        <v>0.0726166427862461</v>
      </c>
      <c r="L9" s="10" t="n">
        <v>17123</v>
      </c>
      <c r="M9" s="57" t="n">
        <f aca="false">IF(ISNUMBER(L9),L9/D9,"")</f>
        <v>450.605263157895</v>
      </c>
      <c r="N9" s="8" t="n">
        <f aca="false">IF(ISNUMBER(L9),H9-L9,"")</f>
        <v>-689.900000000002</v>
      </c>
      <c r="O9" s="67"/>
      <c r="Q9" s="68" t="s">
        <v>259</v>
      </c>
      <c r="R9" s="68" t="s">
        <v>202</v>
      </c>
      <c r="S9" s="68" t="s">
        <v>79</v>
      </c>
      <c r="T9" s="68" t="n">
        <v>5</v>
      </c>
      <c r="U9" s="63" t="n">
        <v>974</v>
      </c>
      <c r="V9" s="10" t="n">
        <v>4869</v>
      </c>
    </row>
    <row r="10" customFormat="false" ht="15" hidden="false" customHeight="false" outlineLevel="0" collapsed="false">
      <c r="A10" s="5" t="n">
        <v>4</v>
      </c>
      <c r="B10" s="5" t="s">
        <v>82</v>
      </c>
      <c r="C10" s="5" t="s">
        <v>28</v>
      </c>
      <c r="D10" s="66" t="n">
        <v>21</v>
      </c>
      <c r="E10" s="10" t="n">
        <v>16598</v>
      </c>
      <c r="F10" s="57" t="n">
        <f aca="false">IF(AND(D10&gt;0,N(E10)&gt;0),E10/D10,"")</f>
        <v>790.380952380952</v>
      </c>
      <c r="G10" s="48" t="n">
        <f aca="false">IFERROR(INDEX(Prices!$C$6:$C$300,MATCH(B10,Prices!$A$6:$A$300,0)),"")</f>
        <v>694.05</v>
      </c>
      <c r="H10" s="8" t="n">
        <f aca="false">IF(ISNUMBER(G10),D10*G10,0)</f>
        <v>14575.05</v>
      </c>
      <c r="I10" s="8" t="n">
        <f aca="false">H10-N(E10)</f>
        <v>-2022.95</v>
      </c>
      <c r="J10" s="9" t="n">
        <f aca="false">IF(N(E10)&gt;0,I10/E10,"")</f>
        <v>-0.121879142065309</v>
      </c>
      <c r="K10" s="9" t="n">
        <f aca="false">IF($H$6=0,"",H10/$H$6)</f>
        <v>0.0644060584698977</v>
      </c>
      <c r="L10" s="10" t="n">
        <v>14863</v>
      </c>
      <c r="M10" s="57" t="n">
        <f aca="false">IF(ISNUMBER(L10),L10/D10,"")</f>
        <v>707.761904761905</v>
      </c>
      <c r="N10" s="8" t="n">
        <f aca="false">IF(ISNUMBER(L10),H10-L10,"")</f>
        <v>-287.950000000001</v>
      </c>
      <c r="O10" s="67"/>
      <c r="S10" s="69" t="s">
        <v>208</v>
      </c>
      <c r="V10" s="70" t="n">
        <f aca="false">SUMIFS(V7:V9,R7:R9,"BUY")-SUMIFS(V7:V9,R7:R9,"SELL")</f>
        <v>9889</v>
      </c>
    </row>
    <row r="11" customFormat="false" ht="15" hidden="false" customHeight="false" outlineLevel="0" collapsed="false">
      <c r="A11" s="5" t="n">
        <v>5</v>
      </c>
      <c r="B11" s="5" t="s">
        <v>114</v>
      </c>
      <c r="C11" s="5" t="s">
        <v>28</v>
      </c>
      <c r="D11" s="66" t="n">
        <v>9</v>
      </c>
      <c r="E11" s="10" t="n">
        <v>10284</v>
      </c>
      <c r="F11" s="57" t="n">
        <f aca="false">IF(AND(D11&gt;0,N(E11)&gt;0),E11/D11,"")</f>
        <v>1142.66666666667</v>
      </c>
      <c r="G11" s="48" t="n">
        <f aca="false">IFERROR(INDEX(Prices!$C$6:$C$300,MATCH(B11,Prices!$A$6:$A$300,0)),"")</f>
        <v>1421.7</v>
      </c>
      <c r="H11" s="8" t="n">
        <f aca="false">IF(ISNUMBER(G11),D11*G11,0)</f>
        <v>12795.3</v>
      </c>
      <c r="I11" s="8" t="n">
        <f aca="false">H11-N(E11)</f>
        <v>2511.3</v>
      </c>
      <c r="J11" s="9" t="n">
        <f aca="false">IF(N(E11)&gt;0,I11/E11,"")</f>
        <v>0.244194865810969</v>
      </c>
      <c r="K11" s="9" t="n">
        <f aca="false">IF($H$6=0,"",H11/$H$6)</f>
        <v>0.056541476011395</v>
      </c>
      <c r="L11" s="10" t="n">
        <v>10815</v>
      </c>
      <c r="M11" s="57" t="n">
        <f aca="false">IF(ISNUMBER(L11),L11/D11,"")</f>
        <v>1201.66666666667</v>
      </c>
      <c r="N11" s="8" t="n">
        <f aca="false">IF(ISNUMBER(L11),H11-L11,"")</f>
        <v>1980.3</v>
      </c>
      <c r="O11" s="67"/>
    </row>
    <row r="12" customFormat="false" ht="15" hidden="false" customHeight="false" outlineLevel="0" collapsed="false">
      <c r="A12" s="5" t="n">
        <v>6</v>
      </c>
      <c r="B12" s="5" t="s">
        <v>87</v>
      </c>
      <c r="C12" s="5" t="s">
        <v>28</v>
      </c>
      <c r="D12" s="66" t="n">
        <v>121</v>
      </c>
      <c r="E12" s="10" t="n">
        <v>13968</v>
      </c>
      <c r="F12" s="57" t="n">
        <f aca="false">IF(AND(D12&gt;0,N(E12)&gt;0),E12/D12,"")</f>
        <v>115.438016528926</v>
      </c>
      <c r="G12" s="48" t="n">
        <f aca="false">IFERROR(INDEX(Prices!$C$6:$C$300,MATCH(B12,Prices!$A$6:$A$300,0)),"")</f>
        <v>81.02</v>
      </c>
      <c r="H12" s="8" t="n">
        <f aca="false">IF(ISNUMBER(G12),D12*G12,0)</f>
        <v>9803.42</v>
      </c>
      <c r="I12" s="8" t="n">
        <f aca="false">H12-N(E12)</f>
        <v>-4164.58</v>
      </c>
      <c r="J12" s="9" t="n">
        <f aca="false">IF(N(E12)&gt;0,I12/E12,"")</f>
        <v>-0.298151489117984</v>
      </c>
      <c r="K12" s="9" t="n">
        <f aca="false">IF($H$6=0,"",H12/$H$6)</f>
        <v>0.043320581522874</v>
      </c>
      <c r="L12" s="10" t="n">
        <v>9898</v>
      </c>
      <c r="M12" s="57" t="n">
        <f aca="false">IF(ISNUMBER(L12),L12/D12,"")</f>
        <v>81.801652892562</v>
      </c>
      <c r="N12" s="8" t="n">
        <f aca="false">IF(ISNUMBER(L12),H12-L12,"")</f>
        <v>-94.5799999999999</v>
      </c>
      <c r="O12" s="67"/>
    </row>
    <row r="13" customFormat="false" ht="15" hidden="false" customHeight="false" outlineLevel="0" collapsed="false">
      <c r="A13" s="5" t="n">
        <v>7</v>
      </c>
      <c r="B13" s="5" t="s">
        <v>86</v>
      </c>
      <c r="C13" s="5" t="s">
        <v>28</v>
      </c>
      <c r="D13" s="66" t="n">
        <v>2</v>
      </c>
      <c r="E13" s="10" t="n">
        <v>10198</v>
      </c>
      <c r="F13" s="57" t="n">
        <f aca="false">IF(AND(D13&gt;0,N(E13)&gt;0),E13/D13,"")</f>
        <v>5099</v>
      </c>
      <c r="G13" s="48" t="n">
        <f aca="false">IFERROR(INDEX(Prices!$C$6:$C$300,MATCH(B13,Prices!$A$6:$A$300,0)),"")</f>
        <v>4274</v>
      </c>
      <c r="H13" s="8" t="n">
        <f aca="false">IF(ISNUMBER(G13),D13*G13,0)</f>
        <v>8548</v>
      </c>
      <c r="I13" s="8" t="n">
        <f aca="false">H13-N(E13)</f>
        <v>-1650</v>
      </c>
      <c r="J13" s="9" t="n">
        <f aca="false">IF(N(E13)&gt;0,I13/E13,"")</f>
        <v>-0.161796430672681</v>
      </c>
      <c r="K13" s="9" t="n">
        <f aca="false">IF($H$6=0,"",H13/$H$6)</f>
        <v>0.0377729742128285</v>
      </c>
      <c r="L13" s="10" t="n">
        <v>7972</v>
      </c>
      <c r="M13" s="57" t="n">
        <f aca="false">IF(ISNUMBER(L13),L13/D13,"")</f>
        <v>3986</v>
      </c>
      <c r="N13" s="8" t="n">
        <f aca="false">IF(ISNUMBER(L13),H13-L13,"")</f>
        <v>576</v>
      </c>
      <c r="O13" s="67"/>
    </row>
    <row r="14" customFormat="false" ht="15" hidden="false" customHeight="false" outlineLevel="0" collapsed="false">
      <c r="A14" s="5" t="n">
        <v>8</v>
      </c>
      <c r="B14" s="5" t="s">
        <v>94</v>
      </c>
      <c r="C14" s="5" t="s">
        <v>28</v>
      </c>
      <c r="D14" s="66" t="n">
        <v>3</v>
      </c>
      <c r="E14" s="10" t="n">
        <v>4954</v>
      </c>
      <c r="F14" s="57" t="n">
        <f aca="false">IF(AND(D14&gt;0,N(E14)&gt;0),E14/D14,"")</f>
        <v>1651.33333333333</v>
      </c>
      <c r="G14" s="48" t="n">
        <f aca="false">IFERROR(INDEX(Prices!$C$6:$C$300,MATCH(B14,Prices!$A$6:$A$300,0)),"")</f>
        <v>1362.8</v>
      </c>
      <c r="H14" s="8" t="n">
        <f aca="false">IF(ISNUMBER(G14),D14*G14,0)</f>
        <v>4088.4</v>
      </c>
      <c r="I14" s="8" t="n">
        <f aca="false">H14-N(E14)</f>
        <v>-865.6</v>
      </c>
      <c r="J14" s="9" t="n">
        <f aca="false">IF(N(E14)&gt;0,I14/E14,"")</f>
        <v>-0.174727492935002</v>
      </c>
      <c r="K14" s="9" t="n">
        <f aca="false">IF($H$6=0,"",H14/$H$6)</f>
        <v>0.0180663345544839</v>
      </c>
      <c r="L14" s="10" t="n">
        <v>4370</v>
      </c>
      <c r="M14" s="57" t="n">
        <f aca="false">IF(ISNUMBER(L14),L14/D14,"")</f>
        <v>1456.66666666667</v>
      </c>
      <c r="N14" s="8" t="n">
        <f aca="false">IF(ISNUMBER(L14),H14-L14,"")</f>
        <v>-281.6</v>
      </c>
      <c r="O14" s="67"/>
    </row>
    <row r="15" customFormat="false" ht="15" hidden="false" customHeight="false" outlineLevel="0" collapsed="false">
      <c r="A15" s="5" t="n">
        <v>9</v>
      </c>
      <c r="B15" s="5" t="s">
        <v>89</v>
      </c>
      <c r="C15" s="5" t="s">
        <v>28</v>
      </c>
      <c r="D15" s="66" t="n">
        <v>1</v>
      </c>
      <c r="E15" s="10" t="n">
        <v>4607</v>
      </c>
      <c r="F15" s="57" t="n">
        <f aca="false">IF(AND(D15&gt;0,N(E15)&gt;0),E15/D15,"")</f>
        <v>4607</v>
      </c>
      <c r="G15" s="48" t="n">
        <f aca="false">IFERROR(INDEX(Prices!$C$6:$C$300,MATCH(B15,Prices!$A$6:$A$300,0)),"")</f>
        <v>3954.8</v>
      </c>
      <c r="H15" s="8" t="n">
        <f aca="false">IF(ISNUMBER(G15),D15*G15,0)</f>
        <v>3954.8</v>
      </c>
      <c r="I15" s="8" t="n">
        <f aca="false">H15-N(E15)</f>
        <v>-652.2</v>
      </c>
      <c r="J15" s="9" t="n">
        <f aca="false">IF(N(E15)&gt;0,I15/E15,"")</f>
        <v>-0.141567180377686</v>
      </c>
      <c r="K15" s="9" t="n">
        <f aca="false">IF($H$6=0,"",H15/$H$6)</f>
        <v>0.0174759661227064</v>
      </c>
      <c r="L15" s="10" t="n">
        <v>3219</v>
      </c>
      <c r="M15" s="57" t="n">
        <f aca="false">IF(ISNUMBER(L15),L15/D15,"")</f>
        <v>3219</v>
      </c>
      <c r="N15" s="8" t="n">
        <f aca="false">IF(ISNUMBER(L15),H15-L15,"")</f>
        <v>735.8</v>
      </c>
      <c r="O15" s="67"/>
    </row>
    <row r="16" customFormat="false" ht="15" hidden="false" customHeight="false" outlineLevel="0" collapsed="false">
      <c r="A16" s="5" t="n">
        <v>10</v>
      </c>
      <c r="B16" s="5" t="s">
        <v>91</v>
      </c>
      <c r="C16" s="5" t="s">
        <v>28</v>
      </c>
      <c r="D16" s="66" t="n">
        <v>50</v>
      </c>
      <c r="E16" s="10" t="n">
        <v>1877</v>
      </c>
      <c r="F16" s="57" t="n">
        <f aca="false">IF(AND(D16&gt;0,N(E16)&gt;0),E16/D16,"")</f>
        <v>37.54</v>
      </c>
      <c r="G16" s="48" t="n">
        <f aca="false">IFERROR(INDEX(Prices!$C$6:$C$300,MATCH(B16,Prices!$A$6:$A$300,0)),"")</f>
        <v>51.55</v>
      </c>
      <c r="H16" s="8" t="n">
        <f aca="false">IF(ISNUMBER(G16),D16*G16,0)</f>
        <v>2577.5</v>
      </c>
      <c r="I16" s="8" t="n">
        <f aca="false">H16-N(E16)</f>
        <v>700.5</v>
      </c>
      <c r="J16" s="9" t="n">
        <f aca="false">IF(N(E16)&gt;0,I16/E16,"")</f>
        <v>0.373201917954182</v>
      </c>
      <c r="K16" s="9" t="n">
        <f aca="false">IF($H$6=0,"",H16/$H$6)</f>
        <v>0.0113897801864255</v>
      </c>
      <c r="L16" s="10" t="n">
        <v>2711</v>
      </c>
      <c r="M16" s="57" t="n">
        <f aca="false">IF(ISNUMBER(L16),L16/D16,"")</f>
        <v>54.22</v>
      </c>
      <c r="N16" s="8" t="n">
        <f aca="false">IF(ISNUMBER(L16),H16-L16,"")</f>
        <v>-133.5</v>
      </c>
      <c r="O16" s="67"/>
    </row>
    <row r="17" customFormat="false" ht="15" hidden="false" customHeight="false" outlineLevel="0" collapsed="false">
      <c r="A17" s="5" t="n">
        <v>11</v>
      </c>
      <c r="B17" s="5" t="s">
        <v>81</v>
      </c>
      <c r="C17" s="5" t="s">
        <v>28</v>
      </c>
      <c r="D17" s="66" t="n">
        <v>1</v>
      </c>
      <c r="E17" s="10" t="n">
        <v>251</v>
      </c>
      <c r="F17" s="57" t="n">
        <f aca="false">IF(AND(D17&gt;0,N(E17)&gt;0),E17/D17,"")</f>
        <v>251</v>
      </c>
      <c r="G17" s="48" t="n">
        <f aca="false">IFERROR(INDEX(Prices!$C$6:$C$300,MATCH(B17,Prices!$A$6:$A$300,0)),"")</f>
        <v>256.692921146953</v>
      </c>
      <c r="H17" s="8" t="n">
        <f aca="false">IF(ISNUMBER(G17),D17*G17,0)</f>
        <v>256.692921146953</v>
      </c>
      <c r="I17" s="8" t="n">
        <f aca="false">H17-N(E17)</f>
        <v>5.69292114695338</v>
      </c>
      <c r="J17" s="9" t="n">
        <f aca="false">IF(N(E17)&gt;0,I17/E17,"")</f>
        <v>0.0226809607448342</v>
      </c>
      <c r="K17" s="9" t="n">
        <f aca="false">IF($H$6=0,"",H17/$H$6)</f>
        <v>0.00113430686606218</v>
      </c>
      <c r="L17" s="10" t="n">
        <v>257</v>
      </c>
      <c r="M17" s="57" t="n">
        <f aca="false">IF(ISNUMBER(L17),L17/D17,"")</f>
        <v>257</v>
      </c>
      <c r="N17" s="8" t="n">
        <f aca="false">IF(ISNUMBER(L17),H17-L17,"")</f>
        <v>-0.307078853046619</v>
      </c>
      <c r="O17" s="67"/>
    </row>
    <row r="18" customFormat="false" ht="15" hidden="false" customHeight="false" outlineLevel="0" collapsed="false">
      <c r="A18" s="5" t="n">
        <v>12</v>
      </c>
      <c r="B18" s="5" t="s">
        <v>146</v>
      </c>
      <c r="C18" s="5" t="s">
        <v>28</v>
      </c>
      <c r="D18" s="66" t="n">
        <v>1</v>
      </c>
      <c r="E18" s="10" t="n">
        <v>63</v>
      </c>
      <c r="F18" s="57" t="n">
        <f aca="false">IF(AND(D18&gt;0,N(E18)&gt;0),E18/D18,"")</f>
        <v>63</v>
      </c>
      <c r="G18" s="48" t="n">
        <f aca="false">IFERROR(INDEX(Prices!$C$6:$C$300,MATCH(B18,Prices!$A$6:$A$300,0)),"")</f>
        <v>123</v>
      </c>
      <c r="H18" s="8" t="n">
        <f aca="false">IF(ISNUMBER(G18),D18*G18,0)</f>
        <v>123</v>
      </c>
      <c r="I18" s="8" t="n">
        <f aca="false">H18-N(E18)</f>
        <v>60</v>
      </c>
      <c r="J18" s="9" t="n">
        <f aca="false">IF(N(E18)&gt;0,I18/E18,"")</f>
        <v>0.952380952380952</v>
      </c>
      <c r="K18" s="9" t="n">
        <f aca="false">IF($H$6=0,"",H18/$H$6)</f>
        <v>0.000543527822669385</v>
      </c>
      <c r="L18" s="10" t="n">
        <v>121</v>
      </c>
      <c r="M18" s="57" t="n">
        <f aca="false">IF(ISNUMBER(L18),L18/D18,"")</f>
        <v>121</v>
      </c>
      <c r="N18" s="8" t="n">
        <f aca="false">IF(ISNUMBER(L18),H18-L18,"")</f>
        <v>2</v>
      </c>
      <c r="O18" s="67"/>
    </row>
  </sheetData>
  <conditionalFormatting sqref="G7:G300">
    <cfRule type="expression" priority="2" aboveAverage="0" equalAverage="0" bottom="0" percent="0" rank="0" text="" dxfId="0">
      <formula>ISNUMBER(SEARCH("stale",INDEX(Prices!$D$6:$D$300,MATCH($B7,Prices!$A$6:$A$300,0))))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3" min="3" style="0" width="17"/>
    <col collapsed="false" customWidth="true" hidden="false" outlineLevel="0" max="4" min="4" style="0" width="10"/>
    <col collapsed="false" customWidth="true" hidden="false" outlineLevel="0" max="5" min="5" style="0" width="14"/>
    <col collapsed="false" customWidth="true" hidden="false" outlineLevel="0" max="6" min="6" style="0" width="12"/>
    <col collapsed="false" customWidth="true" hidden="false" outlineLevel="0" max="7" min="7" style="0" width="11"/>
    <col collapsed="false" customWidth="true" hidden="false" outlineLevel="0" max="8" min="8" style="0" width="14"/>
    <col collapsed="false" customWidth="true" hidden="false" outlineLevel="0" max="9" min="9" style="0" width="13"/>
    <col collapsed="false" customWidth="true" hidden="false" outlineLevel="0" max="10" min="10" style="0" width="8"/>
    <col collapsed="false" customWidth="true" hidden="false" outlineLevel="0" max="11" min="11" style="0" width="9"/>
    <col collapsed="false" customWidth="true" hidden="false" outlineLevel="0" max="12" min="12" style="0" width="14"/>
    <col collapsed="false" customWidth="true" hidden="false" outlineLevel="0" max="13" min="13" style="0" width="11"/>
    <col collapsed="false" customWidth="true" hidden="false" outlineLevel="0" max="14" min="14" style="0" width="13"/>
    <col collapsed="false" customWidth="true" hidden="false" outlineLevel="0" max="15" min="15" style="0" width="38"/>
    <col collapsed="false" customWidth="true" hidden="false" outlineLevel="0" max="17" min="17" style="0" width="19"/>
    <col collapsed="false" customWidth="true" hidden="false" outlineLevel="0" max="18" min="18" style="0" width="6"/>
    <col collapsed="false" customWidth="true" hidden="false" outlineLevel="0" max="19" min="19" style="0" width="24"/>
    <col collapsed="false" customWidth="true" hidden="false" outlineLevel="0" max="20" min="20" style="0" width="6"/>
    <col collapsed="false" customWidth="true" hidden="false" outlineLevel="0" max="21" min="21" style="0" width="12"/>
    <col collapsed="false" customWidth="true" hidden="false" outlineLevel="0" max="22" min="22" style="0" width="11"/>
  </cols>
  <sheetData>
    <row r="1" customFormat="false" ht="17.35" hidden="false" customHeight="false" outlineLevel="0" collapsed="false">
      <c r="A1" s="1" t="s">
        <v>67</v>
      </c>
    </row>
    <row r="2" customFormat="false" ht="15" hidden="false" customHeight="false" outlineLevel="0" collapsed="false">
      <c r="A2" s="2" t="s">
        <v>260</v>
      </c>
    </row>
    <row r="3" customFormat="false" ht="15" hidden="false" customHeight="false" outlineLevel="0" collapsed="false">
      <c r="A3" s="2" t="s">
        <v>186</v>
      </c>
    </row>
    <row r="5" customFormat="false" ht="31.5" hidden="false" customHeight="true" outlineLevel="0" collapsed="false">
      <c r="A5" s="26" t="s">
        <v>69</v>
      </c>
      <c r="B5" s="26" t="s">
        <v>187</v>
      </c>
      <c r="C5" s="26" t="s">
        <v>3</v>
      </c>
      <c r="D5" s="26" t="s">
        <v>188</v>
      </c>
      <c r="E5" s="26" t="s">
        <v>189</v>
      </c>
      <c r="F5" s="26" t="s">
        <v>74</v>
      </c>
      <c r="G5" s="26" t="s">
        <v>70</v>
      </c>
      <c r="H5" s="26" t="s">
        <v>8</v>
      </c>
      <c r="I5" s="26" t="s">
        <v>9</v>
      </c>
      <c r="J5" s="26" t="s">
        <v>10</v>
      </c>
      <c r="K5" s="26" t="s">
        <v>190</v>
      </c>
      <c r="L5" s="26" t="s">
        <v>191</v>
      </c>
      <c r="M5" s="26" t="s">
        <v>192</v>
      </c>
      <c r="N5" s="26" t="s">
        <v>193</v>
      </c>
      <c r="O5" s="26" t="s">
        <v>194</v>
      </c>
      <c r="Q5" s="31" t="s">
        <v>261</v>
      </c>
    </row>
    <row r="6" customFormat="false" ht="15" hidden="false" customHeight="false" outlineLevel="0" collapsed="false">
      <c r="A6" s="14"/>
      <c r="B6" s="14" t="s">
        <v>78</v>
      </c>
      <c r="C6" s="14"/>
      <c r="D6" s="14"/>
      <c r="E6" s="85" t="n">
        <f aca="false">SUM(E7:E27)</f>
        <v>5222229</v>
      </c>
      <c r="F6" s="14"/>
      <c r="G6" s="14"/>
      <c r="H6" s="85" t="n">
        <f aca="false">SUM(H7:H27)</f>
        <v>5421322.76</v>
      </c>
      <c r="I6" s="85" t="n">
        <f aca="false">H6-E6</f>
        <v>199093.760000001</v>
      </c>
      <c r="J6" s="86" t="n">
        <f aca="false">IF(E6&gt;0,I6/E6,"")</f>
        <v>0.0381242875408184</v>
      </c>
      <c r="K6" s="86" t="n">
        <f aca="false">SUM(K7:K27)</f>
        <v>1</v>
      </c>
      <c r="L6" s="85" t="n">
        <f aca="false">SUM(L7:L27)</f>
        <v>5467268</v>
      </c>
      <c r="M6" s="14"/>
      <c r="N6" s="85" t="n">
        <f aca="false">SUM(N7:N27)</f>
        <v>-45945.2399999998</v>
      </c>
      <c r="O6" s="14"/>
      <c r="Q6" s="26" t="s">
        <v>196</v>
      </c>
      <c r="R6" s="26" t="s">
        <v>197</v>
      </c>
      <c r="S6" s="26" t="s">
        <v>198</v>
      </c>
      <c r="T6" s="26" t="s">
        <v>73</v>
      </c>
      <c r="U6" s="26" t="s">
        <v>199</v>
      </c>
      <c r="V6" s="26" t="s">
        <v>200</v>
      </c>
    </row>
    <row r="7" customFormat="false" ht="15" hidden="false" customHeight="false" outlineLevel="0" collapsed="false">
      <c r="A7" s="5" t="n">
        <v>1</v>
      </c>
      <c r="B7" s="5" t="s">
        <v>79</v>
      </c>
      <c r="C7" s="5" t="s">
        <v>32</v>
      </c>
      <c r="D7" s="66" t="n">
        <v>2412</v>
      </c>
      <c r="E7" s="10" t="n">
        <v>1930286</v>
      </c>
      <c r="F7" s="57" t="n">
        <f aca="false">IF(AND(D7&gt;0,N(E7)&gt;0),E7/D7,"")</f>
        <v>800.284411276949</v>
      </c>
      <c r="G7" s="48" t="n">
        <f aca="false">IFERROR(INDEX(Prices!$C$6:$C$300,MATCH(B7,Prices!$A$6:$A$300,0)),"")</f>
        <v>942.1</v>
      </c>
      <c r="H7" s="8" t="n">
        <f aca="false">IF(ISNUMBER(G7),D7*G7,0)</f>
        <v>2272345.2</v>
      </c>
      <c r="I7" s="8" t="n">
        <f aca="false">H7-N(E7)</f>
        <v>342059.2</v>
      </c>
      <c r="J7" s="9" t="n">
        <f aca="false">IF(N(E7)&gt;0,I7/E7,"")</f>
        <v>0.177206486499928</v>
      </c>
      <c r="K7" s="9" t="n">
        <f aca="false">IF($H$6=0,"",H7/$H$6)</f>
        <v>0.41914958776592</v>
      </c>
      <c r="L7" s="10" t="n">
        <v>2318776</v>
      </c>
      <c r="M7" s="57" t="n">
        <f aca="false">IF(ISNUMBER(L7),L7/D7,"")</f>
        <v>961.34991708126</v>
      </c>
      <c r="N7" s="8" t="n">
        <f aca="false">IF(ISNUMBER(L7),H7-L7,"")</f>
        <v>-46430.7999999998</v>
      </c>
      <c r="O7" s="67"/>
      <c r="Q7" s="68" t="s">
        <v>262</v>
      </c>
      <c r="R7" s="68" t="s">
        <v>202</v>
      </c>
      <c r="S7" s="68" t="s">
        <v>79</v>
      </c>
      <c r="T7" s="68" t="n">
        <v>237</v>
      </c>
      <c r="U7" s="63" t="n">
        <v>962.39</v>
      </c>
      <c r="V7" s="10" t="n">
        <v>228087</v>
      </c>
    </row>
    <row r="8" customFormat="false" ht="15" hidden="false" customHeight="false" outlineLevel="0" collapsed="false">
      <c r="A8" s="5" t="n">
        <v>2</v>
      </c>
      <c r="B8" s="5" t="s">
        <v>80</v>
      </c>
      <c r="C8" s="5" t="s">
        <v>32</v>
      </c>
      <c r="D8" s="66" t="n">
        <v>172</v>
      </c>
      <c r="E8" s="10" t="n">
        <v>617467</v>
      </c>
      <c r="F8" s="57" t="n">
        <f aca="false">IF(AND(D8&gt;0,N(E8)&gt;0),E8/D8,"")</f>
        <v>3589.92441860465</v>
      </c>
      <c r="G8" s="48" t="n">
        <f aca="false">IFERROR(INDEX(Prices!$C$6:$C$300,MATCH(B8,Prices!$A$6:$A$300,0)),"")</f>
        <v>4350</v>
      </c>
      <c r="H8" s="8" t="n">
        <f aca="false">IF(ISNUMBER(G8),D8*G8,0)</f>
        <v>748200</v>
      </c>
      <c r="I8" s="8" t="n">
        <f aca="false">H8-N(E8)</f>
        <v>130733</v>
      </c>
      <c r="J8" s="9" t="n">
        <f aca="false">IF(N(E8)&gt;0,I8/E8,"")</f>
        <v>0.211724675164827</v>
      </c>
      <c r="K8" s="9" t="n">
        <f aca="false">IF($H$6=0,"",H8/$H$6)</f>
        <v>0.138010598727016</v>
      </c>
      <c r="L8" s="10" t="n">
        <v>751984</v>
      </c>
      <c r="M8" s="57" t="n">
        <f aca="false">IF(ISNUMBER(L8),L8/D8,"")</f>
        <v>4372</v>
      </c>
      <c r="N8" s="8" t="n">
        <f aca="false">IF(ISNUMBER(L8),H8-L8,"")</f>
        <v>-3784</v>
      </c>
      <c r="O8" s="67"/>
      <c r="Q8" s="68" t="s">
        <v>262</v>
      </c>
      <c r="R8" s="68" t="s">
        <v>202</v>
      </c>
      <c r="S8" s="68" t="s">
        <v>83</v>
      </c>
      <c r="T8" s="68" t="n">
        <v>176</v>
      </c>
      <c r="U8" s="63" t="n">
        <v>442.07</v>
      </c>
      <c r="V8" s="10" t="n">
        <v>77804</v>
      </c>
    </row>
    <row r="9" customFormat="false" ht="15" hidden="false" customHeight="false" outlineLevel="0" collapsed="false">
      <c r="A9" s="5" t="n">
        <v>3</v>
      </c>
      <c r="B9" s="5" t="s">
        <v>82</v>
      </c>
      <c r="C9" s="5" t="s">
        <v>32</v>
      </c>
      <c r="D9" s="66" t="n">
        <v>673</v>
      </c>
      <c r="E9" s="10" t="n">
        <v>599414</v>
      </c>
      <c r="F9" s="57" t="n">
        <f aca="false">IF(AND(D9&gt;0,N(E9)&gt;0),E9/D9,"")</f>
        <v>890.659732540862</v>
      </c>
      <c r="G9" s="48" t="n">
        <f aca="false">IFERROR(INDEX(Prices!$C$6:$C$300,MATCH(B9,Prices!$A$6:$A$300,0)),"")</f>
        <v>694.05</v>
      </c>
      <c r="H9" s="8" t="n">
        <f aca="false">IF(ISNUMBER(G9),D9*G9,0)</f>
        <v>467095.65</v>
      </c>
      <c r="I9" s="8" t="n">
        <f aca="false">H9-N(E9)</f>
        <v>-132318.35</v>
      </c>
      <c r="J9" s="9" t="n">
        <f aca="false">IF(N(E9)&gt;0,I9/E9,"")</f>
        <v>-0.22074617876793</v>
      </c>
      <c r="K9" s="9" t="n">
        <f aca="false">IF($H$6=0,"",H9/$H$6)</f>
        <v>0.086158981982471</v>
      </c>
      <c r="L9" s="10" t="n">
        <v>472547</v>
      </c>
      <c r="M9" s="57" t="n">
        <f aca="false">IF(ISNUMBER(L9),L9/D9,"")</f>
        <v>702.150074294205</v>
      </c>
      <c r="N9" s="8" t="n">
        <f aca="false">IF(ISNUMBER(L9),H9-L9,"")</f>
        <v>-5451.35000000004</v>
      </c>
      <c r="O9" s="67"/>
      <c r="Q9" s="68" t="s">
        <v>262</v>
      </c>
      <c r="R9" s="68" t="s">
        <v>202</v>
      </c>
      <c r="S9" s="68" t="s">
        <v>82</v>
      </c>
      <c r="T9" s="68" t="n">
        <v>55</v>
      </c>
      <c r="U9" s="63" t="n">
        <v>701.55</v>
      </c>
      <c r="V9" s="10" t="n">
        <v>38585</v>
      </c>
    </row>
    <row r="10" customFormat="false" ht="15" hidden="false" customHeight="false" outlineLevel="0" collapsed="false">
      <c r="A10" s="5" t="n">
        <v>4</v>
      </c>
      <c r="B10" s="5" t="s">
        <v>83</v>
      </c>
      <c r="C10" s="5" t="s">
        <v>32</v>
      </c>
      <c r="D10" s="66" t="n">
        <v>769</v>
      </c>
      <c r="E10" s="10" t="n">
        <v>346990</v>
      </c>
      <c r="F10" s="57" t="n">
        <f aca="false">IF(AND(D10&gt;0,N(E10)&gt;0),E10/D10,"")</f>
        <v>451.222366710013</v>
      </c>
      <c r="G10" s="48" t="n">
        <f aca="false">IFERROR(INDEX(Prices!$C$6:$C$300,MATCH(B10,Prices!$A$6:$A$300,0)),"")</f>
        <v>432.45</v>
      </c>
      <c r="H10" s="8" t="n">
        <f aca="false">IF(ISNUMBER(G10),D10*G10,0)</f>
        <v>332554.05</v>
      </c>
      <c r="I10" s="8" t="n">
        <f aca="false">H10-N(E10)</f>
        <v>-14435.95</v>
      </c>
      <c r="J10" s="9" t="n">
        <f aca="false">IF(N(E10)&gt;0,I10/E10,"")</f>
        <v>-0.041603360327387</v>
      </c>
      <c r="K10" s="9" t="n">
        <f aca="false">IF($H$6=0,"",H10/$H$6)</f>
        <v>0.0613418652092944</v>
      </c>
      <c r="L10" s="10" t="n">
        <v>340513</v>
      </c>
      <c r="M10" s="57" t="n">
        <f aca="false">IF(ISNUMBER(L10),L10/D10,"")</f>
        <v>442.799739921977</v>
      </c>
      <c r="N10" s="8" t="n">
        <f aca="false">IF(ISNUMBER(L10),H10-L10,"")</f>
        <v>-7958.95000000001</v>
      </c>
      <c r="O10" s="67"/>
      <c r="Q10" s="68" t="s">
        <v>262</v>
      </c>
      <c r="R10" s="68" t="s">
        <v>202</v>
      </c>
      <c r="S10" s="68" t="s">
        <v>80</v>
      </c>
      <c r="T10" s="68" t="n">
        <v>6</v>
      </c>
      <c r="U10" s="63" t="n">
        <v>4375</v>
      </c>
      <c r="V10" s="10" t="n">
        <v>26250</v>
      </c>
    </row>
    <row r="11" customFormat="false" ht="15" hidden="false" customHeight="false" outlineLevel="0" collapsed="false">
      <c r="A11" s="5" t="n">
        <v>5</v>
      </c>
      <c r="B11" s="5" t="s">
        <v>84</v>
      </c>
      <c r="C11" s="5" t="s">
        <v>32</v>
      </c>
      <c r="D11" s="66" t="n">
        <v>240</v>
      </c>
      <c r="E11" s="10" t="n">
        <v>203179</v>
      </c>
      <c r="F11" s="57" t="n">
        <f aca="false">IF(AND(D11&gt;0,N(E11)&gt;0),E11/D11,"")</f>
        <v>846.579166666667</v>
      </c>
      <c r="G11" s="48" t="n">
        <f aca="false">IFERROR(INDEX(Prices!$C$6:$C$300,MATCH(B11,Prices!$A$6:$A$300,0)),"")</f>
        <v>1371.45</v>
      </c>
      <c r="H11" s="8" t="n">
        <f aca="false">IF(ISNUMBER(G11),D11*G11,0)</f>
        <v>329148</v>
      </c>
      <c r="I11" s="8" t="n">
        <f aca="false">H11-N(E11)</f>
        <v>125969</v>
      </c>
      <c r="J11" s="9" t="n">
        <f aca="false">IF(N(E11)&gt;0,I11/E11,"")</f>
        <v>0.61999025489839</v>
      </c>
      <c r="K11" s="9" t="n">
        <f aca="false">IF($H$6=0,"",H11/$H$6)</f>
        <v>0.0607135960302057</v>
      </c>
      <c r="L11" s="10" t="n">
        <v>342000</v>
      </c>
      <c r="M11" s="57" t="n">
        <f aca="false">IF(ISNUMBER(L11),L11/D11,"")</f>
        <v>1425</v>
      </c>
      <c r="N11" s="8" t="n">
        <f aca="false">IF(ISNUMBER(L11),H11-L11,"")</f>
        <v>-12852</v>
      </c>
      <c r="O11" s="67" t="s">
        <v>263</v>
      </c>
      <c r="Q11" s="68" t="s">
        <v>262</v>
      </c>
      <c r="R11" s="68" t="s">
        <v>202</v>
      </c>
      <c r="S11" s="68" t="s">
        <v>87</v>
      </c>
      <c r="T11" s="68" t="n">
        <v>280</v>
      </c>
      <c r="U11" s="63" t="n">
        <v>82.46</v>
      </c>
      <c r="V11" s="10" t="n">
        <v>23089</v>
      </c>
    </row>
    <row r="12" customFormat="false" ht="15" hidden="false" customHeight="false" outlineLevel="0" collapsed="false">
      <c r="A12" s="5" t="n">
        <v>6</v>
      </c>
      <c r="B12" s="5" t="s">
        <v>88</v>
      </c>
      <c r="C12" s="5" t="s">
        <v>32</v>
      </c>
      <c r="D12" s="66" t="n">
        <v>800</v>
      </c>
      <c r="E12" s="10" t="n">
        <v>183992</v>
      </c>
      <c r="F12" s="57" t="n">
        <f aca="false">IF(AND(D12&gt;0,N(E12)&gt;0),E12/D12,"")</f>
        <v>229.99</v>
      </c>
      <c r="G12" s="48" t="n">
        <f aca="false">IFERROR(INDEX(Prices!$C$6:$C$300,MATCH(B12,Prices!$A$6:$A$300,0)),"")</f>
        <v>234.25</v>
      </c>
      <c r="H12" s="8" t="n">
        <f aca="false">IF(ISNUMBER(G12),D12*G12,0)</f>
        <v>187400</v>
      </c>
      <c r="I12" s="8" t="n">
        <f aca="false">H12-N(E12)</f>
        <v>3408</v>
      </c>
      <c r="J12" s="9" t="n">
        <f aca="false">IF(N(E12)&gt;0,I12/E12,"")</f>
        <v>0.0185225444584547</v>
      </c>
      <c r="K12" s="9" t="n">
        <f aca="false">IF($H$6=0,"",H12/$H$6)</f>
        <v>0.0345672095715622</v>
      </c>
      <c r="L12" s="10" t="n">
        <v>196000</v>
      </c>
      <c r="M12" s="57" t="n">
        <f aca="false">IF(ISNUMBER(L12),L12/D12,"")</f>
        <v>245</v>
      </c>
      <c r="N12" s="8" t="n">
        <f aca="false">IF(ISNUMBER(L12),H12-L12,"")</f>
        <v>-8600</v>
      </c>
      <c r="O12" s="67" t="s">
        <v>263</v>
      </c>
      <c r="Q12" s="68" t="s">
        <v>262</v>
      </c>
      <c r="R12" s="68" t="s">
        <v>202</v>
      </c>
      <c r="S12" s="68" t="s">
        <v>93</v>
      </c>
      <c r="T12" s="68" t="n">
        <v>4</v>
      </c>
      <c r="U12" s="63" t="n">
        <v>5588</v>
      </c>
      <c r="V12" s="10" t="n">
        <v>22352</v>
      </c>
    </row>
    <row r="13" customFormat="false" ht="15" hidden="false" customHeight="false" outlineLevel="0" collapsed="false">
      <c r="A13" s="5" t="n">
        <v>7</v>
      </c>
      <c r="B13" s="5" t="s">
        <v>87</v>
      </c>
      <c r="C13" s="5" t="s">
        <v>32</v>
      </c>
      <c r="D13" s="66" t="n">
        <v>2198</v>
      </c>
      <c r="E13" s="10" t="n">
        <v>255800</v>
      </c>
      <c r="F13" s="57" t="n">
        <f aca="false">IF(AND(D13&gt;0,N(E13)&gt;0),E13/D13,"")</f>
        <v>116.378525932666</v>
      </c>
      <c r="G13" s="48" t="n">
        <f aca="false">IFERROR(INDEX(Prices!$C$6:$C$300,MATCH(B13,Prices!$A$6:$A$300,0)),"")</f>
        <v>81.02</v>
      </c>
      <c r="H13" s="8" t="n">
        <f aca="false">IF(ISNUMBER(G13),D13*G13,0)</f>
        <v>178081.96</v>
      </c>
      <c r="I13" s="8" t="n">
        <f aca="false">H13-N(E13)</f>
        <v>-77718.04</v>
      </c>
      <c r="J13" s="9" t="n">
        <f aca="false">IF(N(E13)&gt;0,I13/E13,"")</f>
        <v>-0.303823455824863</v>
      </c>
      <c r="K13" s="9" t="n">
        <f aca="false">IF($H$6=0,"",H13/$H$6)</f>
        <v>0.0328484334697682</v>
      </c>
      <c r="L13" s="10" t="n">
        <v>180698</v>
      </c>
      <c r="M13" s="57" t="n">
        <f aca="false">IF(ISNUMBER(L13),L13/D13,"")</f>
        <v>82.2101910828026</v>
      </c>
      <c r="N13" s="8" t="n">
        <f aca="false">IF(ISNUMBER(L13),H13-L13,"")</f>
        <v>-2616.04000000001</v>
      </c>
      <c r="O13" s="67"/>
      <c r="Q13" s="68" t="s">
        <v>262</v>
      </c>
      <c r="R13" s="68" t="s">
        <v>202</v>
      </c>
      <c r="S13" s="68" t="s">
        <v>92</v>
      </c>
      <c r="T13" s="68" t="n">
        <v>7</v>
      </c>
      <c r="U13" s="63" t="n">
        <v>3081</v>
      </c>
      <c r="V13" s="10" t="n">
        <v>21567</v>
      </c>
    </row>
    <row r="14" customFormat="false" ht="15" hidden="false" customHeight="false" outlineLevel="0" collapsed="false">
      <c r="A14" s="5" t="n">
        <v>8</v>
      </c>
      <c r="B14" s="5" t="s">
        <v>86</v>
      </c>
      <c r="C14" s="5" t="s">
        <v>32</v>
      </c>
      <c r="D14" s="66" t="n">
        <v>37</v>
      </c>
      <c r="E14" s="10" t="n">
        <v>216602</v>
      </c>
      <c r="F14" s="57" t="n">
        <f aca="false">IF(AND(D14&gt;0,N(E14)&gt;0),E14/D14,"")</f>
        <v>5854.10810810811</v>
      </c>
      <c r="G14" s="48" t="n">
        <f aca="false">IFERROR(INDEX(Prices!$C$6:$C$300,MATCH(B14,Prices!$A$6:$A$300,0)),"")</f>
        <v>4274</v>
      </c>
      <c r="H14" s="8" t="n">
        <f aca="false">IF(ISNUMBER(G14),D14*G14,0)</f>
        <v>158138</v>
      </c>
      <c r="I14" s="8" t="n">
        <f aca="false">H14-N(E14)</f>
        <v>-58464</v>
      </c>
      <c r="J14" s="9" t="n">
        <f aca="false">IF(N(E14)&gt;0,I14/E14,"")</f>
        <v>-0.269914405222482</v>
      </c>
      <c r="K14" s="9" t="n">
        <f aca="false">IF($H$6=0,"",H14/$H$6)</f>
        <v>0.0291696338699451</v>
      </c>
      <c r="L14" s="10" t="n">
        <v>149365</v>
      </c>
      <c r="M14" s="57" t="n">
        <f aca="false">IF(ISNUMBER(L14),L14/D14,"")</f>
        <v>4036.89189189189</v>
      </c>
      <c r="N14" s="8" t="n">
        <f aca="false">IF(ISNUMBER(L14),H14-L14,"")</f>
        <v>8773</v>
      </c>
      <c r="O14" s="67" t="s">
        <v>203</v>
      </c>
      <c r="Q14" s="68" t="s">
        <v>262</v>
      </c>
      <c r="R14" s="68" t="s">
        <v>202</v>
      </c>
      <c r="S14" s="68" t="s">
        <v>97</v>
      </c>
      <c r="T14" s="68" t="n">
        <v>3</v>
      </c>
      <c r="U14" s="63" t="n">
        <v>6905.67</v>
      </c>
      <c r="V14" s="10" t="n">
        <v>20717</v>
      </c>
    </row>
    <row r="15" customFormat="false" ht="15" hidden="false" customHeight="false" outlineLevel="0" collapsed="false">
      <c r="A15" s="5" t="n">
        <v>9</v>
      </c>
      <c r="B15" s="5" t="s">
        <v>89</v>
      </c>
      <c r="C15" s="5" t="s">
        <v>32</v>
      </c>
      <c r="D15" s="66" t="n">
        <v>32</v>
      </c>
      <c r="E15" s="10" t="n">
        <v>151039</v>
      </c>
      <c r="F15" s="57" t="n">
        <f aca="false">IF(AND(D15&gt;0,N(E15)&gt;0),E15/D15,"")</f>
        <v>4719.96875</v>
      </c>
      <c r="G15" s="48" t="n">
        <f aca="false">IFERROR(INDEX(Prices!$C$6:$C$300,MATCH(B15,Prices!$A$6:$A$300,0)),"")</f>
        <v>3954.8</v>
      </c>
      <c r="H15" s="8" t="n">
        <f aca="false">IF(ISNUMBER(G15),D15*G15,0)</f>
        <v>126553.6</v>
      </c>
      <c r="I15" s="8" t="n">
        <f aca="false">H15-N(E15)</f>
        <v>-24485.4</v>
      </c>
      <c r="J15" s="9" t="n">
        <f aca="false">IF(N(E15)&gt;0,I15/E15,"")</f>
        <v>-0.16211309661743</v>
      </c>
      <c r="K15" s="9" t="n">
        <f aca="false">IF($H$6=0,"",H15/$H$6)</f>
        <v>0.0233436756309266</v>
      </c>
      <c r="L15" s="10" t="n">
        <v>102480</v>
      </c>
      <c r="M15" s="57" t="n">
        <f aca="false">IF(ISNUMBER(L15),L15/D15,"")</f>
        <v>3202.5</v>
      </c>
      <c r="N15" s="8" t="n">
        <f aca="false">IF(ISNUMBER(L15),H15-L15,"")</f>
        <v>24073.6</v>
      </c>
      <c r="O15" s="67"/>
      <c r="Q15" s="68" t="s">
        <v>262</v>
      </c>
      <c r="R15" s="68" t="s">
        <v>202</v>
      </c>
      <c r="S15" s="68" t="s">
        <v>102</v>
      </c>
      <c r="T15" s="68" t="n">
        <v>3</v>
      </c>
      <c r="U15" s="63" t="n">
        <v>3560.33</v>
      </c>
      <c r="V15" s="10" t="n">
        <v>10681</v>
      </c>
    </row>
    <row r="16" customFormat="false" ht="15" hidden="false" customHeight="false" outlineLevel="0" collapsed="false">
      <c r="A16" s="5" t="n">
        <v>10</v>
      </c>
      <c r="B16" s="5" t="s">
        <v>91</v>
      </c>
      <c r="C16" s="5" t="s">
        <v>32</v>
      </c>
      <c r="D16" s="66" t="n">
        <v>2370</v>
      </c>
      <c r="E16" s="10" t="n">
        <v>94397</v>
      </c>
      <c r="F16" s="57" t="n">
        <f aca="false">IF(AND(D16&gt;0,N(E16)&gt;0),E16/D16,"")</f>
        <v>39.8299578059072</v>
      </c>
      <c r="G16" s="48" t="n">
        <f aca="false">IFERROR(INDEX(Prices!$C$6:$C$300,MATCH(B16,Prices!$A$6:$A$300,0)),"")</f>
        <v>51.55</v>
      </c>
      <c r="H16" s="8" t="n">
        <f aca="false">IF(ISNUMBER(G16),D16*G16,0)</f>
        <v>122173.5</v>
      </c>
      <c r="I16" s="8" t="n">
        <f aca="false">H16-N(E16)</f>
        <v>27776.5</v>
      </c>
      <c r="J16" s="9" t="n">
        <f aca="false">IF(N(E16)&gt;0,I16/E16,"")</f>
        <v>0.294251935972542</v>
      </c>
      <c r="K16" s="9" t="n">
        <f aca="false">IF($H$6=0,"",H16/$H$6)</f>
        <v>0.0225357362785019</v>
      </c>
      <c r="L16" s="10" t="n">
        <v>133502</v>
      </c>
      <c r="M16" s="57" t="n">
        <f aca="false">IF(ISNUMBER(L16),L16/D16,"")</f>
        <v>56.3299578059072</v>
      </c>
      <c r="N16" s="8" t="n">
        <f aca="false">IF(ISNUMBER(L16),H16-L16,"")</f>
        <v>-11328.5</v>
      </c>
      <c r="O16" s="67"/>
      <c r="Q16" s="68" t="s">
        <v>262</v>
      </c>
      <c r="R16" s="68" t="s">
        <v>202</v>
      </c>
      <c r="S16" s="68" t="s">
        <v>94</v>
      </c>
      <c r="T16" s="68" t="n">
        <v>7</v>
      </c>
      <c r="U16" s="63" t="n">
        <v>1415</v>
      </c>
      <c r="V16" s="10" t="n">
        <v>9905</v>
      </c>
    </row>
    <row r="17" customFormat="false" ht="15" hidden="false" customHeight="false" outlineLevel="0" collapsed="false">
      <c r="A17" s="5" t="n">
        <v>11</v>
      </c>
      <c r="B17" s="5" t="s">
        <v>93</v>
      </c>
      <c r="C17" s="5" t="s">
        <v>32</v>
      </c>
      <c r="D17" s="66" t="n">
        <v>17</v>
      </c>
      <c r="E17" s="10" t="n">
        <v>86733</v>
      </c>
      <c r="F17" s="57" t="n">
        <f aca="false">IF(AND(D17&gt;0,N(E17)&gt;0),E17/D17,"")</f>
        <v>5101.94117647059</v>
      </c>
      <c r="G17" s="48" t="n">
        <f aca="false">IFERROR(INDEX(Prices!$C$6:$C$300,MATCH(B17,Prices!$A$6:$A$300,0)),"")</f>
        <v>5740.5</v>
      </c>
      <c r="H17" s="8" t="n">
        <f aca="false">IF(ISNUMBER(G17),D17*G17,0)</f>
        <v>97588.5</v>
      </c>
      <c r="I17" s="8" t="n">
        <f aca="false">H17-N(E17)</f>
        <v>10855.5</v>
      </c>
      <c r="J17" s="9" t="n">
        <f aca="false">IF(N(E17)&gt;0,I17/E17,"")</f>
        <v>0.125159973712428</v>
      </c>
      <c r="K17" s="9" t="n">
        <f aca="false">IF($H$6=0,"",H17/$H$6)</f>
        <v>0.0180008651615496</v>
      </c>
      <c r="L17" s="10" t="n">
        <v>95634</v>
      </c>
      <c r="M17" s="57" t="n">
        <f aca="false">IF(ISNUMBER(L17),L17/D17,"")</f>
        <v>5625.52941176471</v>
      </c>
      <c r="N17" s="8" t="n">
        <f aca="false">IF(ISNUMBER(L17),H17-L17,"")</f>
        <v>1954.5</v>
      </c>
      <c r="O17" s="67"/>
      <c r="Q17" s="68" t="s">
        <v>262</v>
      </c>
      <c r="R17" s="68" t="s">
        <v>202</v>
      </c>
      <c r="S17" s="68" t="s">
        <v>100</v>
      </c>
      <c r="T17" s="68" t="n">
        <v>3</v>
      </c>
      <c r="U17" s="63" t="n">
        <v>2885</v>
      </c>
      <c r="V17" s="10" t="n">
        <v>8655</v>
      </c>
    </row>
    <row r="18" customFormat="false" ht="15" hidden="false" customHeight="false" outlineLevel="0" collapsed="false">
      <c r="A18" s="5" t="n">
        <v>12</v>
      </c>
      <c r="B18" s="5" t="s">
        <v>101</v>
      </c>
      <c r="C18" s="5" t="s">
        <v>32</v>
      </c>
      <c r="D18" s="66" t="n">
        <v>82</v>
      </c>
      <c r="E18" s="10" t="n">
        <v>160741</v>
      </c>
      <c r="F18" s="57" t="n">
        <f aca="false">IF(AND(D18&gt;0,N(E18)&gt;0),E18/D18,"")</f>
        <v>1960.25609756098</v>
      </c>
      <c r="G18" s="48" t="n">
        <f aca="false">IFERROR(INDEX(Prices!$C$6:$C$300,MATCH(B18,Prices!$A$6:$A$300,0)),"")</f>
        <v>1089.9</v>
      </c>
      <c r="H18" s="8" t="n">
        <f aca="false">IF(ISNUMBER(G18),D18*G18,0)</f>
        <v>89371.8</v>
      </c>
      <c r="I18" s="8" t="n">
        <f aca="false">H18-N(E18)</f>
        <v>-71369.2</v>
      </c>
      <c r="J18" s="9" t="n">
        <f aca="false">IF(N(E18)&gt;0,I18/E18,"")</f>
        <v>-0.444001219352872</v>
      </c>
      <c r="K18" s="9" t="n">
        <f aca="false">IF($H$6=0,"",H18/$H$6)</f>
        <v>0.0164852387427307</v>
      </c>
      <c r="L18" s="10" t="n">
        <v>92480</v>
      </c>
      <c r="M18" s="57" t="n">
        <f aca="false">IF(ISNUMBER(L18),L18/D18,"")</f>
        <v>1127.80487804878</v>
      </c>
      <c r="N18" s="8" t="n">
        <f aca="false">IF(ISNUMBER(L18),H18-L18,"")</f>
        <v>-3108.2</v>
      </c>
      <c r="O18" s="67"/>
      <c r="Q18" s="68" t="s">
        <v>262</v>
      </c>
      <c r="R18" s="68" t="s">
        <v>202</v>
      </c>
      <c r="S18" s="68" t="s">
        <v>104</v>
      </c>
      <c r="T18" s="68" t="n">
        <v>8</v>
      </c>
      <c r="U18" s="63" t="n">
        <v>845</v>
      </c>
      <c r="V18" s="10" t="n">
        <v>6760</v>
      </c>
    </row>
    <row r="19" customFormat="false" ht="15" hidden="false" customHeight="false" outlineLevel="0" collapsed="false">
      <c r="A19" s="5" t="n">
        <v>13</v>
      </c>
      <c r="B19" s="5" t="s">
        <v>92</v>
      </c>
      <c r="C19" s="5" t="s">
        <v>32</v>
      </c>
      <c r="D19" s="66" t="n">
        <v>22</v>
      </c>
      <c r="E19" s="10" t="n">
        <v>86278</v>
      </c>
      <c r="F19" s="57" t="n">
        <f aca="false">IF(AND(D19&gt;0,N(E19)&gt;0),E19/D19,"")</f>
        <v>3921.72727272727</v>
      </c>
      <c r="G19" s="48" t="n">
        <f aca="false">IFERROR(INDEX(Prices!$C$6:$C$300,MATCH(B19,Prices!$A$6:$A$300,0)),"")</f>
        <v>3846.8</v>
      </c>
      <c r="H19" s="8" t="n">
        <f aca="false">IF(ISNUMBER(G19),D19*G19,0)</f>
        <v>84629.6</v>
      </c>
      <c r="I19" s="8" t="n">
        <f aca="false">H19-N(E19)</f>
        <v>-1648.39999999999</v>
      </c>
      <c r="J19" s="9" t="n">
        <f aca="false">IF(N(E19)&gt;0,I19/E19,"")</f>
        <v>-0.0191056816337884</v>
      </c>
      <c r="K19" s="9" t="n">
        <f aca="false">IF($H$6=0,"",H19/$H$6)</f>
        <v>0.0156105075728788</v>
      </c>
      <c r="L19" s="10" t="n">
        <v>67571</v>
      </c>
      <c r="M19" s="57" t="n">
        <f aca="false">IF(ISNUMBER(L19),L19/D19,"")</f>
        <v>3071.40909090909</v>
      </c>
      <c r="N19" s="8" t="n">
        <f aca="false">IF(ISNUMBER(L19),H19-L19,"")</f>
        <v>17058.6</v>
      </c>
      <c r="O19" s="67"/>
      <c r="Q19" s="68" t="s">
        <v>262</v>
      </c>
      <c r="R19" s="68" t="s">
        <v>202</v>
      </c>
      <c r="S19" s="68" t="s">
        <v>89</v>
      </c>
      <c r="T19" s="68" t="n">
        <v>2</v>
      </c>
      <c r="U19" s="63" t="n">
        <v>3185</v>
      </c>
      <c r="V19" s="10" t="n">
        <v>6370</v>
      </c>
    </row>
    <row r="20" customFormat="false" ht="15" hidden="false" customHeight="false" outlineLevel="0" collapsed="false">
      <c r="A20" s="5" t="n">
        <v>14</v>
      </c>
      <c r="B20" s="5" t="s">
        <v>85</v>
      </c>
      <c r="C20" s="5" t="s">
        <v>32</v>
      </c>
      <c r="D20" s="66" t="n">
        <v>29</v>
      </c>
      <c r="E20" s="10" t="n">
        <v>122603</v>
      </c>
      <c r="F20" s="57" t="n">
        <f aca="false">IF(AND(D20&gt;0,N(E20)&gt;0),E20/D20,"")</f>
        <v>4227.68965517241</v>
      </c>
      <c r="G20" s="48" t="n">
        <f aca="false">IFERROR(INDEX(Prices!$C$6:$C$300,MATCH(B20,Prices!$A$6:$A$300,0)),"")</f>
        <v>2506.9</v>
      </c>
      <c r="H20" s="8" t="n">
        <f aca="false">IF(ISNUMBER(G20),D20*G20,0)</f>
        <v>72700.1</v>
      </c>
      <c r="I20" s="8" t="n">
        <f aca="false">H20-N(E20)</f>
        <v>-49902.9</v>
      </c>
      <c r="J20" s="9" t="n">
        <f aca="false">IF(N(E20)&gt;0,I20/E20,"")</f>
        <v>-0.407028376140877</v>
      </c>
      <c r="K20" s="9" t="n">
        <f aca="false">IF($H$6=0,"",H20/$H$6)</f>
        <v>0.0134100298429751</v>
      </c>
      <c r="L20" s="10" t="n">
        <v>63165</v>
      </c>
      <c r="M20" s="57" t="n">
        <f aca="false">IF(ISNUMBER(L20),L20/D20,"")</f>
        <v>2178.10344827586</v>
      </c>
      <c r="N20" s="8" t="n">
        <f aca="false">IF(ISNUMBER(L20),H20-L20,"")</f>
        <v>9535.10000000001</v>
      </c>
      <c r="O20" s="67"/>
      <c r="S20" s="69" t="s">
        <v>208</v>
      </c>
      <c r="V20" s="70" t="n">
        <f aca="false">SUMIFS(V7:V19,R7:R19,"BUY")-SUMIFS(V7:V19,R7:R19,"SELL")</f>
        <v>500822</v>
      </c>
    </row>
    <row r="21" customFormat="false" ht="15" hidden="false" customHeight="false" outlineLevel="0" collapsed="false">
      <c r="A21" s="5" t="n">
        <v>15</v>
      </c>
      <c r="B21" s="5" t="s">
        <v>94</v>
      </c>
      <c r="C21" s="5" t="s">
        <v>32</v>
      </c>
      <c r="D21" s="66" t="n">
        <v>47</v>
      </c>
      <c r="E21" s="10" t="n">
        <v>72448</v>
      </c>
      <c r="F21" s="57" t="n">
        <f aca="false">IF(AND(D21&gt;0,N(E21)&gt;0),E21/D21,"")</f>
        <v>1541.44680851064</v>
      </c>
      <c r="G21" s="48" t="n">
        <f aca="false">IFERROR(INDEX(Prices!$C$6:$C$300,MATCH(B21,Prices!$A$6:$A$300,0)),"")</f>
        <v>1362.8</v>
      </c>
      <c r="H21" s="8" t="n">
        <f aca="false">IF(ISNUMBER(G21),D21*G21,0)</f>
        <v>64051.6</v>
      </c>
      <c r="I21" s="8" t="n">
        <f aca="false">H21-N(E21)</f>
        <v>-8396.4</v>
      </c>
      <c r="J21" s="9" t="n">
        <f aca="false">IF(N(E21)&gt;0,I21/E21,"")</f>
        <v>-0.115895538869258</v>
      </c>
      <c r="K21" s="9" t="n">
        <f aca="false">IF($H$6=0,"",H21/$H$6)</f>
        <v>0.0118147549658158</v>
      </c>
      <c r="L21" s="10" t="n">
        <v>66876</v>
      </c>
      <c r="M21" s="57" t="n">
        <f aca="false">IF(ISNUMBER(L21),L21/D21,"")</f>
        <v>1422.89361702128</v>
      </c>
      <c r="N21" s="8" t="n">
        <f aca="false">IF(ISNUMBER(L21),H21-L21,"")</f>
        <v>-2824.4</v>
      </c>
      <c r="O21" s="67"/>
    </row>
    <row r="22" customFormat="false" ht="15" hidden="false" customHeight="false" outlineLevel="0" collapsed="false">
      <c r="A22" s="5" t="n">
        <v>16</v>
      </c>
      <c r="B22" s="5" t="s">
        <v>119</v>
      </c>
      <c r="C22" s="5" t="s">
        <v>32</v>
      </c>
      <c r="D22" s="66" t="n">
        <v>36000</v>
      </c>
      <c r="E22" s="10" t="n">
        <v>36000</v>
      </c>
      <c r="F22" s="57" t="n">
        <f aca="false">IF(AND(D22&gt;0,N(E22)&gt;0),E22/D22,"")</f>
        <v>1</v>
      </c>
      <c r="G22" s="48" t="n">
        <f aca="false">IFERROR(INDEX(Prices!$C$6:$C$300,MATCH(B22,Prices!$A$6:$A$300,0)),"")</f>
        <v>1</v>
      </c>
      <c r="H22" s="8" t="n">
        <f aca="false">IF(ISNUMBER(G22),D22*G22,0)</f>
        <v>36000</v>
      </c>
      <c r="I22" s="8" t="n">
        <f aca="false">H22-N(E22)</f>
        <v>0</v>
      </c>
      <c r="J22" s="9" t="n">
        <f aca="false">IF(N(E22)&gt;0,I22/E22,"")</f>
        <v>0</v>
      </c>
      <c r="K22" s="9" t="n">
        <f aca="false">IF($H$6=0,"",H22/$H$6)</f>
        <v>0.00664044580883799</v>
      </c>
      <c r="L22" s="10" t="n">
        <v>36000</v>
      </c>
      <c r="M22" s="57" t="n">
        <f aca="false">IF(ISNUMBER(L22),L22/D22,"")</f>
        <v>1</v>
      </c>
      <c r="N22" s="8" t="n">
        <f aca="false">IF(ISNUMBER(L22),H22-L22,"")</f>
        <v>0</v>
      </c>
      <c r="O22" s="67" t="s">
        <v>264</v>
      </c>
    </row>
    <row r="23" customFormat="false" ht="15" hidden="false" customHeight="false" outlineLevel="0" collapsed="false">
      <c r="A23" s="5" t="n">
        <v>17</v>
      </c>
      <c r="B23" s="5" t="s">
        <v>97</v>
      </c>
      <c r="C23" s="5" t="s">
        <v>32</v>
      </c>
      <c r="D23" s="66" t="n">
        <v>3</v>
      </c>
      <c r="E23" s="10" t="n">
        <v>20717</v>
      </c>
      <c r="F23" s="57" t="n">
        <f aca="false">IF(AND(D23&gt;0,N(E23)&gt;0),E23/D23,"")</f>
        <v>6905.66666666667</v>
      </c>
      <c r="G23" s="48" t="n">
        <f aca="false">IFERROR(INDEX(Prices!$C$6:$C$300,MATCH(B23,Prices!$A$6:$A$300,0)),"")</f>
        <v>7084.5</v>
      </c>
      <c r="H23" s="8" t="n">
        <f aca="false">IF(ISNUMBER(G23),D23*G23,0)</f>
        <v>21253.5</v>
      </c>
      <c r="I23" s="8" t="n">
        <f aca="false">H23-N(E23)</f>
        <v>536.5</v>
      </c>
      <c r="J23" s="9" t="n">
        <f aca="false">IF(N(E23)&gt;0,I23/E23,"")</f>
        <v>0.0258966066515422</v>
      </c>
      <c r="K23" s="9" t="n">
        <f aca="false">IF($H$6=0,"",H23/$H$6)</f>
        <v>0.00392035319439273</v>
      </c>
      <c r="L23" s="10" t="n">
        <v>20805</v>
      </c>
      <c r="M23" s="57" t="n">
        <f aca="false">IF(ISNUMBER(L23),L23/D23,"")</f>
        <v>6935</v>
      </c>
      <c r="N23" s="8" t="n">
        <f aca="false">IF(ISNUMBER(L23),H23-L23,"")</f>
        <v>448.5</v>
      </c>
      <c r="O23" s="67" t="s">
        <v>265</v>
      </c>
    </row>
    <row r="24" customFormat="false" ht="15" hidden="false" customHeight="false" outlineLevel="0" collapsed="false">
      <c r="A24" s="5" t="n">
        <v>18</v>
      </c>
      <c r="B24" s="5" t="s">
        <v>100</v>
      </c>
      <c r="C24" s="5" t="s">
        <v>32</v>
      </c>
      <c r="D24" s="66" t="n">
        <v>5</v>
      </c>
      <c r="E24" s="10" t="n">
        <v>14549</v>
      </c>
      <c r="F24" s="57" t="n">
        <f aca="false">IF(AND(D24&gt;0,N(E24)&gt;0),E24/D24,"")</f>
        <v>2909.8</v>
      </c>
      <c r="G24" s="48" t="n">
        <f aca="false">IFERROR(INDEX(Prices!$C$6:$C$300,MATCH(B24,Prices!$A$6:$A$300,0)),"")</f>
        <v>2775.8</v>
      </c>
      <c r="H24" s="8" t="n">
        <f aca="false">IF(ISNUMBER(G24),D24*G24,0)</f>
        <v>13879</v>
      </c>
      <c r="I24" s="8" t="n">
        <f aca="false">H24-N(E24)</f>
        <v>-670</v>
      </c>
      <c r="J24" s="9" t="n">
        <f aca="false">IF(N(E24)&gt;0,I24/E24,"")</f>
        <v>-0.0460512750017183</v>
      </c>
      <c r="K24" s="9" t="n">
        <f aca="false">IF($H$6=0,"",H24/$H$6)</f>
        <v>0.00256007631613507</v>
      </c>
      <c r="L24" s="10" t="n">
        <v>14550</v>
      </c>
      <c r="M24" s="57" t="n">
        <f aca="false">IF(ISNUMBER(L24),L24/D24,"")</f>
        <v>2910</v>
      </c>
      <c r="N24" s="8" t="n">
        <f aca="false">IF(ISNUMBER(L24),H24-L24,"")</f>
        <v>-671</v>
      </c>
      <c r="O24" s="67"/>
    </row>
    <row r="25" customFormat="false" ht="15" hidden="false" customHeight="false" outlineLevel="0" collapsed="false">
      <c r="A25" s="5" t="n">
        <v>19</v>
      </c>
      <c r="B25" s="5" t="s">
        <v>102</v>
      </c>
      <c r="C25" s="5" t="s">
        <v>32</v>
      </c>
      <c r="D25" s="66" t="n">
        <v>4</v>
      </c>
      <c r="E25" s="10" t="n">
        <v>14740</v>
      </c>
      <c r="F25" s="57" t="n">
        <f aca="false">IF(AND(D25&gt;0,N(E25)&gt;0),E25/D25,"")</f>
        <v>3685</v>
      </c>
      <c r="G25" s="48" t="n">
        <f aca="false">IFERROR(INDEX(Prices!$C$6:$C$300,MATCH(B25,Prices!$A$6:$A$300,0)),"")</f>
        <v>3166</v>
      </c>
      <c r="H25" s="8" t="n">
        <f aca="false">IF(ISNUMBER(G25),D25*G25,0)</f>
        <v>12664</v>
      </c>
      <c r="I25" s="8" t="n">
        <f aca="false">H25-N(E25)</f>
        <v>-2076</v>
      </c>
      <c r="J25" s="9" t="n">
        <f aca="false">IF(N(E25)&gt;0,I25/E25,"")</f>
        <v>-0.140841248303935</v>
      </c>
      <c r="K25" s="9" t="n">
        <f aca="false">IF($H$6=0,"",H25/$H$6)</f>
        <v>0.00233596127008679</v>
      </c>
      <c r="L25" s="10" t="n">
        <v>14270</v>
      </c>
      <c r="M25" s="57" t="n">
        <f aca="false">IF(ISNUMBER(L25),L25/D25,"")</f>
        <v>3567.5</v>
      </c>
      <c r="N25" s="8" t="n">
        <f aca="false">IF(ISNUMBER(L25),H25-L25,"")</f>
        <v>-1606</v>
      </c>
      <c r="O25" s="67"/>
    </row>
    <row r="26" customFormat="false" ht="15" hidden="false" customHeight="false" outlineLevel="0" collapsed="false">
      <c r="A26" s="5" t="n">
        <v>20</v>
      </c>
      <c r="B26" s="5" t="s">
        <v>104</v>
      </c>
      <c r="C26" s="5" t="s">
        <v>32</v>
      </c>
      <c r="D26" s="66" t="n">
        <v>8</v>
      </c>
      <c r="E26" s="10" t="n">
        <v>6760</v>
      </c>
      <c r="F26" s="57" t="n">
        <f aca="false">IF(AND(D26&gt;0,N(E26)&gt;0),E26/D26,"")</f>
        <v>845</v>
      </c>
      <c r="G26" s="48" t="n">
        <f aca="false">IFERROR(INDEX(Prices!$C$6:$C$300,MATCH(B26,Prices!$A$6:$A$300,0)),"")</f>
        <v>788.1</v>
      </c>
      <c r="H26" s="8" t="n">
        <f aca="false">IF(ISNUMBER(G26),D26*G26,0)</f>
        <v>6304.8</v>
      </c>
      <c r="I26" s="8" t="n">
        <f aca="false">H26-N(E26)</f>
        <v>-455.2</v>
      </c>
      <c r="J26" s="9" t="n">
        <f aca="false">IF(N(E26)&gt;0,I26/E26,"")</f>
        <v>-0.0673372781065088</v>
      </c>
      <c r="K26" s="9" t="n">
        <f aca="false">IF($H$6=0,"",H26/$H$6)</f>
        <v>0.00116296340932116</v>
      </c>
      <c r="L26" s="10" t="n">
        <v>6727</v>
      </c>
      <c r="M26" s="57" t="n">
        <f aca="false">IF(ISNUMBER(L26),L26/D26,"")</f>
        <v>840.875</v>
      </c>
      <c r="N26" s="8" t="n">
        <f aca="false">IF(ISNUMBER(L26),H26-L26,"")</f>
        <v>-422.2</v>
      </c>
      <c r="O26" s="67" t="s">
        <v>265</v>
      </c>
    </row>
    <row r="27" customFormat="false" ht="15" hidden="false" customHeight="false" outlineLevel="0" collapsed="false">
      <c r="A27" s="5" t="n">
        <v>21</v>
      </c>
      <c r="B27" s="5" t="s">
        <v>106</v>
      </c>
      <c r="C27" s="5" t="s">
        <v>32</v>
      </c>
      <c r="D27" s="66" t="n">
        <v>1</v>
      </c>
      <c r="E27" s="10" t="n">
        <v>1494</v>
      </c>
      <c r="F27" s="57" t="n">
        <f aca="false">IF(AND(D27&gt;0,N(E27)&gt;0),E27/D27,"")</f>
        <v>1494</v>
      </c>
      <c r="G27" s="48" t="n">
        <f aca="false">IFERROR(INDEX(Prices!$C$6:$C$300,MATCH(B27,Prices!$A$6:$A$300,0)),"")</f>
        <v>1189.9</v>
      </c>
      <c r="H27" s="8" t="n">
        <f aca="false">IF(ISNUMBER(G27),D27*G27,0)</f>
        <v>1189.9</v>
      </c>
      <c r="I27" s="8" t="n">
        <f aca="false">H27-N(E27)</f>
        <v>-304.1</v>
      </c>
      <c r="J27" s="9" t="n">
        <f aca="false">IF(N(E27)&gt;0,I27/E27,"")</f>
        <v>-0.203547523427041</v>
      </c>
      <c r="K27" s="9" t="n">
        <f aca="false">IF($H$6=0,"",H27/$H$6)</f>
        <v>0.000219485179664898</v>
      </c>
      <c r="L27" s="10" t="n">
        <v>1325</v>
      </c>
      <c r="M27" s="57" t="n">
        <f aca="false">IF(ISNUMBER(L27),L27/D27,"")</f>
        <v>1325</v>
      </c>
      <c r="N27" s="8" t="n">
        <f aca="false">IF(ISNUMBER(L27),H27-L27,"")</f>
        <v>-135.1</v>
      </c>
      <c r="O27" s="67"/>
    </row>
  </sheetData>
  <conditionalFormatting sqref="G7:G300">
    <cfRule type="expression" priority="2" aboveAverage="0" equalAverage="0" bottom="0" percent="0" rank="0" text="" dxfId="0">
      <formula>ISNUMBER(SEARCH("stale",INDEX(Prices!$D$6:$D$300,MATCH($B7,Prices!$A$6:$A$300,0))))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3" min="3" style="0" width="17"/>
    <col collapsed="false" customWidth="true" hidden="false" outlineLevel="0" max="4" min="4" style="0" width="10"/>
    <col collapsed="false" customWidth="true" hidden="false" outlineLevel="0" max="5" min="5" style="0" width="14"/>
    <col collapsed="false" customWidth="true" hidden="false" outlineLevel="0" max="6" min="6" style="0" width="12"/>
    <col collapsed="false" customWidth="true" hidden="false" outlineLevel="0" max="7" min="7" style="0" width="11"/>
    <col collapsed="false" customWidth="true" hidden="false" outlineLevel="0" max="8" min="8" style="0" width="14"/>
    <col collapsed="false" customWidth="true" hidden="false" outlineLevel="0" max="9" min="9" style="0" width="13"/>
    <col collapsed="false" customWidth="true" hidden="false" outlineLevel="0" max="10" min="10" style="0" width="8"/>
    <col collapsed="false" customWidth="true" hidden="false" outlineLevel="0" max="11" min="11" style="0" width="9"/>
    <col collapsed="false" customWidth="true" hidden="false" outlineLevel="0" max="12" min="12" style="0" width="14"/>
    <col collapsed="false" customWidth="true" hidden="false" outlineLevel="0" max="13" min="13" style="0" width="11"/>
    <col collapsed="false" customWidth="true" hidden="false" outlineLevel="0" max="14" min="14" style="0" width="13"/>
    <col collapsed="false" customWidth="true" hidden="false" outlineLevel="0" max="15" min="15" style="0" width="38"/>
  </cols>
  <sheetData>
    <row r="1" customFormat="false" ht="17.35" hidden="false" customHeight="false" outlineLevel="0" collapsed="false">
      <c r="A1" s="1" t="s">
        <v>68</v>
      </c>
    </row>
    <row r="2" customFormat="false" ht="15" hidden="false" customHeight="false" outlineLevel="0" collapsed="false">
      <c r="A2" s="2" t="s">
        <v>266</v>
      </c>
    </row>
    <row r="3" customFormat="false" ht="15" hidden="false" customHeight="false" outlineLevel="0" collapsed="false">
      <c r="A3" s="2" t="s">
        <v>186</v>
      </c>
    </row>
    <row r="5" customFormat="false" ht="31.5" hidden="false" customHeight="true" outlineLevel="0" collapsed="false">
      <c r="A5" s="27" t="s">
        <v>69</v>
      </c>
      <c r="B5" s="27" t="s">
        <v>187</v>
      </c>
      <c r="C5" s="27" t="s">
        <v>3</v>
      </c>
      <c r="D5" s="27" t="s">
        <v>188</v>
      </c>
      <c r="E5" s="27" t="s">
        <v>189</v>
      </c>
      <c r="F5" s="27" t="s">
        <v>74</v>
      </c>
      <c r="G5" s="27" t="s">
        <v>70</v>
      </c>
      <c r="H5" s="27" t="s">
        <v>8</v>
      </c>
      <c r="I5" s="27" t="s">
        <v>9</v>
      </c>
      <c r="J5" s="27" t="s">
        <v>10</v>
      </c>
      <c r="K5" s="27" t="s">
        <v>190</v>
      </c>
      <c r="L5" s="27" t="s">
        <v>191</v>
      </c>
      <c r="M5" s="27" t="s">
        <v>192</v>
      </c>
      <c r="N5" s="27" t="s">
        <v>193</v>
      </c>
      <c r="O5" s="27" t="s">
        <v>194</v>
      </c>
    </row>
    <row r="6" customFormat="false" ht="15" hidden="false" customHeight="false" outlineLevel="0" collapsed="false">
      <c r="A6" s="15"/>
      <c r="B6" s="15" t="s">
        <v>78</v>
      </c>
      <c r="C6" s="15"/>
      <c r="D6" s="15"/>
      <c r="E6" s="87" t="n">
        <f aca="false">SUM(E7:E59)</f>
        <v>4364996</v>
      </c>
      <c r="F6" s="15"/>
      <c r="G6" s="15"/>
      <c r="H6" s="87" t="n">
        <f aca="false">SUM(H7:H59)</f>
        <v>3866010.74</v>
      </c>
      <c r="I6" s="87" t="n">
        <f aca="false">H6-E6</f>
        <v>-498985.26</v>
      </c>
      <c r="J6" s="88" t="n">
        <f aca="false">IF(E6&gt;0,I6/E6,"")</f>
        <v>-0.114315170048266</v>
      </c>
      <c r="K6" s="88" t="n">
        <f aca="false">SUM(K7:K59)</f>
        <v>1</v>
      </c>
      <c r="L6" s="87" t="n">
        <f aca="false">SUM(L7:L59)</f>
        <v>4141021</v>
      </c>
      <c r="M6" s="15"/>
      <c r="N6" s="87" t="n">
        <f aca="false">SUM(N7:N59)</f>
        <v>-275010.26</v>
      </c>
      <c r="O6" s="15"/>
    </row>
    <row r="7" customFormat="false" ht="15" hidden="false" customHeight="false" outlineLevel="0" collapsed="false">
      <c r="A7" s="5" t="n">
        <v>1</v>
      </c>
      <c r="B7" s="5" t="s">
        <v>79</v>
      </c>
      <c r="C7" s="5" t="s">
        <v>267</v>
      </c>
      <c r="D7" s="66" t="n">
        <v>915</v>
      </c>
      <c r="E7" s="10" t="n">
        <v>964117</v>
      </c>
      <c r="F7" s="57" t="n">
        <f aca="false">IF(AND(D7&gt;0,N(E7)&gt;0),E7/D7,"")</f>
        <v>1053.67978142077</v>
      </c>
      <c r="G7" s="48" t="n">
        <f aca="false">IFERROR(INDEX(Prices!$C$6:$C$300,MATCH(B7,Prices!$A$6:$A$300,0)),"")</f>
        <v>942.1</v>
      </c>
      <c r="H7" s="8" t="n">
        <f aca="false">IF(ISNUMBER(G7),D7*G7,0)</f>
        <v>862021.5</v>
      </c>
      <c r="I7" s="8" t="n">
        <f aca="false">H7-N(E7)</f>
        <v>-102095.5</v>
      </c>
      <c r="J7" s="9" t="n">
        <f aca="false">IF(N(E7)&gt;0,I7/E7,"")</f>
        <v>-0.105895342577716</v>
      </c>
      <c r="K7" s="9" t="n">
        <f aca="false">IF($H$6=0,"",H7/$H$6)</f>
        <v>0.222974419362322</v>
      </c>
      <c r="L7" s="10" t="n">
        <v>946110</v>
      </c>
      <c r="M7" s="57" t="n">
        <f aca="false">IF(ISNUMBER(L7),L7/D7,"")</f>
        <v>1034</v>
      </c>
      <c r="N7" s="8" t="n">
        <f aca="false">IF(ISNUMBER(L7),H7-L7,"")</f>
        <v>-84088.5</v>
      </c>
      <c r="O7" s="67"/>
    </row>
    <row r="8" customFormat="false" ht="15" hidden="false" customHeight="false" outlineLevel="0" collapsed="false">
      <c r="A8" s="5" t="n">
        <v>2</v>
      </c>
      <c r="B8" s="5" t="s">
        <v>83</v>
      </c>
      <c r="C8" s="5" t="s">
        <v>267</v>
      </c>
      <c r="D8" s="66" t="n">
        <v>792</v>
      </c>
      <c r="E8" s="10" t="n">
        <v>376533</v>
      </c>
      <c r="F8" s="57" t="n">
        <f aca="false">IF(AND(D8&gt;0,N(E8)&gt;0),E8/D8,"")</f>
        <v>475.420454545455</v>
      </c>
      <c r="G8" s="48" t="n">
        <f aca="false">IFERROR(INDEX(Prices!$C$6:$C$300,MATCH(B8,Prices!$A$6:$A$300,0)),"")</f>
        <v>432.45</v>
      </c>
      <c r="H8" s="8" t="n">
        <f aca="false">IF(ISNUMBER(G8),D8*G8,0)</f>
        <v>342500.4</v>
      </c>
      <c r="I8" s="8" t="n">
        <f aca="false">H8-N(E8)</f>
        <v>-34032.6</v>
      </c>
      <c r="J8" s="9" t="n">
        <f aca="false">IF(N(E8)&gt;0,I8/E8,"")</f>
        <v>-0.0903841097593041</v>
      </c>
      <c r="K8" s="9" t="n">
        <f aca="false">IF($H$6=0,"",H8/$H$6)</f>
        <v>0.0885927181878445</v>
      </c>
      <c r="L8" s="10" t="n">
        <v>352440</v>
      </c>
      <c r="M8" s="57" t="n">
        <f aca="false">IF(ISNUMBER(L8),L8/D8,"")</f>
        <v>445</v>
      </c>
      <c r="N8" s="8" t="n">
        <f aca="false">IF(ISNUMBER(L8),H8-L8,"")</f>
        <v>-9939.60000000004</v>
      </c>
      <c r="O8" s="67"/>
    </row>
    <row r="9" customFormat="false" ht="15" hidden="false" customHeight="false" outlineLevel="0" collapsed="false">
      <c r="A9" s="5" t="n">
        <v>3</v>
      </c>
      <c r="B9" s="5" t="s">
        <v>80</v>
      </c>
      <c r="C9" s="5" t="s">
        <v>267</v>
      </c>
      <c r="D9" s="66" t="n">
        <v>59</v>
      </c>
      <c r="E9" s="10" t="n">
        <v>260113</v>
      </c>
      <c r="F9" s="57" t="n">
        <f aca="false">IF(AND(D9&gt;0,N(E9)&gt;0),E9/D9,"")</f>
        <v>4408.69491525424</v>
      </c>
      <c r="G9" s="48" t="n">
        <f aca="false">IFERROR(INDEX(Prices!$C$6:$C$300,MATCH(B9,Prices!$A$6:$A$300,0)),"")</f>
        <v>4350</v>
      </c>
      <c r="H9" s="8" t="n">
        <f aca="false">IF(ISNUMBER(G9),D9*G9,0)</f>
        <v>256650</v>
      </c>
      <c r="I9" s="8" t="n">
        <f aca="false">H9-N(E9)</f>
        <v>-3463</v>
      </c>
      <c r="J9" s="9" t="n">
        <f aca="false">IF(N(E9)&gt;0,I9/E9,"")</f>
        <v>-0.0133134445414108</v>
      </c>
      <c r="K9" s="9" t="n">
        <f aca="false">IF($H$6=0,"",H9/$H$6)</f>
        <v>0.0663862615135932</v>
      </c>
      <c r="L9" s="10" t="n">
        <v>295590</v>
      </c>
      <c r="M9" s="57" t="n">
        <f aca="false">IF(ISNUMBER(L9),L9/D9,"")</f>
        <v>5010</v>
      </c>
      <c r="N9" s="8" t="n">
        <f aca="false">IF(ISNUMBER(L9),H9-L9,"")</f>
        <v>-38940</v>
      </c>
      <c r="O9" s="67"/>
    </row>
    <row r="10" customFormat="false" ht="15" hidden="false" customHeight="false" outlineLevel="0" collapsed="false">
      <c r="A10" s="5" t="n">
        <v>4</v>
      </c>
      <c r="B10" s="5" t="s">
        <v>82</v>
      </c>
      <c r="C10" s="5" t="s">
        <v>267</v>
      </c>
      <c r="D10" s="66" t="n">
        <v>337</v>
      </c>
      <c r="E10" s="10" t="n">
        <v>250961</v>
      </c>
      <c r="F10" s="57" t="n">
        <f aca="false">IF(AND(D10&gt;0,N(E10)&gt;0),E10/D10,"")</f>
        <v>744.691394658754</v>
      </c>
      <c r="G10" s="48" t="n">
        <f aca="false">IFERROR(INDEX(Prices!$C$6:$C$300,MATCH(B10,Prices!$A$6:$A$300,0)),"")</f>
        <v>694.05</v>
      </c>
      <c r="H10" s="8" t="n">
        <f aca="false">IF(ISNUMBER(G10),D10*G10,0)</f>
        <v>233894.85</v>
      </c>
      <c r="I10" s="8" t="n">
        <f aca="false">H10-N(E10)</f>
        <v>-17066.15</v>
      </c>
      <c r="J10" s="9" t="n">
        <f aca="false">IF(N(E10)&gt;0,I10/E10,"")</f>
        <v>-0.0680031957156691</v>
      </c>
      <c r="K10" s="9" t="n">
        <f aca="false">IF($H$6=0,"",H10/$H$6)</f>
        <v>0.0605003104569751</v>
      </c>
      <c r="L10" s="10" t="n">
        <v>238596</v>
      </c>
      <c r="M10" s="57" t="n">
        <f aca="false">IF(ISNUMBER(L10),L10/D10,"")</f>
        <v>708</v>
      </c>
      <c r="N10" s="8" t="n">
        <f aca="false">IF(ISNUMBER(L10),H10-L10,"")</f>
        <v>-4701.15000000002</v>
      </c>
      <c r="O10" s="67"/>
    </row>
    <row r="11" customFormat="false" ht="15" hidden="false" customHeight="false" outlineLevel="0" collapsed="false">
      <c r="A11" s="5" t="n">
        <v>5</v>
      </c>
      <c r="B11" s="5" t="s">
        <v>88</v>
      </c>
      <c r="C11" s="5" t="s">
        <v>268</v>
      </c>
      <c r="D11" s="66" t="n">
        <v>800</v>
      </c>
      <c r="E11" s="10" t="n">
        <v>180000</v>
      </c>
      <c r="F11" s="57" t="n">
        <f aca="false">IF(AND(D11&gt;0,N(E11)&gt;0),E11/D11,"")</f>
        <v>225</v>
      </c>
      <c r="G11" s="48" t="n">
        <f aca="false">IFERROR(INDEX(Prices!$C$6:$C$300,MATCH(B11,Prices!$A$6:$A$300,0)),"")</f>
        <v>234.25</v>
      </c>
      <c r="H11" s="8" t="n">
        <f aca="false">IF(ISNUMBER(G11),D11*G11,0)</f>
        <v>187400</v>
      </c>
      <c r="I11" s="8" t="n">
        <f aca="false">H11-N(E11)</f>
        <v>7400</v>
      </c>
      <c r="J11" s="9" t="n">
        <f aca="false">IF(N(E11)&gt;0,I11/E11,"")</f>
        <v>0.0411111111111111</v>
      </c>
      <c r="K11" s="9" t="n">
        <f aca="false">IF($H$6=0,"",H11/$H$6)</f>
        <v>0.0484737401427912</v>
      </c>
      <c r="L11" s="10" t="n">
        <v>212000</v>
      </c>
      <c r="M11" s="57" t="n">
        <f aca="false">IF(ISNUMBER(L11),L11/D11,"")</f>
        <v>265</v>
      </c>
      <c r="N11" s="8" t="n">
        <f aca="false">IF(ISNUMBER(L11),H11-L11,"")</f>
        <v>-24600</v>
      </c>
      <c r="O11" s="67" t="s">
        <v>269</v>
      </c>
    </row>
    <row r="12" customFormat="false" ht="15" hidden="false" customHeight="false" outlineLevel="0" collapsed="false">
      <c r="A12" s="5" t="n">
        <v>6</v>
      </c>
      <c r="B12" s="5" t="s">
        <v>99</v>
      </c>
      <c r="C12" s="5" t="s">
        <v>16</v>
      </c>
      <c r="D12" s="66" t="n">
        <v>146</v>
      </c>
      <c r="E12" s="10" t="n">
        <v>198998</v>
      </c>
      <c r="F12" s="57" t="n">
        <f aca="false">IF(AND(D12&gt;0,N(E12)&gt;0),E12/D12,"")</f>
        <v>1363</v>
      </c>
      <c r="G12" s="48" t="n">
        <f aca="false">IFERROR(INDEX(Prices!$C$6:$C$300,MATCH(B12,Prices!$A$6:$A$300,0)),"")</f>
        <v>1184.5</v>
      </c>
      <c r="H12" s="8" t="n">
        <f aca="false">IF(ISNUMBER(G12),D12*G12,0)</f>
        <v>172937</v>
      </c>
      <c r="I12" s="8" t="n">
        <f aca="false">H12-N(E12)</f>
        <v>-26061</v>
      </c>
      <c r="J12" s="9" t="n">
        <f aca="false">IF(N(E12)&gt;0,I12/E12,"")</f>
        <v>-0.130961115187087</v>
      </c>
      <c r="K12" s="9" t="n">
        <f aca="false">IF($H$6=0,"",H12/$H$6)</f>
        <v>0.0447326744881211</v>
      </c>
      <c r="L12" s="10" t="n">
        <v>183668</v>
      </c>
      <c r="M12" s="57" t="n">
        <f aca="false">IF(ISNUMBER(L12),L12/D12,"")</f>
        <v>1258</v>
      </c>
      <c r="N12" s="8" t="n">
        <f aca="false">IF(ISNUMBER(L12),H12-L12,"")</f>
        <v>-10731</v>
      </c>
      <c r="O12" s="67"/>
    </row>
    <row r="13" customFormat="false" ht="15" hidden="false" customHeight="false" outlineLevel="0" collapsed="false">
      <c r="A13" s="5" t="n">
        <v>7</v>
      </c>
      <c r="B13" s="5" t="s">
        <v>84</v>
      </c>
      <c r="C13" s="5" t="s">
        <v>268</v>
      </c>
      <c r="D13" s="66" t="n">
        <v>120</v>
      </c>
      <c r="E13" s="10" t="n">
        <v>169080</v>
      </c>
      <c r="F13" s="57" t="n">
        <f aca="false">IF(AND(D13&gt;0,N(E13)&gt;0),E13/D13,"")</f>
        <v>1409</v>
      </c>
      <c r="G13" s="48" t="n">
        <f aca="false">IFERROR(INDEX(Prices!$C$6:$C$300,MATCH(B13,Prices!$A$6:$A$300,0)),"")</f>
        <v>1371.45</v>
      </c>
      <c r="H13" s="8" t="n">
        <f aca="false">IF(ISNUMBER(G13),D13*G13,0)</f>
        <v>164574</v>
      </c>
      <c r="I13" s="8" t="n">
        <f aca="false">H13-N(E13)</f>
        <v>-4506</v>
      </c>
      <c r="J13" s="9" t="n">
        <f aca="false">IF(N(E13)&gt;0,I13/E13,"")</f>
        <v>-0.0266501064584812</v>
      </c>
      <c r="K13" s="9" t="n">
        <f aca="false">IF($H$6=0,"",H13/$H$6)</f>
        <v>0.0425694627014927</v>
      </c>
      <c r="L13" s="10" t="n">
        <v>184800</v>
      </c>
      <c r="M13" s="57" t="n">
        <f aca="false">IF(ISNUMBER(L13),L13/D13,"")</f>
        <v>1540</v>
      </c>
      <c r="N13" s="8" t="n">
        <f aca="false">IF(ISNUMBER(L13),H13-L13,"")</f>
        <v>-20226</v>
      </c>
      <c r="O13" s="67" t="s">
        <v>270</v>
      </c>
    </row>
    <row r="14" customFormat="false" ht="15" hidden="false" customHeight="false" outlineLevel="0" collapsed="false">
      <c r="A14" s="5" t="n">
        <v>8</v>
      </c>
      <c r="B14" s="5" t="s">
        <v>87</v>
      </c>
      <c r="C14" s="5" t="s">
        <v>267</v>
      </c>
      <c r="D14" s="66" t="n">
        <v>1732</v>
      </c>
      <c r="E14" s="10" t="n">
        <v>172732</v>
      </c>
      <c r="F14" s="57" t="n">
        <f aca="false">IF(AND(D14&gt;0,N(E14)&gt;0),E14/D14,"")</f>
        <v>99.729792147806</v>
      </c>
      <c r="G14" s="48" t="n">
        <f aca="false">IFERROR(INDEX(Prices!$C$6:$C$300,MATCH(B14,Prices!$A$6:$A$300,0)),"")</f>
        <v>81.02</v>
      </c>
      <c r="H14" s="8" t="n">
        <f aca="false">IF(ISNUMBER(G14),D14*G14,0)</f>
        <v>140326.64</v>
      </c>
      <c r="I14" s="8" t="n">
        <f aca="false">H14-N(E14)</f>
        <v>-32405.36</v>
      </c>
      <c r="J14" s="9" t="n">
        <f aca="false">IF(N(E14)&gt;0,I14/E14,"")</f>
        <v>-0.187604844498993</v>
      </c>
      <c r="K14" s="9" t="n">
        <f aca="false">IF($H$6=0,"",H14/$H$6)</f>
        <v>0.0362975297890662</v>
      </c>
      <c r="L14" s="10" t="n">
        <v>145488</v>
      </c>
      <c r="M14" s="57" t="n">
        <f aca="false">IF(ISNUMBER(L14),L14/D14,"")</f>
        <v>84</v>
      </c>
      <c r="N14" s="8" t="n">
        <f aca="false">IF(ISNUMBER(L14),H14-L14,"")</f>
        <v>-5161.36000000002</v>
      </c>
      <c r="O14" s="67"/>
    </row>
    <row r="15" customFormat="false" ht="15" hidden="false" customHeight="false" outlineLevel="0" collapsed="false">
      <c r="A15" s="5" t="n">
        <v>9</v>
      </c>
      <c r="B15" s="5" t="s">
        <v>91</v>
      </c>
      <c r="C15" s="5" t="s">
        <v>16</v>
      </c>
      <c r="D15" s="66" t="n">
        <v>2030</v>
      </c>
      <c r="E15" s="10" t="n">
        <v>69020</v>
      </c>
      <c r="F15" s="57" t="n">
        <f aca="false">IF(AND(D15&gt;0,N(E15)&gt;0),E15/D15,"")</f>
        <v>34</v>
      </c>
      <c r="G15" s="48" t="n">
        <f aca="false">IFERROR(INDEX(Prices!$C$6:$C$300,MATCH(B15,Prices!$A$6:$A$300,0)),"")</f>
        <v>51.55</v>
      </c>
      <c r="H15" s="8" t="n">
        <f aca="false">IF(ISNUMBER(G15),D15*G15,0)</f>
        <v>104646.5</v>
      </c>
      <c r="I15" s="8" t="n">
        <f aca="false">H15-N(E15)</f>
        <v>35626.5</v>
      </c>
      <c r="J15" s="9" t="n">
        <f aca="false">IF(N(E15)&gt;0,I15/E15,"")</f>
        <v>0.516176470588235</v>
      </c>
      <c r="K15" s="9" t="n">
        <f aca="false">IF($H$6=0,"",H15/$H$6)</f>
        <v>0.027068341770825</v>
      </c>
      <c r="L15" s="10" t="n">
        <v>117131</v>
      </c>
      <c r="M15" s="57" t="n">
        <f aca="false">IF(ISNUMBER(L15),L15/D15,"")</f>
        <v>57.7</v>
      </c>
      <c r="N15" s="8" t="n">
        <f aca="false">IF(ISNUMBER(L15),H15-L15,"")</f>
        <v>-12484.5</v>
      </c>
      <c r="O15" s="67"/>
    </row>
    <row r="16" customFormat="false" ht="15" hidden="false" customHeight="false" outlineLevel="0" collapsed="false">
      <c r="A16" s="5" t="n">
        <v>10</v>
      </c>
      <c r="B16" s="5" t="s">
        <v>93</v>
      </c>
      <c r="C16" s="5" t="s">
        <v>267</v>
      </c>
      <c r="D16" s="66" t="n">
        <v>18</v>
      </c>
      <c r="E16" s="10" t="n">
        <v>91873</v>
      </c>
      <c r="F16" s="57" t="n">
        <f aca="false">IF(AND(D16&gt;0,N(E16)&gt;0),E16/D16,"")</f>
        <v>5104.05555555556</v>
      </c>
      <c r="G16" s="48" t="n">
        <f aca="false">IFERROR(INDEX(Prices!$C$6:$C$300,MATCH(B16,Prices!$A$6:$A$300,0)),"")</f>
        <v>5740.5</v>
      </c>
      <c r="H16" s="8" t="n">
        <f aca="false">IF(ISNUMBER(G16),D16*G16,0)</f>
        <v>103329</v>
      </c>
      <c r="I16" s="8" t="n">
        <f aca="false">H16-N(E16)</f>
        <v>11456</v>
      </c>
      <c r="J16" s="9" t="n">
        <f aca="false">IF(N(E16)&gt;0,I16/E16,"")</f>
        <v>0.124693870886985</v>
      </c>
      <c r="K16" s="9" t="n">
        <f aca="false">IF($H$6=0,"",H16/$H$6)</f>
        <v>0.0267275512017848</v>
      </c>
      <c r="L16" s="10" t="n">
        <v>99288</v>
      </c>
      <c r="M16" s="57" t="n">
        <f aca="false">IF(ISNUMBER(L16),L16/D16,"")</f>
        <v>5516</v>
      </c>
      <c r="N16" s="8" t="n">
        <f aca="false">IF(ISNUMBER(L16),H16-L16,"")</f>
        <v>4041</v>
      </c>
      <c r="O16" s="67"/>
    </row>
    <row r="17" customFormat="false" ht="15" hidden="false" customHeight="false" outlineLevel="0" collapsed="false">
      <c r="A17" s="5" t="n">
        <v>11</v>
      </c>
      <c r="B17" s="5" t="s">
        <v>89</v>
      </c>
      <c r="C17" s="5" t="s">
        <v>267</v>
      </c>
      <c r="D17" s="66" t="n">
        <v>24</v>
      </c>
      <c r="E17" s="10" t="n">
        <v>85824</v>
      </c>
      <c r="F17" s="57" t="n">
        <f aca="false">IF(AND(D17&gt;0,N(E17)&gt;0),E17/D17,"")</f>
        <v>3576</v>
      </c>
      <c r="G17" s="48" t="n">
        <f aca="false">IFERROR(INDEX(Prices!$C$6:$C$300,MATCH(B17,Prices!$A$6:$A$300,0)),"")</f>
        <v>3954.8</v>
      </c>
      <c r="H17" s="8" t="n">
        <f aca="false">IF(ISNUMBER(G17),D17*G17,0)</f>
        <v>94915.2</v>
      </c>
      <c r="I17" s="8" t="n">
        <f aca="false">H17-N(E17)</f>
        <v>9091.20000000001</v>
      </c>
      <c r="J17" s="9" t="n">
        <f aca="false">IF(N(E17)&gt;0,I17/E17,"")</f>
        <v>0.10592841163311</v>
      </c>
      <c r="K17" s="9" t="n">
        <f aca="false">IF($H$6=0,"",H17/$H$6)</f>
        <v>0.024551199255075</v>
      </c>
      <c r="L17" s="10" t="n">
        <v>80088</v>
      </c>
      <c r="M17" s="57" t="n">
        <f aca="false">IF(ISNUMBER(L17),L17/D17,"")</f>
        <v>3337</v>
      </c>
      <c r="N17" s="8" t="n">
        <f aca="false">IF(ISNUMBER(L17),H17-L17,"")</f>
        <v>14827.2</v>
      </c>
      <c r="O17" s="67"/>
    </row>
    <row r="18" customFormat="false" ht="15" hidden="false" customHeight="false" outlineLevel="0" collapsed="false">
      <c r="A18" s="5" t="n">
        <v>12</v>
      </c>
      <c r="B18" s="5" t="s">
        <v>108</v>
      </c>
      <c r="C18" s="5" t="s">
        <v>16</v>
      </c>
      <c r="D18" s="66" t="n">
        <v>374</v>
      </c>
      <c r="E18" s="10" t="n">
        <v>94996</v>
      </c>
      <c r="F18" s="57" t="n">
        <f aca="false">IF(AND(D18&gt;0,N(E18)&gt;0),E18/D18,"")</f>
        <v>254</v>
      </c>
      <c r="G18" s="48" t="n">
        <f aca="false">IFERROR(INDEX(Prices!$C$6:$C$300,MATCH(B18,Prices!$A$6:$A$300,0)),"")</f>
        <v>210.8</v>
      </c>
      <c r="H18" s="8" t="n">
        <f aca="false">IF(ISNUMBER(G18),D18*G18,0)</f>
        <v>78839.2</v>
      </c>
      <c r="I18" s="8" t="n">
        <f aca="false">H18-N(E18)</f>
        <v>-16156.8</v>
      </c>
      <c r="J18" s="9" t="n">
        <f aca="false">IF(N(E18)&gt;0,I18/E18,"")</f>
        <v>-0.17007874015748</v>
      </c>
      <c r="K18" s="9" t="n">
        <f aca="false">IF($H$6=0,"",H18/$H$6)</f>
        <v>0.0203929076513636</v>
      </c>
      <c r="L18" s="10" t="n">
        <v>86020</v>
      </c>
      <c r="M18" s="57" t="n">
        <f aca="false">IF(ISNUMBER(L18),L18/D18,"")</f>
        <v>230</v>
      </c>
      <c r="N18" s="8" t="n">
        <f aca="false">IF(ISNUMBER(L18),H18-L18,"")</f>
        <v>-7180.8</v>
      </c>
      <c r="O18" s="67"/>
    </row>
    <row r="19" customFormat="false" ht="15" hidden="false" customHeight="false" outlineLevel="0" collapsed="false">
      <c r="A19" s="5" t="n">
        <v>13</v>
      </c>
      <c r="B19" s="5" t="s">
        <v>92</v>
      </c>
      <c r="C19" s="5" t="s">
        <v>267</v>
      </c>
      <c r="D19" s="66" t="n">
        <v>20</v>
      </c>
      <c r="E19" s="10" t="n">
        <v>74720</v>
      </c>
      <c r="F19" s="57" t="n">
        <f aca="false">IF(AND(D19&gt;0,N(E19)&gt;0),E19/D19,"")</f>
        <v>3736</v>
      </c>
      <c r="G19" s="48" t="n">
        <f aca="false">IFERROR(INDEX(Prices!$C$6:$C$300,MATCH(B19,Prices!$A$6:$A$300,0)),"")</f>
        <v>3846.8</v>
      </c>
      <c r="H19" s="8" t="n">
        <f aca="false">IF(ISNUMBER(G19),D19*G19,0)</f>
        <v>76936</v>
      </c>
      <c r="I19" s="8" t="n">
        <f aca="false">H19-N(E19)</f>
        <v>2216</v>
      </c>
      <c r="J19" s="9" t="n">
        <f aca="false">IF(N(E19)&gt;0,I19/E19,"")</f>
        <v>0.0296573875802998</v>
      </c>
      <c r="K19" s="9" t="n">
        <f aca="false">IF($H$6=0,"",H19/$H$6)</f>
        <v>0.0199006172445346</v>
      </c>
      <c r="L19" s="10" t="n">
        <v>67660</v>
      </c>
      <c r="M19" s="57" t="n">
        <f aca="false">IF(ISNUMBER(L19),L19/D19,"")</f>
        <v>3383</v>
      </c>
      <c r="N19" s="8" t="n">
        <f aca="false">IF(ISNUMBER(L19),H19-L19,"")</f>
        <v>9276</v>
      </c>
      <c r="O19" s="67"/>
    </row>
    <row r="20" customFormat="false" ht="15" hidden="false" customHeight="false" outlineLevel="0" collapsed="false">
      <c r="A20" s="5" t="n">
        <v>14</v>
      </c>
      <c r="B20" s="5" t="s">
        <v>106</v>
      </c>
      <c r="C20" s="5" t="s">
        <v>268</v>
      </c>
      <c r="D20" s="66" t="n">
        <v>52</v>
      </c>
      <c r="E20" s="10" t="n">
        <v>65780</v>
      </c>
      <c r="F20" s="57" t="n">
        <f aca="false">IF(AND(D20&gt;0,N(E20)&gt;0),E20/D20,"")</f>
        <v>1265</v>
      </c>
      <c r="G20" s="48" t="n">
        <f aca="false">IFERROR(INDEX(Prices!$C$6:$C$300,MATCH(B20,Prices!$A$6:$A$300,0)),"")</f>
        <v>1189.9</v>
      </c>
      <c r="H20" s="8" t="n">
        <f aca="false">IF(ISNUMBER(G20),D20*G20,0)</f>
        <v>61874.8</v>
      </c>
      <c r="I20" s="8" t="n">
        <f aca="false">H20-N(E20)</f>
        <v>-3905.2</v>
      </c>
      <c r="J20" s="9" t="n">
        <f aca="false">IF(N(E20)&gt;0,I20/E20,"")</f>
        <v>-0.0593675889328063</v>
      </c>
      <c r="K20" s="9" t="n">
        <f aca="false">IF($H$6=0,"",H20/$H$6)</f>
        <v>0.0160048184449689</v>
      </c>
      <c r="L20" s="10" t="n">
        <v>71916</v>
      </c>
      <c r="M20" s="57" t="n">
        <f aca="false">IF(ISNUMBER(L20),L20/D20,"")</f>
        <v>1383</v>
      </c>
      <c r="N20" s="8" t="n">
        <f aca="false">IF(ISNUMBER(L20),H20-L20,"")</f>
        <v>-10041.2</v>
      </c>
      <c r="O20" s="67"/>
    </row>
    <row r="21" customFormat="false" ht="15" hidden="false" customHeight="false" outlineLevel="0" collapsed="false">
      <c r="A21" s="5" t="n">
        <v>15</v>
      </c>
      <c r="B21" s="5" t="s">
        <v>94</v>
      </c>
      <c r="C21" s="5" t="s">
        <v>267</v>
      </c>
      <c r="D21" s="66" t="n">
        <v>45</v>
      </c>
      <c r="E21" s="10" t="n">
        <v>74914</v>
      </c>
      <c r="F21" s="57" t="n">
        <f aca="false">IF(AND(D21&gt;0,N(E21)&gt;0),E21/D21,"")</f>
        <v>1664.75555555556</v>
      </c>
      <c r="G21" s="48" t="n">
        <f aca="false">IFERROR(INDEX(Prices!$C$6:$C$300,MATCH(B21,Prices!$A$6:$A$300,0)),"")</f>
        <v>1362.8</v>
      </c>
      <c r="H21" s="8" t="n">
        <f aca="false">IF(ISNUMBER(G21),D21*G21,0)</f>
        <v>61326</v>
      </c>
      <c r="I21" s="8" t="n">
        <f aca="false">H21-N(E21)</f>
        <v>-13588</v>
      </c>
      <c r="J21" s="9" t="n">
        <f aca="false">IF(N(E21)&gt;0,I21/E21,"")</f>
        <v>-0.181381317243773</v>
      </c>
      <c r="K21" s="9" t="n">
        <f aca="false">IF($H$6=0,"",H21/$H$6)</f>
        <v>0.0158628633297589</v>
      </c>
      <c r="L21" s="10" t="n">
        <v>70560</v>
      </c>
      <c r="M21" s="57" t="n">
        <f aca="false">IF(ISNUMBER(L21),L21/D21,"")</f>
        <v>1568</v>
      </c>
      <c r="N21" s="8" t="n">
        <f aca="false">IF(ISNUMBER(L21),H21-L21,"")</f>
        <v>-9234</v>
      </c>
      <c r="O21" s="67"/>
    </row>
    <row r="22" customFormat="false" ht="15" hidden="false" customHeight="false" outlineLevel="0" collapsed="false">
      <c r="A22" s="5" t="n">
        <v>16</v>
      </c>
      <c r="B22" s="5" t="s">
        <v>97</v>
      </c>
      <c r="C22" s="5" t="s">
        <v>267</v>
      </c>
      <c r="D22" s="66" t="n">
        <v>8</v>
      </c>
      <c r="E22" s="10" t="n">
        <v>64347</v>
      </c>
      <c r="F22" s="57" t="n">
        <f aca="false">IF(AND(D22&gt;0,N(E22)&gt;0),E22/D22,"")</f>
        <v>8043.375</v>
      </c>
      <c r="G22" s="48" t="n">
        <f aca="false">IFERROR(INDEX(Prices!$C$6:$C$300,MATCH(B22,Prices!$A$6:$A$300,0)),"")</f>
        <v>7084.5</v>
      </c>
      <c r="H22" s="8" t="n">
        <f aca="false">IF(ISNUMBER(G22),D22*G22,0)</f>
        <v>56676</v>
      </c>
      <c r="I22" s="8" t="n">
        <f aca="false">H22-N(E22)</f>
        <v>-7671</v>
      </c>
      <c r="J22" s="9" t="n">
        <f aca="false">IF(N(E22)&gt;0,I22/E22,"")</f>
        <v>-0.119213016923866</v>
      </c>
      <c r="K22" s="9" t="n">
        <f aca="false">IF($H$6=0,"",H22/$H$6)</f>
        <v>0.0146600730860877</v>
      </c>
      <c r="L22" s="10" t="n">
        <v>60240</v>
      </c>
      <c r="M22" s="57" t="n">
        <f aca="false">IF(ISNUMBER(L22),L22/D22,"")</f>
        <v>7530</v>
      </c>
      <c r="N22" s="8" t="n">
        <f aca="false">IF(ISNUMBER(L22),H22-L22,"")</f>
        <v>-3564</v>
      </c>
      <c r="O22" s="67"/>
    </row>
    <row r="23" customFormat="false" ht="15" hidden="false" customHeight="false" outlineLevel="0" collapsed="false">
      <c r="A23" s="5" t="n">
        <v>17</v>
      </c>
      <c r="B23" s="5" t="s">
        <v>100</v>
      </c>
      <c r="C23" s="5" t="s">
        <v>267</v>
      </c>
      <c r="D23" s="66" t="n">
        <v>18</v>
      </c>
      <c r="E23" s="10" t="n">
        <v>53931</v>
      </c>
      <c r="F23" s="57" t="n">
        <f aca="false">IF(AND(D23&gt;0,N(E23)&gt;0),E23/D23,"")</f>
        <v>2996.16666666667</v>
      </c>
      <c r="G23" s="48" t="n">
        <f aca="false">IFERROR(INDEX(Prices!$C$6:$C$300,MATCH(B23,Prices!$A$6:$A$300,0)),"")</f>
        <v>2775.8</v>
      </c>
      <c r="H23" s="8" t="n">
        <f aca="false">IF(ISNUMBER(G23),D23*G23,0)</f>
        <v>49964.4</v>
      </c>
      <c r="I23" s="8" t="n">
        <f aca="false">H23-N(E23)</f>
        <v>-3966.6</v>
      </c>
      <c r="J23" s="9" t="n">
        <f aca="false">IF(N(E23)&gt;0,I23/E23,"")</f>
        <v>-0.0735495355176058</v>
      </c>
      <c r="K23" s="9" t="n">
        <f aca="false">IF($H$6=0,"",H23/$H$6)</f>
        <v>0.0129240199679321</v>
      </c>
      <c r="L23" s="10" t="n">
        <v>50436</v>
      </c>
      <c r="M23" s="57" t="n">
        <f aca="false">IF(ISNUMBER(L23),L23/D23,"")</f>
        <v>2802</v>
      </c>
      <c r="N23" s="8" t="n">
        <f aca="false">IF(ISNUMBER(L23),H23-L23,"")</f>
        <v>-471.599999999999</v>
      </c>
      <c r="O23" s="67"/>
    </row>
    <row r="24" customFormat="false" ht="15" hidden="false" customHeight="false" outlineLevel="0" collapsed="false">
      <c r="A24" s="5" t="n">
        <v>18</v>
      </c>
      <c r="B24" s="5" t="s">
        <v>116</v>
      </c>
      <c r="C24" s="5" t="s">
        <v>16</v>
      </c>
      <c r="D24" s="66" t="n">
        <v>399</v>
      </c>
      <c r="E24" s="10" t="n">
        <v>70623</v>
      </c>
      <c r="F24" s="57" t="n">
        <f aca="false">IF(AND(D24&gt;0,N(E24)&gt;0),E24/D24,"")</f>
        <v>177</v>
      </c>
      <c r="G24" s="48" t="n">
        <f aca="false">IFERROR(INDEX(Prices!$C$6:$C$300,MATCH(B24,Prices!$A$6:$A$300,0)),"")</f>
        <v>120.17</v>
      </c>
      <c r="H24" s="8" t="n">
        <f aca="false">IF(ISNUMBER(G24),D24*G24,0)</f>
        <v>47947.83</v>
      </c>
      <c r="I24" s="8" t="n">
        <f aca="false">H24-N(E24)</f>
        <v>-22675.17</v>
      </c>
      <c r="J24" s="9" t="n">
        <f aca="false">IF(N(E24)&gt;0,I24/E24,"")</f>
        <v>-0.321073446327684</v>
      </c>
      <c r="K24" s="9" t="n">
        <f aca="false">IF($H$6=0,"",H24/$H$6)</f>
        <v>0.0124024047589687</v>
      </c>
      <c r="L24" s="10" t="n">
        <v>56259</v>
      </c>
      <c r="M24" s="57" t="n">
        <f aca="false">IF(ISNUMBER(L24),L24/D24,"")</f>
        <v>141</v>
      </c>
      <c r="N24" s="8" t="n">
        <f aca="false">IF(ISNUMBER(L24),H24-L24,"")</f>
        <v>-8311.17</v>
      </c>
      <c r="O24" s="67"/>
    </row>
    <row r="25" customFormat="false" ht="15" hidden="false" customHeight="false" outlineLevel="0" collapsed="false">
      <c r="A25" s="5" t="n">
        <v>19</v>
      </c>
      <c r="B25" s="5" t="s">
        <v>114</v>
      </c>
      <c r="C25" s="5" t="s">
        <v>268</v>
      </c>
      <c r="D25" s="66" t="n">
        <v>33</v>
      </c>
      <c r="E25" s="10" t="n">
        <v>47223</v>
      </c>
      <c r="F25" s="57" t="n">
        <f aca="false">IF(AND(D25&gt;0,N(E25)&gt;0),E25/D25,"")</f>
        <v>1431</v>
      </c>
      <c r="G25" s="48" t="n">
        <f aca="false">IFERROR(INDEX(Prices!$C$6:$C$300,MATCH(B25,Prices!$A$6:$A$300,0)),"")</f>
        <v>1421.7</v>
      </c>
      <c r="H25" s="8" t="n">
        <f aca="false">IF(ISNUMBER(G25),D25*G25,0)</f>
        <v>46916.1</v>
      </c>
      <c r="I25" s="8" t="n">
        <f aca="false">H25-N(E25)</f>
        <v>-306.900000000001</v>
      </c>
      <c r="J25" s="9" t="n">
        <f aca="false">IF(N(E25)&gt;0,I25/E25,"")</f>
        <v>-0.00649895178197068</v>
      </c>
      <c r="K25" s="9" t="n">
        <f aca="false">IF($H$6=0,"",H25/$H$6)</f>
        <v>0.0121355327636777</v>
      </c>
      <c r="L25" s="10" t="n">
        <v>39798</v>
      </c>
      <c r="M25" s="57" t="n">
        <f aca="false">IF(ISNUMBER(L25),L25/D25,"")</f>
        <v>1206</v>
      </c>
      <c r="N25" s="8" t="n">
        <f aca="false">IF(ISNUMBER(L25),H25-L25,"")</f>
        <v>7118.1</v>
      </c>
      <c r="O25" s="67"/>
    </row>
    <row r="26" customFormat="false" ht="15" hidden="false" customHeight="false" outlineLevel="0" collapsed="false">
      <c r="A26" s="5" t="n">
        <v>20</v>
      </c>
      <c r="B26" s="5" t="s">
        <v>117</v>
      </c>
      <c r="C26" s="5" t="s">
        <v>268</v>
      </c>
      <c r="D26" s="66" t="n">
        <v>111</v>
      </c>
      <c r="E26" s="10" t="n">
        <v>45510</v>
      </c>
      <c r="F26" s="57" t="n">
        <f aca="false">IF(AND(D26&gt;0,N(E26)&gt;0),E26/D26,"")</f>
        <v>410</v>
      </c>
      <c r="G26" s="48" t="n">
        <f aca="false">IFERROR(INDEX(Prices!$C$6:$C$300,MATCH(B26,Prices!$A$6:$A$300,0)),"")</f>
        <v>381.85</v>
      </c>
      <c r="H26" s="8" t="n">
        <f aca="false">IF(ISNUMBER(G26),D26*G26,0)</f>
        <v>42385.35</v>
      </c>
      <c r="I26" s="8" t="n">
        <f aca="false">H26-N(E26)</f>
        <v>-3124.64999999999</v>
      </c>
      <c r="J26" s="9" t="n">
        <f aca="false">IF(N(E26)&gt;0,I26/E26,"")</f>
        <v>-0.0686585365853657</v>
      </c>
      <c r="K26" s="9" t="n">
        <f aca="false">IF($H$6=0,"",H26/$H$6)</f>
        <v>0.0109635882698039</v>
      </c>
      <c r="L26" s="10" t="n">
        <v>43068</v>
      </c>
      <c r="M26" s="57" t="n">
        <f aca="false">IF(ISNUMBER(L26),L26/D26,"")</f>
        <v>388</v>
      </c>
      <c r="N26" s="8" t="n">
        <f aca="false">IF(ISNUMBER(L26),H26-L26,"")</f>
        <v>-682.649999999994</v>
      </c>
      <c r="O26" s="67"/>
    </row>
    <row r="27" customFormat="false" ht="15" hidden="false" customHeight="false" outlineLevel="0" collapsed="false">
      <c r="A27" s="5" t="n">
        <v>21</v>
      </c>
      <c r="B27" s="5" t="s">
        <v>102</v>
      </c>
      <c r="C27" s="5" t="s">
        <v>267</v>
      </c>
      <c r="D27" s="66" t="n">
        <v>13</v>
      </c>
      <c r="E27" s="10" t="n">
        <v>51822</v>
      </c>
      <c r="F27" s="57" t="n">
        <f aca="false">IF(AND(D27&gt;0,N(E27)&gt;0),E27/D27,"")</f>
        <v>3986.30769230769</v>
      </c>
      <c r="G27" s="48" t="n">
        <f aca="false">IFERROR(INDEX(Prices!$C$6:$C$300,MATCH(B27,Prices!$A$6:$A$300,0)),"")</f>
        <v>3166</v>
      </c>
      <c r="H27" s="8" t="n">
        <f aca="false">IF(ISNUMBER(G27),D27*G27,0)</f>
        <v>41158</v>
      </c>
      <c r="I27" s="8" t="n">
        <f aca="false">H27-N(E27)</f>
        <v>-10664</v>
      </c>
      <c r="J27" s="9" t="n">
        <f aca="false">IF(N(E27)&gt;0,I27/E27,"")</f>
        <v>-0.205781328393346</v>
      </c>
      <c r="K27" s="9" t="n">
        <f aca="false">IF($H$6=0,"",H27/$H$6)</f>
        <v>0.0106461163116169</v>
      </c>
      <c r="L27" s="10" t="n">
        <v>47944</v>
      </c>
      <c r="M27" s="57" t="n">
        <f aca="false">IF(ISNUMBER(L27),L27/D27,"")</f>
        <v>3688</v>
      </c>
      <c r="N27" s="8" t="n">
        <f aca="false">IF(ISNUMBER(L27),H27-L27,"")</f>
        <v>-6786</v>
      </c>
      <c r="O27" s="67"/>
    </row>
    <row r="28" customFormat="false" ht="15" hidden="false" customHeight="false" outlineLevel="0" collapsed="false">
      <c r="A28" s="5" t="n">
        <v>22</v>
      </c>
      <c r="B28" s="5" t="s">
        <v>120</v>
      </c>
      <c r="C28" s="5" t="s">
        <v>16</v>
      </c>
      <c r="D28" s="66" t="n">
        <v>230</v>
      </c>
      <c r="E28" s="10" t="n">
        <v>64400</v>
      </c>
      <c r="F28" s="57" t="n">
        <f aca="false">IF(AND(D28&gt;0,N(E28)&gt;0),E28/D28,"")</f>
        <v>280</v>
      </c>
      <c r="G28" s="48" t="n">
        <f aca="false">IFERROR(INDEX(Prices!$C$6:$C$300,MATCH(B28,Prices!$A$6:$A$300,0)),"")</f>
        <v>154.93</v>
      </c>
      <c r="H28" s="8" t="n">
        <f aca="false">IF(ISNUMBER(G28),D28*G28,0)</f>
        <v>35633.9</v>
      </c>
      <c r="I28" s="8" t="n">
        <f aca="false">H28-N(E28)</f>
        <v>-28766.1</v>
      </c>
      <c r="J28" s="9" t="n">
        <f aca="false">IF(N(E28)&gt;0,I28/E28,"")</f>
        <v>-0.446678571428571</v>
      </c>
      <c r="K28" s="9" t="n">
        <f aca="false">IF($H$6=0,"",H28/$H$6)</f>
        <v>0.00921722736859236</v>
      </c>
      <c r="L28" s="10" t="n">
        <v>44160</v>
      </c>
      <c r="M28" s="57" t="n">
        <f aca="false">IF(ISNUMBER(L28),L28/D28,"")</f>
        <v>192</v>
      </c>
      <c r="N28" s="8" t="n">
        <f aca="false">IF(ISNUMBER(L28),H28-L28,"")</f>
        <v>-8526.1</v>
      </c>
      <c r="O28" s="67"/>
    </row>
    <row r="29" customFormat="false" ht="15" hidden="false" customHeight="false" outlineLevel="0" collapsed="false">
      <c r="A29" s="5" t="n">
        <v>23</v>
      </c>
      <c r="B29" s="5" t="s">
        <v>121</v>
      </c>
      <c r="C29" s="5" t="s">
        <v>16</v>
      </c>
      <c r="D29" s="66" t="n">
        <v>40</v>
      </c>
      <c r="E29" s="10" t="n">
        <v>41520</v>
      </c>
      <c r="F29" s="57" t="n">
        <f aca="false">IF(AND(D29&gt;0,N(E29)&gt;0),E29/D29,"")</f>
        <v>1038</v>
      </c>
      <c r="G29" s="48" t="n">
        <f aca="false">IFERROR(INDEX(Prices!$C$6:$C$300,MATCH(B29,Prices!$A$6:$A$300,0)),"")</f>
        <v>860.2</v>
      </c>
      <c r="H29" s="8" t="n">
        <f aca="false">IF(ISNUMBER(G29),D29*G29,0)</f>
        <v>34408</v>
      </c>
      <c r="I29" s="8" t="n">
        <f aca="false">H29-N(E29)</f>
        <v>-7112</v>
      </c>
      <c r="J29" s="9" t="n">
        <f aca="false">IF(N(E29)&gt;0,I29/E29,"")</f>
        <v>-0.171290944123314</v>
      </c>
      <c r="K29" s="9" t="n">
        <f aca="false">IF($H$6=0,"",H29/$H$6)</f>
        <v>0.00890013047402967</v>
      </c>
      <c r="L29" s="10" t="n">
        <v>34600</v>
      </c>
      <c r="M29" s="57" t="n">
        <f aca="false">IF(ISNUMBER(L29),L29/D29,"")</f>
        <v>865</v>
      </c>
      <c r="N29" s="8" t="n">
        <f aca="false">IF(ISNUMBER(L29),H29-L29,"")</f>
        <v>-192</v>
      </c>
      <c r="O29" s="67"/>
    </row>
    <row r="30" customFormat="false" ht="15" hidden="false" customHeight="false" outlineLevel="0" collapsed="false">
      <c r="A30" s="5" t="n">
        <v>24</v>
      </c>
      <c r="B30" s="5" t="s">
        <v>85</v>
      </c>
      <c r="C30" s="5" t="s">
        <v>267</v>
      </c>
      <c r="D30" s="66" t="n">
        <v>13</v>
      </c>
      <c r="E30" s="10" t="n">
        <v>31148</v>
      </c>
      <c r="F30" s="57" t="n">
        <f aca="false">IF(AND(D30&gt;0,N(E30)&gt;0),E30/D30,"")</f>
        <v>2396</v>
      </c>
      <c r="G30" s="48" t="n">
        <f aca="false">IFERROR(INDEX(Prices!$C$6:$C$300,MATCH(B30,Prices!$A$6:$A$300,0)),"")</f>
        <v>2506.9</v>
      </c>
      <c r="H30" s="8" t="n">
        <f aca="false">IF(ISNUMBER(G30),D30*G30,0)</f>
        <v>32589.7</v>
      </c>
      <c r="I30" s="8" t="n">
        <f aca="false">H30-N(E30)</f>
        <v>1441.7</v>
      </c>
      <c r="J30" s="9" t="n">
        <f aca="false">IF(N(E30)&gt;0,I30/E30,"")</f>
        <v>0.0462854757929883</v>
      </c>
      <c r="K30" s="9" t="n">
        <f aca="false">IF($H$6=0,"",H30/$H$6)</f>
        <v>0.00842980068906896</v>
      </c>
      <c r="L30" s="10" t="n">
        <v>28613</v>
      </c>
      <c r="M30" s="57" t="n">
        <f aca="false">IF(ISNUMBER(L30),L30/D30,"")</f>
        <v>2201</v>
      </c>
      <c r="N30" s="8" t="n">
        <f aca="false">IF(ISNUMBER(L30),H30-L30,"")</f>
        <v>3976.7</v>
      </c>
      <c r="O30" s="67"/>
    </row>
    <row r="31" customFormat="false" ht="15" hidden="false" customHeight="false" outlineLevel="0" collapsed="false">
      <c r="A31" s="5" t="n">
        <v>25</v>
      </c>
      <c r="B31" s="5" t="s">
        <v>122</v>
      </c>
      <c r="C31" s="5" t="s">
        <v>16</v>
      </c>
      <c r="D31" s="66" t="n">
        <v>66</v>
      </c>
      <c r="E31" s="10" t="n">
        <v>43428</v>
      </c>
      <c r="F31" s="57" t="n">
        <f aca="false">IF(AND(D31&gt;0,N(E31)&gt;0),E31/D31,"")</f>
        <v>658</v>
      </c>
      <c r="G31" s="48" t="n">
        <f aca="false">IFERROR(INDEX(Prices!$C$6:$C$300,MATCH(B31,Prices!$A$6:$A$300,0)),"")</f>
        <v>490.05</v>
      </c>
      <c r="H31" s="8" t="n">
        <f aca="false">IF(ISNUMBER(G31),D31*G31,0)</f>
        <v>32343.3</v>
      </c>
      <c r="I31" s="8" t="n">
        <f aca="false">H31-N(E31)</f>
        <v>-11084.7</v>
      </c>
      <c r="J31" s="9" t="n">
        <f aca="false">IF(N(E31)&gt;0,I31/E31,"")</f>
        <v>-0.255243161094225</v>
      </c>
      <c r="K31" s="9" t="n">
        <f aca="false">IF($H$6=0,"",H31/$H$6)</f>
        <v>0.00836606573938281</v>
      </c>
      <c r="L31" s="10" t="n">
        <v>38412</v>
      </c>
      <c r="M31" s="57" t="n">
        <f aca="false">IF(ISNUMBER(L31),L31/D31,"")</f>
        <v>582</v>
      </c>
      <c r="N31" s="8" t="n">
        <f aca="false">IF(ISNUMBER(L31),H31-L31,"")</f>
        <v>-6068.7</v>
      </c>
      <c r="O31" s="67"/>
    </row>
    <row r="32" customFormat="false" ht="15" hidden="false" customHeight="false" outlineLevel="0" collapsed="false">
      <c r="A32" s="5" t="n">
        <v>26</v>
      </c>
      <c r="B32" s="5" t="s">
        <v>123</v>
      </c>
      <c r="C32" s="5" t="s">
        <v>268</v>
      </c>
      <c r="D32" s="66" t="n">
        <v>187</v>
      </c>
      <c r="E32" s="10" t="n">
        <v>41888</v>
      </c>
      <c r="F32" s="57" t="n">
        <f aca="false">IF(AND(D32&gt;0,N(E32)&gt;0),E32/D32,"")</f>
        <v>224</v>
      </c>
      <c r="G32" s="48" t="n">
        <f aca="false">IFERROR(INDEX(Prices!$C$6:$C$300,MATCH(B32,Prices!$A$6:$A$300,0)),"")</f>
        <v>169.62</v>
      </c>
      <c r="H32" s="8" t="n">
        <f aca="false">IF(ISNUMBER(G32),D32*G32,0)</f>
        <v>31718.94</v>
      </c>
      <c r="I32" s="8" t="n">
        <f aca="false">H32-N(E32)</f>
        <v>-10169.06</v>
      </c>
      <c r="J32" s="9" t="n">
        <f aca="false">IF(N(E32)&gt;0,I32/E32,"")</f>
        <v>-0.242767857142857</v>
      </c>
      <c r="K32" s="9" t="n">
        <f aca="false">IF($H$6=0,"",H32/$H$6)</f>
        <v>0.00820456592937453</v>
      </c>
      <c r="L32" s="10" t="n">
        <v>39270</v>
      </c>
      <c r="M32" s="57" t="n">
        <f aca="false">IF(ISNUMBER(L32),L32/D32,"")</f>
        <v>210</v>
      </c>
      <c r="N32" s="8" t="n">
        <f aca="false">IF(ISNUMBER(L32),H32-L32,"")</f>
        <v>-7551.06</v>
      </c>
      <c r="O32" s="67"/>
    </row>
    <row r="33" customFormat="false" ht="15" hidden="false" customHeight="false" outlineLevel="0" collapsed="false">
      <c r="A33" s="5" t="n">
        <v>27</v>
      </c>
      <c r="B33" s="5" t="s">
        <v>124</v>
      </c>
      <c r="C33" s="5" t="s">
        <v>268</v>
      </c>
      <c r="D33" s="66" t="n">
        <v>1072</v>
      </c>
      <c r="E33" s="10" t="n">
        <v>46096</v>
      </c>
      <c r="F33" s="57" t="n">
        <f aca="false">IF(AND(D33&gt;0,N(E33)&gt;0),E33/D33,"")</f>
        <v>43</v>
      </c>
      <c r="G33" s="48" t="n">
        <f aca="false">IFERROR(INDEX(Prices!$C$6:$C$300,MATCH(B33,Prices!$A$6:$A$300,0)),"")</f>
        <v>29.51</v>
      </c>
      <c r="H33" s="8" t="n">
        <f aca="false">IF(ISNUMBER(G33),D33*G33,0)</f>
        <v>31634.72</v>
      </c>
      <c r="I33" s="8" t="n">
        <f aca="false">H33-N(E33)</f>
        <v>-14461.28</v>
      </c>
      <c r="J33" s="9" t="n">
        <f aca="false">IF(N(E33)&gt;0,I33/E33,"")</f>
        <v>-0.313720930232558</v>
      </c>
      <c r="K33" s="9" t="n">
        <f aca="false">IF($H$6=0,"",H33/$H$6)</f>
        <v>0.00818278119941281</v>
      </c>
      <c r="L33" s="10" t="n">
        <v>36448</v>
      </c>
      <c r="M33" s="57" t="n">
        <f aca="false">IF(ISNUMBER(L33),L33/D33,"")</f>
        <v>34</v>
      </c>
      <c r="N33" s="8" t="n">
        <f aca="false">IF(ISNUMBER(L33),H33-L33,"")</f>
        <v>-4813.28</v>
      </c>
      <c r="O33" s="67"/>
    </row>
    <row r="34" customFormat="false" ht="15" hidden="false" customHeight="false" outlineLevel="0" collapsed="false">
      <c r="A34" s="5" t="n">
        <v>28</v>
      </c>
      <c r="B34" s="5" t="s">
        <v>126</v>
      </c>
      <c r="C34" s="5" t="s">
        <v>267</v>
      </c>
      <c r="D34" s="66" t="n">
        <v>19</v>
      </c>
      <c r="E34" s="10" t="n">
        <v>26923</v>
      </c>
      <c r="F34" s="57" t="n">
        <f aca="false">IF(AND(D34&gt;0,N(E34)&gt;0),E34/D34,"")</f>
        <v>1417</v>
      </c>
      <c r="G34" s="48" t="n">
        <f aca="false">IFERROR(INDEX(Prices!$C$6:$C$300,MATCH(B34,Prices!$A$6:$A$300,0)),"")</f>
        <v>1518.6</v>
      </c>
      <c r="H34" s="8" t="n">
        <f aca="false">IF(ISNUMBER(G34),D34*G34,0)</f>
        <v>28853.4</v>
      </c>
      <c r="I34" s="8" t="n">
        <f aca="false">H34-N(E34)</f>
        <v>1930.4</v>
      </c>
      <c r="J34" s="9" t="n">
        <f aca="false">IF(N(E34)&gt;0,I34/E34,"")</f>
        <v>0.0717007762879322</v>
      </c>
      <c r="K34" s="9" t="n">
        <f aca="false">IF($H$6=0,"",H34/$H$6)</f>
        <v>0.00746335226166495</v>
      </c>
      <c r="L34" s="10" t="n">
        <v>26828</v>
      </c>
      <c r="M34" s="57" t="n">
        <f aca="false">IF(ISNUMBER(L34),L34/D34,"")</f>
        <v>1412</v>
      </c>
      <c r="N34" s="8" t="n">
        <f aca="false">IF(ISNUMBER(L34),H34-L34,"")</f>
        <v>2025.4</v>
      </c>
      <c r="O34" s="67"/>
    </row>
    <row r="35" customFormat="false" ht="15" hidden="false" customHeight="false" outlineLevel="0" collapsed="false">
      <c r="A35" s="5" t="n">
        <v>29</v>
      </c>
      <c r="B35" s="5" t="s">
        <v>127</v>
      </c>
      <c r="C35" s="5" t="s">
        <v>268</v>
      </c>
      <c r="D35" s="66" t="n">
        <v>110</v>
      </c>
      <c r="E35" s="10" t="n">
        <v>43010</v>
      </c>
      <c r="F35" s="57" t="n">
        <f aca="false">IF(AND(D35&gt;0,N(E35)&gt;0),E35/D35,"")</f>
        <v>391</v>
      </c>
      <c r="G35" s="48" t="n">
        <f aca="false">IFERROR(INDEX(Prices!$C$6:$C$300,MATCH(B35,Prices!$A$6:$A$300,0)),"")</f>
        <v>218.13</v>
      </c>
      <c r="H35" s="8" t="n">
        <f aca="false">IF(ISNUMBER(G35),D35*G35,0)</f>
        <v>23994.3</v>
      </c>
      <c r="I35" s="8" t="n">
        <f aca="false">H35-N(E35)</f>
        <v>-19015.7</v>
      </c>
      <c r="J35" s="9" t="n">
        <f aca="false">IF(N(E35)&gt;0,I35/E35,"")</f>
        <v>-0.442122762148338</v>
      </c>
      <c r="K35" s="9" t="n">
        <f aca="false">IF($H$6=0,"",H35/$H$6)</f>
        <v>0.00620647525671385</v>
      </c>
      <c r="L35" s="10" t="n">
        <v>26620</v>
      </c>
      <c r="M35" s="57" t="n">
        <f aca="false">IF(ISNUMBER(L35),L35/D35,"")</f>
        <v>242</v>
      </c>
      <c r="N35" s="8" t="n">
        <f aca="false">IF(ISNUMBER(L35),H35-L35,"")</f>
        <v>-2625.7</v>
      </c>
      <c r="O35" s="67" t="s">
        <v>271</v>
      </c>
    </row>
    <row r="36" customFormat="false" ht="15" hidden="false" customHeight="false" outlineLevel="0" collapsed="false">
      <c r="A36" s="5" t="n">
        <v>30</v>
      </c>
      <c r="B36" s="5" t="s">
        <v>128</v>
      </c>
      <c r="C36" s="5" t="s">
        <v>268</v>
      </c>
      <c r="D36" s="66" t="n">
        <v>302</v>
      </c>
      <c r="E36" s="10" t="n">
        <v>48018</v>
      </c>
      <c r="F36" s="57" t="n">
        <f aca="false">IF(AND(D36&gt;0,N(E36)&gt;0),E36/D36,"")</f>
        <v>159</v>
      </c>
      <c r="G36" s="48" t="n">
        <f aca="false">IFERROR(INDEX(Prices!$C$6:$C$300,MATCH(B36,Prices!$A$6:$A$300,0)),"")</f>
        <v>77</v>
      </c>
      <c r="H36" s="8" t="n">
        <f aca="false">IF(ISNUMBER(G36),D36*G36,0)</f>
        <v>23254</v>
      </c>
      <c r="I36" s="8" t="n">
        <f aca="false">H36-N(E36)</f>
        <v>-24764</v>
      </c>
      <c r="J36" s="9" t="n">
        <f aca="false">IF(N(E36)&gt;0,I36/E36,"")</f>
        <v>-0.515723270440252</v>
      </c>
      <c r="K36" s="9" t="n">
        <f aca="false">IF($H$6=0,"",H36/$H$6)</f>
        <v>0.00601498587663003</v>
      </c>
      <c r="L36" s="10" t="n">
        <v>24462</v>
      </c>
      <c r="M36" s="57" t="n">
        <f aca="false">IF(ISNUMBER(L36),L36/D36,"")</f>
        <v>81</v>
      </c>
      <c r="N36" s="8" t="n">
        <f aca="false">IF(ISNUMBER(L36),H36-L36,"")</f>
        <v>-1208</v>
      </c>
      <c r="O36" s="67"/>
    </row>
    <row r="37" customFormat="false" ht="15" hidden="false" customHeight="false" outlineLevel="0" collapsed="false">
      <c r="A37" s="5" t="n">
        <v>31</v>
      </c>
      <c r="B37" s="5" t="s">
        <v>129</v>
      </c>
      <c r="C37" s="5" t="s">
        <v>268</v>
      </c>
      <c r="D37" s="66" t="n">
        <v>166</v>
      </c>
      <c r="E37" s="10" t="n">
        <v>33864</v>
      </c>
      <c r="F37" s="57" t="n">
        <f aca="false">IF(AND(D37&gt;0,N(E37)&gt;0),E37/D37,"")</f>
        <v>204</v>
      </c>
      <c r="G37" s="48" t="n">
        <f aca="false">IFERROR(INDEX(Prices!$C$6:$C$300,MATCH(B37,Prices!$A$6:$A$300,0)),"")</f>
        <v>140.01</v>
      </c>
      <c r="H37" s="8" t="n">
        <f aca="false">IF(ISNUMBER(G37),D37*G37,0)</f>
        <v>23241.66</v>
      </c>
      <c r="I37" s="8" t="n">
        <f aca="false">H37-N(E37)</f>
        <v>-10622.34</v>
      </c>
      <c r="J37" s="9" t="n">
        <f aca="false">IF(N(E37)&gt;0,I37/E37,"")</f>
        <v>-0.313676470588235</v>
      </c>
      <c r="K37" s="9" t="n">
        <f aca="false">IF($H$6=0,"",H37/$H$6)</f>
        <v>0.00601179395585435</v>
      </c>
      <c r="L37" s="10" t="n">
        <v>25232</v>
      </c>
      <c r="M37" s="57" t="n">
        <f aca="false">IF(ISNUMBER(L37),L37/D37,"")</f>
        <v>152</v>
      </c>
      <c r="N37" s="8" t="n">
        <f aca="false">IF(ISNUMBER(L37),H37-L37,"")</f>
        <v>-1990.34</v>
      </c>
      <c r="O37" s="67"/>
    </row>
    <row r="38" customFormat="false" ht="15" hidden="false" customHeight="false" outlineLevel="0" collapsed="false">
      <c r="A38" s="5" t="n">
        <v>32</v>
      </c>
      <c r="B38" s="5" t="s">
        <v>130</v>
      </c>
      <c r="C38" s="5" t="s">
        <v>268</v>
      </c>
      <c r="D38" s="66" t="n">
        <v>116</v>
      </c>
      <c r="E38" s="10" t="n">
        <v>29696</v>
      </c>
      <c r="F38" s="57" t="n">
        <f aca="false">IF(AND(D38&gt;0,N(E38)&gt;0),E38/D38,"")</f>
        <v>256</v>
      </c>
      <c r="G38" s="48" t="n">
        <f aca="false">IFERROR(INDEX(Prices!$C$6:$C$300,MATCH(B38,Prices!$A$6:$A$300,0)),"")</f>
        <v>196.09</v>
      </c>
      <c r="H38" s="8" t="n">
        <f aca="false">IF(ISNUMBER(G38),D38*G38,0)</f>
        <v>22746.44</v>
      </c>
      <c r="I38" s="8" t="n">
        <f aca="false">H38-N(E38)</f>
        <v>-6949.56</v>
      </c>
      <c r="J38" s="9" t="n">
        <f aca="false">IF(N(E38)&gt;0,I38/E38,"")</f>
        <v>-0.2340234375</v>
      </c>
      <c r="K38" s="9" t="n">
        <f aca="false">IF($H$6=0,"",H38/$H$6)</f>
        <v>0.00588369808822621</v>
      </c>
      <c r="L38" s="10" t="n">
        <v>24244</v>
      </c>
      <c r="M38" s="57" t="n">
        <f aca="false">IF(ISNUMBER(L38),L38/D38,"")</f>
        <v>209</v>
      </c>
      <c r="N38" s="8" t="n">
        <f aca="false">IF(ISNUMBER(L38),H38-L38,"")</f>
        <v>-1497.56</v>
      </c>
      <c r="O38" s="67"/>
    </row>
    <row r="39" customFormat="false" ht="15" hidden="false" customHeight="false" outlineLevel="0" collapsed="false">
      <c r="A39" s="5" t="n">
        <v>33</v>
      </c>
      <c r="B39" s="5" t="s">
        <v>131</v>
      </c>
      <c r="C39" s="5" t="s">
        <v>268</v>
      </c>
      <c r="D39" s="66" t="n">
        <v>33</v>
      </c>
      <c r="E39" s="10" t="n">
        <v>27093</v>
      </c>
      <c r="F39" s="57" t="n">
        <f aca="false">IF(AND(D39&gt;0,N(E39)&gt;0),E39/D39,"")</f>
        <v>821</v>
      </c>
      <c r="G39" s="48" t="n">
        <f aca="false">IFERROR(INDEX(Prices!$C$6:$C$300,MATCH(B39,Prices!$A$6:$A$300,0)),"")</f>
        <v>669.2</v>
      </c>
      <c r="H39" s="8" t="n">
        <f aca="false">IF(ISNUMBER(G39),D39*G39,0)</f>
        <v>22083.6</v>
      </c>
      <c r="I39" s="8" t="n">
        <f aca="false">H39-N(E39)</f>
        <v>-5009.4</v>
      </c>
      <c r="J39" s="9" t="n">
        <f aca="false">IF(N(E39)&gt;0,I39/E39,"")</f>
        <v>-0.18489646772229</v>
      </c>
      <c r="K39" s="9" t="n">
        <f aca="false">IF($H$6=0,"",H39/$H$6)</f>
        <v>0.00571224486562083</v>
      </c>
      <c r="L39" s="10" t="n">
        <v>23100</v>
      </c>
      <c r="M39" s="57" t="n">
        <f aca="false">IF(ISNUMBER(L39),L39/D39,"")</f>
        <v>700</v>
      </c>
      <c r="N39" s="8" t="n">
        <f aca="false">IF(ISNUMBER(L39),H39-L39,"")</f>
        <v>-1016.4</v>
      </c>
      <c r="O39" s="67"/>
    </row>
    <row r="40" customFormat="false" ht="15" hidden="false" customHeight="false" outlineLevel="0" collapsed="false">
      <c r="A40" s="5" t="n">
        <v>34</v>
      </c>
      <c r="B40" s="5" t="s">
        <v>86</v>
      </c>
      <c r="C40" s="5" t="s">
        <v>267</v>
      </c>
      <c r="D40" s="66" t="n">
        <v>5</v>
      </c>
      <c r="E40" s="10" t="n">
        <v>23660</v>
      </c>
      <c r="F40" s="57" t="n">
        <f aca="false">IF(AND(D40&gt;0,N(E40)&gt;0),E40/D40,"")</f>
        <v>4732</v>
      </c>
      <c r="G40" s="48" t="n">
        <f aca="false">IFERROR(INDEX(Prices!$C$6:$C$300,MATCH(B40,Prices!$A$6:$A$300,0)),"")</f>
        <v>4274</v>
      </c>
      <c r="H40" s="8" t="n">
        <f aca="false">IF(ISNUMBER(G40),D40*G40,0)</f>
        <v>21370</v>
      </c>
      <c r="I40" s="8" t="n">
        <f aca="false">H40-N(E40)</f>
        <v>-2290</v>
      </c>
      <c r="J40" s="9" t="n">
        <f aca="false">IF(N(E40)&gt;0,I40/E40,"")</f>
        <v>-0.0967878275570583</v>
      </c>
      <c r="K40" s="9" t="n">
        <f aca="false">IF($H$6=0,"",H40/$H$6)</f>
        <v>0.0055276618295168</v>
      </c>
      <c r="L40" s="10" t="n">
        <v>21375</v>
      </c>
      <c r="M40" s="57" t="n">
        <f aca="false">IF(ISNUMBER(L40),L40/D40,"")</f>
        <v>4275</v>
      </c>
      <c r="N40" s="8" t="n">
        <f aca="false">IF(ISNUMBER(L40),H40-L40,"")</f>
        <v>-5</v>
      </c>
      <c r="O40" s="67" t="s">
        <v>272</v>
      </c>
    </row>
    <row r="41" customFormat="false" ht="15" hidden="false" customHeight="false" outlineLevel="0" collapsed="false">
      <c r="A41" s="5" t="n">
        <v>35</v>
      </c>
      <c r="B41" s="5" t="s">
        <v>132</v>
      </c>
      <c r="C41" s="5" t="s">
        <v>268</v>
      </c>
      <c r="D41" s="66" t="n">
        <v>380</v>
      </c>
      <c r="E41" s="10" t="n">
        <v>18620</v>
      </c>
      <c r="F41" s="57" t="n">
        <f aca="false">IF(AND(D41&gt;0,N(E41)&gt;0),E41/D41,"")</f>
        <v>49</v>
      </c>
      <c r="G41" s="48" t="n">
        <f aca="false">IFERROR(INDEX(Prices!$C$6:$C$300,MATCH(B41,Prices!$A$6:$A$300,0)),"")</f>
        <v>54.58</v>
      </c>
      <c r="H41" s="8" t="n">
        <f aca="false">IF(ISNUMBER(G41),D41*G41,0)</f>
        <v>20740.4</v>
      </c>
      <c r="I41" s="8" t="n">
        <f aca="false">H41-N(E41)</f>
        <v>2120.4</v>
      </c>
      <c r="J41" s="9" t="n">
        <f aca="false">IF(N(E41)&gt;0,I41/E41,"")</f>
        <v>0.113877551020408</v>
      </c>
      <c r="K41" s="9" t="n">
        <f aca="false">IF($H$6=0,"",H41/$H$6)</f>
        <v>0.00536480661716941</v>
      </c>
      <c r="L41" s="10" t="n">
        <v>22040</v>
      </c>
      <c r="M41" s="57" t="n">
        <f aca="false">IF(ISNUMBER(L41),L41/D41,"")</f>
        <v>58</v>
      </c>
      <c r="N41" s="8" t="n">
        <f aca="false">IF(ISNUMBER(L41),H41-L41,"")</f>
        <v>-1299.6</v>
      </c>
      <c r="O41" s="67"/>
    </row>
    <row r="42" customFormat="false" ht="15" hidden="false" customHeight="false" outlineLevel="0" collapsed="false">
      <c r="A42" s="5" t="n">
        <v>36</v>
      </c>
      <c r="B42" s="5" t="s">
        <v>133</v>
      </c>
      <c r="C42" s="5" t="s">
        <v>268</v>
      </c>
      <c r="D42" s="66" t="n">
        <v>245</v>
      </c>
      <c r="E42" s="10" t="n">
        <v>27195</v>
      </c>
      <c r="F42" s="57" t="n">
        <f aca="false">IF(AND(D42&gt;0,N(E42)&gt;0),E42/D42,"")</f>
        <v>111</v>
      </c>
      <c r="G42" s="48" t="n">
        <f aca="false">IFERROR(INDEX(Prices!$C$6:$C$300,MATCH(B42,Prices!$A$6:$A$300,0)),"")</f>
        <v>84.35</v>
      </c>
      <c r="H42" s="8" t="n">
        <f aca="false">IF(ISNUMBER(G42),D42*G42,0)</f>
        <v>20665.75</v>
      </c>
      <c r="I42" s="8" t="n">
        <f aca="false">H42-N(E42)</f>
        <v>-6529.25</v>
      </c>
      <c r="J42" s="9" t="n">
        <f aca="false">IF(N(E42)&gt;0,I42/E42,"")</f>
        <v>-0.24009009009009</v>
      </c>
      <c r="K42" s="9" t="n">
        <f aca="false">IF($H$6=0,"",H42/$H$6)</f>
        <v>0.00534549730712854</v>
      </c>
      <c r="L42" s="10" t="n">
        <v>21315</v>
      </c>
      <c r="M42" s="57" t="n">
        <f aca="false">IF(ISNUMBER(L42),L42/D42,"")</f>
        <v>87</v>
      </c>
      <c r="N42" s="8" t="n">
        <f aca="false">IF(ISNUMBER(L42),H42-L42,"")</f>
        <v>-649.25</v>
      </c>
      <c r="O42" s="67"/>
    </row>
    <row r="43" customFormat="false" ht="15" hidden="false" customHeight="false" outlineLevel="0" collapsed="false">
      <c r="A43" s="5" t="n">
        <v>37</v>
      </c>
      <c r="B43" s="5" t="s">
        <v>134</v>
      </c>
      <c r="C43" s="5" t="s">
        <v>268</v>
      </c>
      <c r="D43" s="66" t="n">
        <v>35</v>
      </c>
      <c r="E43" s="10" t="n">
        <v>24710</v>
      </c>
      <c r="F43" s="57" t="n">
        <f aca="false">IF(AND(D43&gt;0,N(E43)&gt;0),E43/D43,"")</f>
        <v>706</v>
      </c>
      <c r="G43" s="48" t="n">
        <f aca="false">IFERROR(INDEX(Prices!$C$6:$C$300,MATCH(B43,Prices!$A$6:$A$300,0)),"")</f>
        <v>557.1</v>
      </c>
      <c r="H43" s="8" t="n">
        <f aca="false">IF(ISNUMBER(G43),D43*G43,0)</f>
        <v>19498.5</v>
      </c>
      <c r="I43" s="8" t="n">
        <f aca="false">H43-N(E43)</f>
        <v>-5211.5</v>
      </c>
      <c r="J43" s="9" t="n">
        <f aca="false">IF(N(E43)&gt;0,I43/E43,"")</f>
        <v>-0.210906515580737</v>
      </c>
      <c r="K43" s="9" t="n">
        <f aca="false">IF($H$6=0,"",H43/$H$6)</f>
        <v>0.00504357108951022</v>
      </c>
      <c r="L43" s="10" t="n">
        <v>22365</v>
      </c>
      <c r="M43" s="57" t="n">
        <f aca="false">IF(ISNUMBER(L43),L43/D43,"")</f>
        <v>639</v>
      </c>
      <c r="N43" s="8" t="n">
        <f aca="false">IF(ISNUMBER(L43),H43-L43,"")</f>
        <v>-2866.5</v>
      </c>
      <c r="O43" s="67"/>
    </row>
    <row r="44" customFormat="false" ht="15" hidden="false" customHeight="false" outlineLevel="0" collapsed="false">
      <c r="A44" s="5" t="n">
        <v>38</v>
      </c>
      <c r="B44" s="5" t="s">
        <v>136</v>
      </c>
      <c r="C44" s="5" t="s">
        <v>268</v>
      </c>
      <c r="D44" s="66" t="n">
        <v>51</v>
      </c>
      <c r="E44" s="10" t="n">
        <v>30804</v>
      </c>
      <c r="F44" s="57" t="n">
        <f aca="false">IF(AND(D44&gt;0,N(E44)&gt;0),E44/D44,"")</f>
        <v>604</v>
      </c>
      <c r="G44" s="48" t="n">
        <f aca="false">IFERROR(INDEX(Prices!$C$6:$C$300,MATCH(B44,Prices!$A$6:$A$300,0)),"")</f>
        <v>372.5</v>
      </c>
      <c r="H44" s="8" t="n">
        <f aca="false">IF(ISNUMBER(G44),D44*G44,0)</f>
        <v>18997.5</v>
      </c>
      <c r="I44" s="8" t="n">
        <f aca="false">H44-N(E44)</f>
        <v>-11806.5</v>
      </c>
      <c r="J44" s="9" t="n">
        <f aca="false">IF(N(E44)&gt;0,I44/E44,"")</f>
        <v>-0.383278145695364</v>
      </c>
      <c r="K44" s="9" t="n">
        <f aca="false">IF($H$6=0,"",H44/$H$6)</f>
        <v>0.00491398014067597</v>
      </c>
      <c r="L44" s="10" t="n">
        <v>19533</v>
      </c>
      <c r="M44" s="57" t="n">
        <f aca="false">IF(ISNUMBER(L44),L44/D44,"")</f>
        <v>383</v>
      </c>
      <c r="N44" s="8" t="n">
        <f aca="false">IF(ISNUMBER(L44),H44-L44,"")</f>
        <v>-535.5</v>
      </c>
      <c r="O44" s="67"/>
    </row>
    <row r="45" customFormat="false" ht="15" hidden="false" customHeight="false" outlineLevel="0" collapsed="false">
      <c r="A45" s="5" t="n">
        <v>39</v>
      </c>
      <c r="B45" s="5" t="s">
        <v>105</v>
      </c>
      <c r="C45" s="5" t="s">
        <v>16</v>
      </c>
      <c r="D45" s="66" t="n">
        <v>8</v>
      </c>
      <c r="E45" s="10" t="n">
        <v>14064</v>
      </c>
      <c r="F45" s="57" t="n">
        <f aca="false">IF(AND(D45&gt;0,N(E45)&gt;0),E45/D45,"")</f>
        <v>1758</v>
      </c>
      <c r="G45" s="48" t="n">
        <f aca="false">IFERROR(INDEX(Prices!$C$6:$C$300,MATCH(B45,Prices!$A$6:$A$300,0)),"")</f>
        <v>2370</v>
      </c>
      <c r="H45" s="8" t="n">
        <f aca="false">IF(ISNUMBER(G45),D45*G45,0)</f>
        <v>18960</v>
      </c>
      <c r="I45" s="8" t="n">
        <f aca="false">H45-N(E45)</f>
        <v>4896</v>
      </c>
      <c r="J45" s="9" t="n">
        <f aca="false">IF(N(E45)&gt;0,I45/E45,"")</f>
        <v>0.348122866894198</v>
      </c>
      <c r="K45" s="9" t="n">
        <f aca="false">IF($H$6=0,"",H45/$H$6)</f>
        <v>0.00490428021935604</v>
      </c>
      <c r="L45" s="10" t="n">
        <v>21000</v>
      </c>
      <c r="M45" s="57" t="n">
        <f aca="false">IF(ISNUMBER(L45),L45/D45,"")</f>
        <v>2625</v>
      </c>
      <c r="N45" s="8" t="n">
        <f aca="false">IF(ISNUMBER(L45),H45-L45,"")</f>
        <v>-2040</v>
      </c>
      <c r="O45" s="67"/>
    </row>
    <row r="46" customFormat="false" ht="15" hidden="false" customHeight="false" outlineLevel="0" collapsed="false">
      <c r="A46" s="5" t="n">
        <v>40</v>
      </c>
      <c r="B46" s="5" t="s">
        <v>137</v>
      </c>
      <c r="C46" s="5" t="s">
        <v>268</v>
      </c>
      <c r="D46" s="66" t="n">
        <v>124</v>
      </c>
      <c r="E46" s="10" t="n">
        <v>28024</v>
      </c>
      <c r="F46" s="57" t="n">
        <f aca="false">IF(AND(D46&gt;0,N(E46)&gt;0),E46/D46,"")</f>
        <v>226</v>
      </c>
      <c r="G46" s="48" t="n">
        <f aca="false">IFERROR(INDEX(Prices!$C$6:$C$300,MATCH(B46,Prices!$A$6:$A$300,0)),"")</f>
        <v>151.77</v>
      </c>
      <c r="H46" s="8" t="n">
        <f aca="false">IF(ISNUMBER(G46),D46*G46,0)</f>
        <v>18819.48</v>
      </c>
      <c r="I46" s="8" t="n">
        <f aca="false">H46-N(E46)</f>
        <v>-9204.52</v>
      </c>
      <c r="J46" s="9" t="n">
        <f aca="false">IF(N(E46)&gt;0,I46/E46,"")</f>
        <v>-0.328451327433628</v>
      </c>
      <c r="K46" s="9" t="n">
        <f aca="false">IF($H$6=0,"",H46/$H$6)</f>
        <v>0.004867932674186</v>
      </c>
      <c r="L46" s="10" t="n">
        <v>21452</v>
      </c>
      <c r="M46" s="57" t="n">
        <f aca="false">IF(ISNUMBER(L46),L46/D46,"")</f>
        <v>173</v>
      </c>
      <c r="N46" s="8" t="n">
        <f aca="false">IF(ISNUMBER(L46),H46-L46,"")</f>
        <v>-2632.52</v>
      </c>
      <c r="O46" s="67"/>
    </row>
    <row r="47" customFormat="false" ht="15" hidden="false" customHeight="false" outlineLevel="0" collapsed="false">
      <c r="A47" s="5" t="n">
        <v>41</v>
      </c>
      <c r="B47" s="5" t="s">
        <v>138</v>
      </c>
      <c r="C47" s="5" t="s">
        <v>268</v>
      </c>
      <c r="D47" s="66" t="n">
        <v>49</v>
      </c>
      <c r="E47" s="10" t="n">
        <v>25823</v>
      </c>
      <c r="F47" s="57" t="n">
        <f aca="false">IF(AND(D47&gt;0,N(E47)&gt;0),E47/D47,"")</f>
        <v>527</v>
      </c>
      <c r="G47" s="48" t="n">
        <f aca="false">IFERROR(INDEX(Prices!$C$6:$C$300,MATCH(B47,Prices!$A$6:$A$300,0)),"")</f>
        <v>363</v>
      </c>
      <c r="H47" s="8" t="n">
        <f aca="false">IF(ISNUMBER(G47),D47*G47,0)</f>
        <v>17787</v>
      </c>
      <c r="I47" s="8" t="n">
        <f aca="false">H47-N(E47)</f>
        <v>-8036</v>
      </c>
      <c r="J47" s="9" t="n">
        <f aca="false">IF(N(E47)&gt;0,I47/E47,"")</f>
        <v>-0.311195445920304</v>
      </c>
      <c r="K47" s="9" t="n">
        <f aca="false">IF($H$6=0,"",H47/$H$6)</f>
        <v>0.00460086668046866</v>
      </c>
      <c r="L47" s="10" t="n">
        <v>19208</v>
      </c>
      <c r="M47" s="57" t="n">
        <f aca="false">IF(ISNUMBER(L47),L47/D47,"")</f>
        <v>392</v>
      </c>
      <c r="N47" s="8" t="n">
        <f aca="false">IF(ISNUMBER(L47),H47-L47,"")</f>
        <v>-1421</v>
      </c>
      <c r="O47" s="67"/>
    </row>
    <row r="48" customFormat="false" ht="15" hidden="false" customHeight="false" outlineLevel="0" collapsed="false">
      <c r="A48" s="5" t="n">
        <v>42</v>
      </c>
      <c r="B48" s="5" t="s">
        <v>141</v>
      </c>
      <c r="C48" s="5" t="s">
        <v>268</v>
      </c>
      <c r="D48" s="66" t="n">
        <v>54</v>
      </c>
      <c r="E48" s="10" t="n">
        <v>27540</v>
      </c>
      <c r="F48" s="57" t="n">
        <f aca="false">IF(AND(D48&gt;0,N(E48)&gt;0),E48/D48,"")</f>
        <v>510</v>
      </c>
      <c r="G48" s="48" t="n">
        <f aca="false">IFERROR(INDEX(Prices!$C$6:$C$300,MATCH(B48,Prices!$A$6:$A$300,0)),"")</f>
        <v>301.1</v>
      </c>
      <c r="H48" s="8" t="n">
        <f aca="false">IF(ISNUMBER(G48),D48*G48,0)</f>
        <v>16259.4</v>
      </c>
      <c r="I48" s="8" t="n">
        <f aca="false">H48-N(E48)</f>
        <v>-11280.6</v>
      </c>
      <c r="J48" s="9" t="n">
        <f aca="false">IF(N(E48)&gt;0,I48/E48,"")</f>
        <v>-0.409607843137255</v>
      </c>
      <c r="K48" s="9" t="n">
        <f aca="false">IF($H$6=0,"",H48/$H$6)</f>
        <v>0.00420573068558004</v>
      </c>
      <c r="L48" s="10" t="n">
        <v>16902</v>
      </c>
      <c r="M48" s="57" t="n">
        <f aca="false">IF(ISNUMBER(L48),L48/D48,"")</f>
        <v>313</v>
      </c>
      <c r="N48" s="8" t="n">
        <f aca="false">IF(ISNUMBER(L48),H48-L48,"")</f>
        <v>-642.599999999999</v>
      </c>
      <c r="O48" s="67"/>
    </row>
    <row r="49" customFormat="false" ht="15" hidden="false" customHeight="false" outlineLevel="0" collapsed="false">
      <c r="A49" s="5" t="n">
        <v>43</v>
      </c>
      <c r="B49" s="5" t="s">
        <v>142</v>
      </c>
      <c r="C49" s="5" t="s">
        <v>16</v>
      </c>
      <c r="D49" s="66" t="n">
        <v>78</v>
      </c>
      <c r="E49" s="10" t="n">
        <v>30030</v>
      </c>
      <c r="F49" s="57" t="n">
        <f aca="false">IF(AND(D49&gt;0,N(E49)&gt;0),E49/D49,"")</f>
        <v>385</v>
      </c>
      <c r="G49" s="48" t="n">
        <f aca="false">IFERROR(INDEX(Prices!$C$6:$C$300,MATCH(B49,Prices!$A$6:$A$300,0)),"")</f>
        <v>205.95</v>
      </c>
      <c r="H49" s="8" t="n">
        <f aca="false">IF(ISNUMBER(G49),D49*G49,0)</f>
        <v>16064.1</v>
      </c>
      <c r="I49" s="8" t="n">
        <f aca="false">H49-N(E49)</f>
        <v>-13965.9</v>
      </c>
      <c r="J49" s="9" t="n">
        <f aca="false">IF(N(E49)&gt;0,I49/E49,"")</f>
        <v>-0.465064935064935</v>
      </c>
      <c r="K49" s="9" t="n">
        <f aca="false">IF($H$6=0,"",H49/$H$6)</f>
        <v>0.00415521349534585</v>
      </c>
      <c r="L49" s="10" t="n">
        <v>17160</v>
      </c>
      <c r="M49" s="57" t="n">
        <f aca="false">IF(ISNUMBER(L49),L49/D49,"")</f>
        <v>220</v>
      </c>
      <c r="N49" s="8" t="n">
        <f aca="false">IF(ISNUMBER(L49),H49-L49,"")</f>
        <v>-1095.9</v>
      </c>
      <c r="O49" s="67"/>
    </row>
    <row r="50" customFormat="false" ht="15" hidden="false" customHeight="false" outlineLevel="0" collapsed="false">
      <c r="A50" s="5" t="n">
        <v>44</v>
      </c>
      <c r="B50" s="5" t="s">
        <v>143</v>
      </c>
      <c r="C50" s="5" t="s">
        <v>268</v>
      </c>
      <c r="D50" s="66" t="n">
        <v>67</v>
      </c>
      <c r="E50" s="10" t="n">
        <v>28140</v>
      </c>
      <c r="F50" s="57" t="n">
        <f aca="false">IF(AND(D50&gt;0,N(E50)&gt;0),E50/D50,"")</f>
        <v>420</v>
      </c>
      <c r="G50" s="48" t="n">
        <f aca="false">IFERROR(INDEX(Prices!$C$6:$C$300,MATCH(B50,Prices!$A$6:$A$300,0)),"")</f>
        <v>239.75</v>
      </c>
      <c r="H50" s="8" t="n">
        <f aca="false">IF(ISNUMBER(G50),D50*G50,0)</f>
        <v>16063.25</v>
      </c>
      <c r="I50" s="8" t="n">
        <f aca="false">H50-N(E50)</f>
        <v>-12076.75</v>
      </c>
      <c r="J50" s="9" t="n">
        <f aca="false">IF(N(E50)&gt;0,I50/E50,"")</f>
        <v>-0.429166666666667</v>
      </c>
      <c r="K50" s="9" t="n">
        <f aca="false">IF($H$6=0,"",H50/$H$6)</f>
        <v>0.0041549936304626</v>
      </c>
      <c r="L50" s="10" t="n">
        <v>17822</v>
      </c>
      <c r="M50" s="57" t="n">
        <f aca="false">IF(ISNUMBER(L50),L50/D50,"")</f>
        <v>266</v>
      </c>
      <c r="N50" s="8" t="n">
        <f aca="false">IF(ISNUMBER(L50),H50-L50,"")</f>
        <v>-1758.75</v>
      </c>
      <c r="O50" s="67"/>
    </row>
    <row r="51" customFormat="false" ht="15" hidden="false" customHeight="false" outlineLevel="0" collapsed="false">
      <c r="A51" s="5" t="n">
        <v>45</v>
      </c>
      <c r="B51" s="5" t="s">
        <v>139</v>
      </c>
      <c r="C51" s="5" t="s">
        <v>268</v>
      </c>
      <c r="D51" s="66" t="n">
        <v>150</v>
      </c>
      <c r="E51" s="10" t="n">
        <v>24000</v>
      </c>
      <c r="F51" s="57" t="n">
        <f aca="false">IF(AND(D51&gt;0,N(E51)&gt;0),E51/D51,"")</f>
        <v>160</v>
      </c>
      <c r="G51" s="48" t="n">
        <f aca="false">IFERROR(INDEX(Prices!$C$6:$C$300,MATCH(B51,Prices!$A$6:$A$300,0)),"")</f>
        <v>104</v>
      </c>
      <c r="H51" s="8" t="n">
        <f aca="false">IF(ISNUMBER(G51),D51*G51,0)</f>
        <v>15600</v>
      </c>
      <c r="I51" s="8" t="n">
        <f aca="false">H51-N(E51)</f>
        <v>-8400</v>
      </c>
      <c r="J51" s="9" t="n">
        <f aca="false">IF(N(E51)&gt;0,I51/E51,"")</f>
        <v>-0.35</v>
      </c>
      <c r="K51" s="9" t="n">
        <f aca="false">IF($H$6=0,"",H51/$H$6)</f>
        <v>0.00403516726909041</v>
      </c>
      <c r="L51" s="10" t="n">
        <v>17100</v>
      </c>
      <c r="M51" s="57" t="n">
        <f aca="false">IF(ISNUMBER(L51),L51/D51,"")</f>
        <v>114</v>
      </c>
      <c r="N51" s="8" t="n">
        <f aca="false">IF(ISNUMBER(L51),H51-L51,"")</f>
        <v>-1500</v>
      </c>
      <c r="O51" s="67"/>
    </row>
    <row r="52" customFormat="false" ht="15" hidden="false" customHeight="false" outlineLevel="0" collapsed="false">
      <c r="A52" s="5" t="n">
        <v>46</v>
      </c>
      <c r="B52" s="5" t="s">
        <v>145</v>
      </c>
      <c r="C52" s="5" t="s">
        <v>268</v>
      </c>
      <c r="D52" s="66" t="n">
        <v>48</v>
      </c>
      <c r="E52" s="10" t="n">
        <v>19392</v>
      </c>
      <c r="F52" s="57" t="n">
        <f aca="false">IF(AND(D52&gt;0,N(E52)&gt;0),E52/D52,"")</f>
        <v>404</v>
      </c>
      <c r="G52" s="48" t="n">
        <f aca="false">IFERROR(INDEX(Prices!$C$6:$C$300,MATCH(B52,Prices!$A$6:$A$300,0)),"")</f>
        <v>323</v>
      </c>
      <c r="H52" s="8" t="n">
        <f aca="false">IF(ISNUMBER(G52),D52*G52,0)</f>
        <v>15504</v>
      </c>
      <c r="I52" s="8" t="n">
        <f aca="false">H52-N(E52)</f>
        <v>-3888</v>
      </c>
      <c r="J52" s="9" t="n">
        <f aca="false">IF(N(E52)&gt;0,I52/E52,"")</f>
        <v>-0.200495049504951</v>
      </c>
      <c r="K52" s="9" t="n">
        <f aca="false">IF($H$6=0,"",H52/$H$6)</f>
        <v>0.00401033547051139</v>
      </c>
      <c r="L52" s="10" t="n">
        <v>16992</v>
      </c>
      <c r="M52" s="57" t="n">
        <f aca="false">IF(ISNUMBER(L52),L52/D52,"")</f>
        <v>354</v>
      </c>
      <c r="N52" s="8" t="n">
        <f aca="false">IF(ISNUMBER(L52),H52-L52,"")</f>
        <v>-1488</v>
      </c>
      <c r="O52" s="67"/>
    </row>
    <row r="53" customFormat="false" ht="15" hidden="false" customHeight="false" outlineLevel="0" collapsed="false">
      <c r="A53" s="5" t="n">
        <v>47</v>
      </c>
      <c r="B53" s="5" t="s">
        <v>147</v>
      </c>
      <c r="C53" s="5" t="s">
        <v>268</v>
      </c>
      <c r="D53" s="66" t="n">
        <v>132</v>
      </c>
      <c r="E53" s="10" t="n">
        <v>23496</v>
      </c>
      <c r="F53" s="57" t="n">
        <f aca="false">IF(AND(D53&gt;0,N(E53)&gt;0),E53/D53,"")</f>
        <v>178</v>
      </c>
      <c r="G53" s="48" t="n">
        <f aca="false">IFERROR(INDEX(Prices!$C$6:$C$300,MATCH(B53,Prices!$A$6:$A$300,0)),"")</f>
        <v>101.09</v>
      </c>
      <c r="H53" s="8" t="n">
        <f aca="false">IF(ISNUMBER(G53),D53*G53,0)</f>
        <v>13343.88</v>
      </c>
      <c r="I53" s="8" t="n">
        <f aca="false">H53-N(E53)</f>
        <v>-10152.12</v>
      </c>
      <c r="J53" s="9" t="n">
        <f aca="false">IF(N(E53)&gt;0,I53/E53,"")</f>
        <v>-0.432078651685393</v>
      </c>
      <c r="K53" s="9" t="n">
        <f aca="false">IF($H$6=0,"",H53/$H$6)</f>
        <v>0.00345158896273527</v>
      </c>
      <c r="L53" s="10" t="n">
        <v>15048</v>
      </c>
      <c r="M53" s="57" t="n">
        <f aca="false">IF(ISNUMBER(L53),L53/D53,"")</f>
        <v>114</v>
      </c>
      <c r="N53" s="8" t="n">
        <f aca="false">IF(ISNUMBER(L53),H53-L53,"")</f>
        <v>-1704.12</v>
      </c>
      <c r="O53" s="67"/>
    </row>
    <row r="54" customFormat="false" ht="15" hidden="false" customHeight="false" outlineLevel="0" collapsed="false">
      <c r="A54" s="5" t="n">
        <v>48</v>
      </c>
      <c r="B54" s="5" t="s">
        <v>149</v>
      </c>
      <c r="C54" s="5" t="s">
        <v>268</v>
      </c>
      <c r="D54" s="66" t="n">
        <v>33</v>
      </c>
      <c r="E54" s="10" t="n">
        <v>17886</v>
      </c>
      <c r="F54" s="57" t="n">
        <f aca="false">IF(AND(D54&gt;0,N(E54)&gt;0),E54/D54,"")</f>
        <v>542</v>
      </c>
      <c r="G54" s="48" t="n">
        <f aca="false">IFERROR(INDEX(Prices!$C$6:$C$300,MATCH(B54,Prices!$A$6:$A$300,0)),"")</f>
        <v>400.65</v>
      </c>
      <c r="H54" s="8" t="n">
        <f aca="false">IF(ISNUMBER(G54),D54*G54,0)</f>
        <v>13221.45</v>
      </c>
      <c r="I54" s="8" t="n">
        <f aca="false">H54-N(E54)</f>
        <v>-4664.55</v>
      </c>
      <c r="J54" s="9" t="n">
        <f aca="false">IF(N(E54)&gt;0,I54/E54,"")</f>
        <v>-0.260793357933579</v>
      </c>
      <c r="K54" s="9" t="n">
        <f aca="false">IF($H$6=0,"",H54/$H$6)</f>
        <v>0.00341992065960996</v>
      </c>
      <c r="L54" s="10" t="n">
        <v>16302</v>
      </c>
      <c r="M54" s="57" t="n">
        <f aca="false">IF(ISNUMBER(L54),L54/D54,"")</f>
        <v>494</v>
      </c>
      <c r="N54" s="8" t="n">
        <f aca="false">IF(ISNUMBER(L54),H54-L54,"")</f>
        <v>-3080.55</v>
      </c>
      <c r="O54" s="67"/>
    </row>
    <row r="55" customFormat="false" ht="15" hidden="false" customHeight="false" outlineLevel="0" collapsed="false">
      <c r="A55" s="5" t="n">
        <v>49</v>
      </c>
      <c r="B55" s="5" t="s">
        <v>118</v>
      </c>
      <c r="C55" s="5" t="s">
        <v>16</v>
      </c>
      <c r="D55" s="66" t="n">
        <v>99</v>
      </c>
      <c r="E55" s="10" t="n">
        <v>12177</v>
      </c>
      <c r="F55" s="57" t="n">
        <f aca="false">IF(AND(D55&gt;0,N(E55)&gt;0),E55/D55,"")</f>
        <v>123</v>
      </c>
      <c r="G55" s="48" t="n">
        <f aca="false">IFERROR(INDEX(Prices!$C$6:$C$300,MATCH(B55,Prices!$A$6:$A$300,0)),"")</f>
        <v>127</v>
      </c>
      <c r="H55" s="8" t="n">
        <f aca="false">IF(ISNUMBER(G55),D55*G55,0)</f>
        <v>12573</v>
      </c>
      <c r="I55" s="8" t="n">
        <f aca="false">H55-N(E55)</f>
        <v>396</v>
      </c>
      <c r="J55" s="9" t="n">
        <f aca="false">IF(N(E55)&gt;0,I55/E55,"")</f>
        <v>0.032520325203252</v>
      </c>
      <c r="K55" s="9" t="n">
        <f aca="false">IF($H$6=0,"",H55/$H$6)</f>
        <v>0.00325218962014575</v>
      </c>
      <c r="L55" s="10" t="n">
        <v>12771</v>
      </c>
      <c r="M55" s="57" t="n">
        <f aca="false">IF(ISNUMBER(L55),L55/D55,"")</f>
        <v>129</v>
      </c>
      <c r="N55" s="8" t="n">
        <f aca="false">IF(ISNUMBER(L55),H55-L55,"")</f>
        <v>-198</v>
      </c>
      <c r="O55" s="67"/>
    </row>
    <row r="56" customFormat="false" ht="15" hidden="false" customHeight="false" outlineLevel="0" collapsed="false">
      <c r="A56" s="5" t="n">
        <v>50</v>
      </c>
      <c r="B56" s="5" t="s">
        <v>153</v>
      </c>
      <c r="C56" s="5" t="s">
        <v>268</v>
      </c>
      <c r="D56" s="66" t="n">
        <v>9</v>
      </c>
      <c r="E56" s="10" t="n">
        <v>12114</v>
      </c>
      <c r="F56" s="57" t="n">
        <f aca="false">IF(AND(D56&gt;0,N(E56)&gt;0),E56/D56,"")</f>
        <v>1346</v>
      </c>
      <c r="G56" s="48" t="n">
        <f aca="false">IFERROR(INDEX(Prices!$C$6:$C$300,MATCH(B56,Prices!$A$6:$A$300,0)),"")</f>
        <v>1143.7</v>
      </c>
      <c r="H56" s="8" t="n">
        <f aca="false">IF(ISNUMBER(G56),D56*G56,0)</f>
        <v>10293.3</v>
      </c>
      <c r="I56" s="8" t="n">
        <f aca="false">H56-N(E56)</f>
        <v>-1820.7</v>
      </c>
      <c r="J56" s="9" t="n">
        <f aca="false">IF(N(E56)&gt;0,I56/E56,"")</f>
        <v>-0.150297176820208</v>
      </c>
      <c r="K56" s="9" t="n">
        <f aca="false">IF($H$6=0,"",H56/$H$6)</f>
        <v>0.00266251200326464</v>
      </c>
      <c r="L56" s="10" t="n">
        <v>9531</v>
      </c>
      <c r="M56" s="57" t="n">
        <f aca="false">IF(ISNUMBER(L56),L56/D56,"")</f>
        <v>1059</v>
      </c>
      <c r="N56" s="8" t="n">
        <f aca="false">IF(ISNUMBER(L56),H56-L56,"")</f>
        <v>762.300000000001</v>
      </c>
      <c r="O56" s="67"/>
    </row>
    <row r="57" customFormat="false" ht="15" hidden="false" customHeight="false" outlineLevel="0" collapsed="false">
      <c r="A57" s="5" t="n">
        <v>51</v>
      </c>
      <c r="B57" s="5" t="s">
        <v>155</v>
      </c>
      <c r="C57" s="5" t="s">
        <v>16</v>
      </c>
      <c r="D57" s="66" t="n">
        <v>560</v>
      </c>
      <c r="E57" s="10" t="n">
        <v>30800</v>
      </c>
      <c r="F57" s="57" t="n">
        <f aca="false">IF(AND(D57&gt;0,N(E57)&gt;0),E57/D57,"")</f>
        <v>55</v>
      </c>
      <c r="G57" s="48" t="n">
        <f aca="false">IFERROR(INDEX(Prices!$C$6:$C$300,MATCH(B57,Prices!$A$6:$A$300,0)),"")</f>
        <v>12.17</v>
      </c>
      <c r="H57" s="8" t="n">
        <f aca="false">IF(ISNUMBER(G57),D57*G57,0)</f>
        <v>6815.2</v>
      </c>
      <c r="I57" s="8" t="n">
        <f aca="false">H57-N(E57)</f>
        <v>-23984.8</v>
      </c>
      <c r="J57" s="9" t="n">
        <f aca="false">IF(N(E57)&gt;0,I57/E57,"")</f>
        <v>-0.778727272727273</v>
      </c>
      <c r="K57" s="9" t="n">
        <f aca="false">IF($H$6=0,"",H57/$H$6)</f>
        <v>0.00176285076745545</v>
      </c>
      <c r="L57" s="10" t="n">
        <v>8120</v>
      </c>
      <c r="M57" s="57" t="n">
        <f aca="false">IF(ISNUMBER(L57),L57/D57,"")</f>
        <v>14.5</v>
      </c>
      <c r="N57" s="8" t="n">
        <f aca="false">IF(ISNUMBER(L57),H57-L57,"")</f>
        <v>-1304.8</v>
      </c>
      <c r="O57" s="67"/>
    </row>
    <row r="58" customFormat="false" ht="15" hidden="false" customHeight="false" outlineLevel="0" collapsed="false">
      <c r="A58" s="5" t="n">
        <v>52</v>
      </c>
      <c r="B58" s="5" t="s">
        <v>161</v>
      </c>
      <c r="C58" s="5" t="s">
        <v>268</v>
      </c>
      <c r="D58" s="66" t="n">
        <v>20</v>
      </c>
      <c r="E58" s="10" t="n">
        <v>6320</v>
      </c>
      <c r="F58" s="57" t="n">
        <f aca="false">IF(AND(D58&gt;0,N(E58)&gt;0),E58/D58,"")</f>
        <v>316</v>
      </c>
      <c r="G58" s="48" t="n">
        <f aca="false">IFERROR(INDEX(Prices!$C$6:$C$300,MATCH(B58,Prices!$A$6:$A$300,0)),"")</f>
        <v>116.89</v>
      </c>
      <c r="H58" s="8" t="n">
        <f aca="false">IF(ISNUMBER(G58),D58*G58,0)</f>
        <v>2337.8</v>
      </c>
      <c r="I58" s="8" t="n">
        <f aca="false">H58-N(E58)</f>
        <v>-3982.2</v>
      </c>
      <c r="J58" s="9" t="n">
        <f aca="false">IF(N(E58)&gt;0,I58/E58,"")</f>
        <v>-0.630094936708861</v>
      </c>
      <c r="K58" s="9" t="n">
        <f aca="false">IF($H$6=0,"",H58/$H$6)</f>
        <v>0.000604706028312793</v>
      </c>
      <c r="L58" s="10" t="n">
        <v>2520</v>
      </c>
      <c r="M58" s="57" t="n">
        <f aca="false">IF(ISNUMBER(L58),L58/D58,"")</f>
        <v>126</v>
      </c>
      <c r="N58" s="8" t="n">
        <f aca="false">IF(ISNUMBER(L58),H58-L58,"")</f>
        <v>-182.2</v>
      </c>
      <c r="O58" s="67"/>
    </row>
    <row r="59" customFormat="false" ht="15" hidden="false" customHeight="false" outlineLevel="0" collapsed="false">
      <c r="A59" s="5" t="n">
        <v>53</v>
      </c>
      <c r="B59" s="5" t="s">
        <v>164</v>
      </c>
      <c r="C59" s="5" t="s">
        <v>16</v>
      </c>
      <c r="D59" s="66" t="n">
        <v>344</v>
      </c>
      <c r="E59" s="10" t="n">
        <v>0</v>
      </c>
      <c r="F59" s="57" t="str">
        <f aca="false">IF(AND(D59&gt;0,N(E59)&gt;0),E59/D59,"")</f>
        <v/>
      </c>
      <c r="G59" s="48" t="n">
        <f aca="false">IFERROR(INDEX(Prices!$C$6:$C$300,MATCH(B59,Prices!$A$6:$A$300,0)),"")</f>
        <v>4</v>
      </c>
      <c r="H59" s="8" t="n">
        <f aca="false">IF(ISNUMBER(G59),D59*G59,0)</f>
        <v>1376</v>
      </c>
      <c r="I59" s="8" t="n">
        <f aca="false">H59-N(E59)</f>
        <v>1376</v>
      </c>
      <c r="J59" s="9" t="str">
        <f aca="false">IF(N(E59)&gt;0,I59/E59,"")</f>
        <v/>
      </c>
      <c r="K59" s="9" t="n">
        <f aca="false">IF($H$6=0,"",H59/$H$6)</f>
        <v>0.000355922446299257</v>
      </c>
      <c r="L59" s="10" t="n">
        <v>1376</v>
      </c>
      <c r="M59" s="57" t="n">
        <f aca="false">IF(ISNUMBER(L59),L59/D59,"")</f>
        <v>4</v>
      </c>
      <c r="N59" s="8" t="n">
        <f aca="false">IF(ISNUMBER(L59),H59-L59,"")</f>
        <v>0</v>
      </c>
      <c r="O59" s="67" t="s">
        <v>273</v>
      </c>
    </row>
  </sheetData>
  <conditionalFormatting sqref="G7:G300">
    <cfRule type="expression" priority="2" aboveAverage="0" equalAverage="0" bottom="0" percent="0" rank="0" text="" dxfId="0">
      <formula>ISNUMBER(SEARCH("stale",INDEX(Prices!$D$6:$D$300,MATCH($B7,Prices!$A$6:$A$300,0))))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274</v>
      </c>
    </row>
    <row r="2" customFormat="false" ht="15" hidden="false" customHeight="false" outlineLevel="0" collapsed="false">
      <c r="A2" s="0" t="s">
        <v>275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2026-10-23T07:02:24Z</dcterms:created>
  <dc:creator>openpyxl</dc:creator>
  <dc:description/>
  <dc:language>en-US</dc:language>
  <cp:lastModifiedBy/>
  <dcterms:modified xsi:type="dcterms:W3CDTF">2026-10-23T07:02:25Z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