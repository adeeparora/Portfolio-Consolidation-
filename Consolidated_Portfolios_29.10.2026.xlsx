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<sst xmlns="http://schemas.openxmlformats.org/spreadsheetml/2006/main" count="1366" uniqueCount="296">
  <si>
    <t xml:space="preserve">CONSOLIDATED PORTFOLIO SUMMARY – ALL MANAGED ACCOUNTS</t>
  </si>
  <si>
    <t xml:space="preserve">Built 29.10.2026 from 6 statements. All market values at the Screener.in price of 29.10.2026 live (~11:20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</si>
  <si>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</si>
  <si>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</si>
  <si>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</si>
  <si>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</si>
  <si>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</si>
  <si>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</si>
  <si>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</si>
  <si>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</si>
  <si>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</si>
  <si>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</si>
  <si>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</si>
  <si>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</si>
  <si>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</si>
  <si>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</si>
  <si>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</si>
  <si>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</si>
  <si>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</si>
  <si>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</si>
  <si>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</si>
  <si>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</si>
  <si>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</si>
  <si>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</si>
  <si>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</si>
  <si>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 trades of 29.10.2026</t>
  </si>
  <si>
    <t xml:space="preserve">Screener.in live prices; MF NAV per Axis statement 23.10.2026 (three demats + MF merged); 29.10.2026 Axis Direct buys costed at order-book Close Price</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</si>
  <si>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</si>
  <si>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</si>
  <si>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</si>
  <si>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</si>
  <si>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</si>
  <si>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</si>
  <si>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</si>
  <si>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</si>
  <si>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</si>
  <si>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</si>
  <si>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</si>
  <si>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</si>
  <si>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</si>
  <si>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</si>
  <si>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</si>
  <si>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</si>
  <si>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</si>
  <si>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</si>
  <si>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</si>
  <si>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</si>
  <si>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</si>
  <si>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29.10.2026 live (~11:20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</si>
  <si>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</si>
  <si>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</si>
  <si>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</si>
  <si>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</si>
  <si>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</si>
  <si>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</si>
  <si>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</si>
  <si>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</si>
  <si>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</si>
  <si>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</si>
  <si>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</si>
  <si>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</si>
  <si>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</si>
  <si>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</si>
  <si>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</si>
  <si>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</si>
  <si>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</si>
  <si>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</si>
  <si>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</si>
  <si>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</si>
  <si>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</si>
  <si>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</si>
  <si>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</si>
  <si>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</si>
  <si>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</si>
  <si>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</si>
  <si>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</si>
  <si>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</si>
  <si>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</si>
  <si>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</si>
  <si>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</si>
  <si>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</si>
  <si>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</si>
  <si>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</si>
  <si>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</si>
  <si>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</si>
  <si>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</si>
  <si>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</si>
  <si>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</si>
  <si>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</si>
  <si>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</si>
  <si>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</si>
  <si>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</si>
  <si>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</si>
  <si>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</si>
  <si>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</si>
  <si>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</si>
  <si>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</si>
  <si>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</si>
  <si>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</si>
  <si>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</si>
  <si>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</si>
  <si>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</si>
  <si>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</si>
  <si>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</si>
  <si>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</si>
  <si>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</si>
  <si>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</si>
  <si>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</si>
  <si>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</si>
  <si>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</si>
  <si>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</si>
  <si>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Kotak Mahindra Bank Ltd</t>
  </si>
  <si>
    <t xml:space="preserve">Infosys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</si>
  <si>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</si>
  <si>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</si>
  <si>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</si>
  <si>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</si>
  <si>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</si>
  <si>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</si>
  <si>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</si>
  <si>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</si>
  <si>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</si>
  <si>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</si>
  <si>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</si>
  <si>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</si>
  <si>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</si>
  <si>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</si>
  <si>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</si>
  <si>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</si>
  <si>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</si>
  <si>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Syngene International Ltd</t>
  </si>
  <si>
    <t xml:space="preserve">Tanla Platforms Ltd</t>
  </si>
  <si>
    <t xml:space="preserve">NTPC Green Energy Ltd</t>
  </si>
  <si>
    <t xml:space="preserve">Vinyl Chemicals (India) Ltd</t>
  </si>
  <si>
    <t xml:space="preserve">HUDCO Ltd</t>
  </si>
  <si>
    <t xml:space="preserve">Sonata Software Ltd</t>
  </si>
  <si>
    <t xml:space="preserve">Ambuja Cements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</si>
  <si>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</si>
  <si>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</si>
  <si>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</si>
  <si>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</si>
  <si>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</si>
  <si>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</si>
  <si>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</si>
  <si>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Ashoka Buildcon Ltd</t>
  </si>
  <si>
    <t xml:space="preserve">Shakti Pumps (India)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</si>
  <si>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</si>
  <si>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</si>
  <si>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</si>
  <si>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</si>
  <si>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</si>
  <si>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</si>
  <si>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</si>
  <si>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</si>
  <si>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</si>
  <si>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</si>
  <si>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</si>
  <si>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Pfizer Ltd</t>
  </si>
  <si>
    <t xml:space="preserve">Garware Technical Fibres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</si>
  <si>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</si>
  <si>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</si>
  <si>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</si>
  <si>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</si>
  <si>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</si>
  <si>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</si>
  <si>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</si>
  <si>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</si>
  <si>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</si>
  <si>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</si>
  <si>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23.10 + trades 29.10 → Saloni stmt – 20.10 (stale) → Vidushi stmt – LTP 05.10 → Umesh stmt – NSE live 09.10.</t>
  </si>
  <si>
    <t xml:space="preserve">Column B holds NSE/BSE prices as at 29.10.2026 live (~11:20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</si>
  <si>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</si>
  <si>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</si>
  <si>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</si>
  <si>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</si>
  <si>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</si>
  <si>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</si>
  <si>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</si>
  <si>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</si>
  <si>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</si>
  <si>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28.10 (₹)</t>
  </si>
  <si>
    <t xml:space="preserve">1-day chg %</t>
  </si>
  <si>
    <t xml:space="preserve">Close 29.10.2026 live (~11:20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</si>
  <si>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</si>
  <si>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</si>
  <si>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</si>
  <si>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</si>
  <si>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</si>
  <si>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</si>
  <si>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</si>
  <si>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</si>
  <si>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</si>
  <si>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</si>
  <si>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</si>
  <si>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</si>
  <si>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</si>
  <si>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</si>
  <si>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</si>
  <si>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</si>
  <si>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</si>
  <si>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</si>
  <si>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</si>
  <si>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</si>
  <si>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</si>
  <si>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</si>
  <si>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</si>
  <si>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</si>
  <si>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</si>
  <si>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</si>
  <si>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</si>
  <si>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</si>
  <si>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</si>
  <si>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</si>
  <si>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</si>
  <si>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</si>
  <si>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</si>
  <si>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</si>
  <si>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</si>
  <si>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</si>
  <si>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</si>
  <si>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</si>
  <si>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</si>
  <si>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</si>
  <si>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</si>
  <si>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</si>
  <si>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</si>
  <si>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</si>
  <si>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</si>
  <si>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 trades of 29.10.2026</t>
  </si>
  <si>
    <t xml:space="preserve">Holdings as of 23.10.2026 + trades of 29.10.2026. Statement prices: Screener.in live prices; MF NAV per Axis statement 23.10.2026 (three demats + MF merged); 29.10.2026 Axis Direct buys costed at order-book Close Price. Market value uses the common Ref Price from the Prices sheet so all portfolios are valued alike.</t>
  </si>
  <si>
    <t xml:space="preserve">Axis Direct (Manish) order book of 29.10.2026 – 5 executed buys; order book carries no fill price, so cost uses its Close Price column (previous close) until the tradebook is supplied</t>
  </si>
  <si>
    <t xml:space="preserve">Axis Direct (Shilpa) + Axis Direct (Manish) + HDFC Securities (Manish)</t>
  </si>
  <si>
    <t xml:space="preserve">Axis Direct Shilpa 226; Axis Direct Manish 3205; HDFC Securities Manish 504; incl. 29.10 buy 40 (Axis Direct Manish, costed at order-book Close Price, fill price not given)</t>
  </si>
  <si>
    <t xml:space="preserve">29.10.2026 10:31–10:42</t>
  </si>
  <si>
    <t xml:space="preserve">Axis Direct Shilpa 10; Axis Direct Manish 11049; HDFC Securities Manish 101</t>
  </si>
  <si>
    <t xml:space="preserve">Axis Direct Shilpa 7; Axis Direct Manish 153; HDFC Securities Manish 5</t>
  </si>
  <si>
    <t xml:space="preserve">Axis Direct Shilpa 58; Axis Direct Manish 913; HDFC Securities Manish 56; incl. 29.10 buy 14 (Axis Direct Manish, costed at order-book Close Price, fill price not given)</t>
  </si>
  <si>
    <t xml:space="preserve">Axis Direct Shilpa 206; Axis Direct Manish 1201; HDFC Securities Manish 8; incl. 29.10 buy 21 (Axis Direct Manish, costed at order-book Close Price, fill price not given)</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</si>
  <si>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</si>
  <si>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</si>
  <si>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</si>
  <si>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</si>
  <si>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3444; HDFC Securities Manish 99; incl. 29.10 buy 48 (Axis Direct Manish, costed at order-book Close Price, fill price not given)</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</si>
  <si>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</si>
  <si>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</si>
  <si>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</si>
  <si>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</si>
  <si>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</si>
  <si>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</si>
  <si>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</si>
  <si>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</si>
  <si>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</si>
  <si>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</si>
  <si>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76; incl. 29.10 buy 1 (Axis Direct Manish, costed at order-book Close Price, fill price not given)</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</si>
  <si>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</si>
  <si>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</si>
  <si>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</si>
  <si>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</si>
  <si>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</si>
  <si>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</si>
  <si>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</si>
  <si>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 Cash added 29.10.2026</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</si>
  <si>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</si>
  <si>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</si>
  <si>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</si>
  <si>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</si>
  <si>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</si>
  <si>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</si>
  <si>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</si>
  <si>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</si>
  <si>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</si>
  <si>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</si>
  <si>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</si>
  <si>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</si>
  <si>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</si>
  <si>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</si>
  <si>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</si>
  <si>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</si>
  <si>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</si>
  <si>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</si>
  <si>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</si>
  <si>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</si>
  <si>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</si>
  <si>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</si>
  <si>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</si>
  <si>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</si>
  <si>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</si>
  <si>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</si>
  <si>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</si>
  <si>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</si>
  <si>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</si>
  <si>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</si>
  <si>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</si>
  <si>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</si>
  <si>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"29.10.2026", "close_date": "29.10.2026 live (~11:20 IST)", "prev_date": "28.10.2026", "closes": {"AFCOM Holdings Ltd": [1329.0, 1302.7], "Aarti Drugs Ltd": [449.35, 447.9], "Abbott India Ltd": [26415.0, 26275.0], "Affle 3i Ltd": [1395.7, 1411.0], "Alkyl Amines Chemicals Ltd": [1656.3, 1651.9], "Ambuja Cements Ltd": [351.75, 351.2], "Ashoka Buildcon Ltd": [98.2, 96.22], "Asian Paints Ltd": [2279.9, 2284.6], "Avenue Supermarts (DMart) Ltd": [3153.9, 3133.9], "Bagmane Prime Office REIT": [104.96, 104.85], "Bajaj Finance Ltd": [925.8, 917.25], "Bajaj Housing Finance Ltd": [78.1, 77.48], "Bharti Airtel Ltd": [1961.4, 1948.1], "Brigade Enterprises Ltd": [532.2, 538.35], "Capacite Infraprojects Ltd": [153.24, 149.05], "Central Depository Services (India) Ltd": [1273.0, 1232.0], "Clean Science and Technology Ltd": [740.3, 738.25], "Connplex Cinemas Ltd": [240.0, 236.9], "Container Corporation of India Ltd": [421.2, 418.0], "Cyient Ltd": [1160.0, 1156.7], "Deepak Nitrite Ltd": [1489.8, 1488.4], "Dr Lal PathLabs Ltd": [1906.1, 1922.3], "Eicher Motors Ltd": [7244.0, 7300.0], "Eternal Ltd": [331.0, 326.0], "Eureka Forbes Ltd": [322.2, 320.65], "Fineotex Chemical Ltd": [51.15, 50.01], "GSPL Transmission Ltd": [119.18, 117.64], "Garware Technical Fibres Ltd": [744.1, 751.7], "Godrej Consumer Products Ltd": [827.0, 822.0], "Great Eastern Shipping Co Ltd": [1620.2, 1559.9], "Gujarat Energy": [212.75, 212.2], "HCL Technologies Ltd": [1409.3, 1400.5], "HDFC Bank Ltd": [684.6, 685.3], "HUDCO Ltd": [148.47, 146.82], "ICICI Prudential Life Insurance Co Ltd": [408.9, 412.0], "Indian Energy Exchange Ltd": [103.62, 102.71], "Indian Railway Finance Corp Ltd": [75.11, 74.63], "Indraprastha Gas Ltd": [140.18, 140.66], "Indus Towers Ltd": [378.95, 373.0], "Infosys Ltd": [1132.2, 1123.15], "InterGlobe Aviation Ltd (IndiGo)": [4671.6, 4690.0], "JK Tyre &amp; Industries Ltd": [306.0, 304.55], "Jio Financial Services Ltd": [206.43, 205.15], "Jubilant FoodWorks Ltd": [421.45, 424.0], "Kotak Mahindra Bank Ltd": [453.35, 440.0], "L&amp;T Technology Services Ltd": [4199.0, 4088.1], "LTM Ltd (formerly LTIMindtree)": [4089.2, 4104.0], "Mold-Tek Technologies Ltd": [94.14, 90.44], "NCC Ltd": [117.77, 116.62], "NTPC Green Energy Ltd": [83.81, 83.22], "Nestle India Ltd": [1178.4, 1168.0], "Orient Cement Ltd": [113.45, 113.29], "Orient Electric Ltd": [183.38, 187.27], "Page Industries Ltd": [33925.0, 33845.0], "Persistent Systems Ltd": [5883.5, 5848.0], "Pfizer Ltd": [3768.9, 3734.4], "Poonawalla Fincorp Ltd": [433.25, 403.25], "REC Ltd": [296.65, 290.0], "RITES Ltd": [197.45, 196.57], "Rategain Travel Technologies Ltd": [804.05, 808.75], "Reliance Industries Ltd": [1175.0, 1158.0], "Shakti Pumps (India) Ltd": [362.4, 364.45], "Shriram Properties Ltd": [64.25, 64.11], "Sonata Software Ltd": [229.4, 229.05], "Syngene International Ltd": [408.05, 410.85], "Tanla Platforms Ltd": [622.65, 598.7], "Tata Consultancy Services Ltd": [2479.0, 2460.0], "Tata Elxsi Ltd": [3794.1, 3755.0], "Titan Company Ltd": [4402.7, 4337.9], "Trent Ltd": [2847.8, 2913.9], "Utkarsh Small Finance Bank Ltd": [11.84, 11.74], "VRL Logistics Ltd": [266.85, 269.6], "Vaibhav Global Ltd": [158.91, 187.83], "Vedant Fashions (Manyavar) Ltd": [481.15, 485.05], "Vedanta Power (VEDPOWER)": [29.15, 28.79], "Vinati Organics Ltd": [1063.4, 1081.7], "Vinyl Chemicals (India) Ltd": [246.85, 245.49], "Waaree Energies Ltd": [2298.1, 2238.0], "Waaree Renewable Technologies Ltd": [679.75, 672.15]},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 trades of 29.10.2026", "price_basis": "Screener.in live prices; MF NAV per Axis statement 23.10.2026 (three demats + MF merged); 29.10.2026 Axis Direct buys costed at order-book Close Price", "basis_label": "Manish Shilpa stmt – 23.10 + trades 29.10", "stale_prices": false, "stmt_invested": 9857779, "stmt_mv": 11636410.18, "rows": [["Bajaj Housing Finance Ltd", "Axis Direct (Shilpa) + Axis Direct (Manish) + HDFC Securities (Manish)", 3810.0, 436419.72, null, "Axis Direct Shilpa 267; Axis Direct Manish 3444; HDFC Securities Manish 99; incl. 29.10 buy 48 (Axis Direct Manish, costed at order-book Close Price, fill price not given)"],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169.0, 15473.53, null, "Axis Direct Shilpa 93; Axis Direct Manish 76; incl. 29.10 buy 1 (Axis Direct Manish, costed at order-book Close Price, fill price not given)"],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3935.0, 2948869.0, null, "Axis Direct Shilpa 226; Axis Direct Manish 3205; HDFC Securities Manish 504; incl. 29.10 buy 40 (Axis Direct Manish, costed at order-book Close Price, fill price not given)"],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1027.0, 822205.8, null, "Axis Direct Shilpa 58; Axis Direct Manish 913; HDFC Securities Manish 56; incl. 29.10 buy 14 (Axis Direct Manish, costed at order-book Close Price, fill price not given)"],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1415.0, 630971.8, null, "Axis Direct Shilpa 206; Axis Direct Manish 1201; HDFC Securities Manish 8; incl. 29.10 buy 21 (Axis Direct Manish, costed at order-book Close Price, fill price not given)"],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"Axis Direct (Manish) order book of 29.10.2026 – 5 executed buys; order book carries no fill price, so cost uses its Close Price column (previous close) until the tradebook is supplied", "trades": [["29.10.2026 10:31–10:42", "BUY", "HDFC Gold ETF", 1.0, 119.53, 119.53], ["29.10.2026 10:31–10:42", "BUY", "HDFC Bank Ltd", 14.0, 680.2, 9522.8], ["29.10.2026 10:31–10:42", "BUY", "Poonawalla Fincorp Ltd", 21.0, 402.8, 8458.8], ["29.10.2026 10:31–1</t>
  </si>
  <si>
    <t xml:space="preserve">0:42", "BUY", "Bajaj Housing Finance Ltd", 48.0, 77.64, 3726.72], ["29.10.2026 10:31–10:42", "BUY", "Bajaj Finance Ltd", 40.0, 912.0, 36480.0]], "base": {"label": "Year 3 base", "amount": 11949395, "cash": [["Cash added", 850000], ["Cash added 29.10.2026", 60000]]}},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</si>
</sst>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5708099.09659864</v>
      </c>
      <c r="H6" s="8" t="n">
        <f aca="false">G6-F6</f>
        <v>-292557.133401361</v>
      </c>
      <c r="I6" s="9" t="n">
        <f aca="false">IF(F6&gt;0,H6/F6,"")</f>
        <v>-0.0487541899065532</v>
      </c>
      <c r="J6" s="9" t="n">
        <f aca="false">IF($G$12=0,"",G6/$G$12)</f>
        <v>0.146330867422346</v>
      </c>
      <c r="K6" s="8" t="n">
        <f aca="false">Gautam!E43</f>
        <v>6014444</v>
      </c>
      <c r="L6" s="8" t="n">
        <f aca="false">G6-K6</f>
        <v>-306344.903401361</v>
      </c>
      <c r="M6" s="9" t="n">
        <f aca="false">IF(K6&gt;0,L6/K6,"")</f>
        <v>-0.0509348666977963</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4059227.15</v>
      </c>
      <c r="H7" s="8" t="n">
        <f aca="false">G7-F7</f>
        <v>-515193.85</v>
      </c>
      <c r="I7" s="9" t="n">
        <f aca="false">IF(F7&gt;0,H7/F7,"")</f>
        <v>-0.1126249311115</v>
      </c>
      <c r="J7" s="9" t="n">
        <f aca="false">IF($G$12=0,"",G7/$G$12)</f>
        <v>0.104060952669477</v>
      </c>
      <c r="K7" s="8" t="n">
        <f aca="false">DA!E64</f>
        <v>4111335</v>
      </c>
      <c r="L7" s="8" t="n">
        <f aca="false">G7-K7</f>
        <v>-52107.8500000001</v>
      </c>
      <c r="M7" s="9" t="n">
        <f aca="false">IF(K7&gt;0,L7/K7,"")</f>
        <v>-0.012674192202776</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9916085.85</v>
      </c>
      <c r="G8" s="7" t="n">
        <f aca="false">'Manish Shilpa'!H54</f>
        <v>11820675.5170748</v>
      </c>
      <c r="H8" s="8" t="n">
        <f aca="false">G8-F8</f>
        <v>1904589.66707483</v>
      </c>
      <c r="I8" s="9" t="n">
        <f aca="false">IF(F8&gt;0,H8/F8,"")</f>
        <v>0.1920707117592</v>
      </c>
      <c r="J8" s="9" t="n">
        <f aca="false">IF($G$12=0,"",G8/$G$12)</f>
        <v>0.303030776561389</v>
      </c>
      <c r="K8" s="8" t="n">
        <f aca="false">'Manish Shilpa'!E60</f>
        <v>12859395</v>
      </c>
      <c r="L8" s="8" t="n">
        <f aca="false">G8-K8</f>
        <v>-1038719.48292517</v>
      </c>
      <c r="M8" s="9" t="n">
        <f aca="false">IF(K8&gt;0,L8/K8,"")</f>
        <v>-0.0807751440036774</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11821953.2435374</v>
      </c>
      <c r="H9" s="8" t="n">
        <f aca="false">G9-F9</f>
        <v>82447.2435374148</v>
      </c>
      <c r="I9" s="9" t="n">
        <f aca="false">IF(F9&gt;0,H9/F9,"")</f>
        <v>0.00702305902287667</v>
      </c>
      <c r="J9" s="9" t="n">
        <f aca="false">IF($G$12=0,"",G9/$G$12)</f>
        <v>0.303063531918021</v>
      </c>
      <c r="K9" s="8" t="n">
        <f aca="false">'Saloni Mehra'!E38</f>
        <v>13131820</v>
      </c>
      <c r="L9" s="8" t="n">
        <f aca="false">G9-K9</f>
        <v>-1309866.75646259</v>
      </c>
      <c r="M9" s="9" t="n">
        <f aca="false">IF(K9&gt;0,L9/K9,"")</f>
        <v>-0.0997475411985989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224121.692921147</v>
      </c>
      <c r="H10" s="8" t="n">
        <f aca="false">G10-F10</f>
        <v>22760.6929211469</v>
      </c>
      <c r="I10" s="9" t="n">
        <f aca="false">IF(F10&gt;0,H10/F10,"")</f>
        <v>0.113034266422728</v>
      </c>
      <c r="J10" s="9" t="n">
        <f aca="false">IF($G$12=0,"",G10/$G$12)</f>
        <v>0.00574550672269489</v>
      </c>
      <c r="K10" s="8" t="n">
        <f aca="false">'Vidushi Malhotra'!E24</f>
        <v>227522</v>
      </c>
      <c r="L10" s="8" t="n">
        <f aca="false">G10-K10</f>
        <v>-3400.30707885308</v>
      </c>
      <c r="M10" s="9" t="n">
        <f aca="false">IF(K10&gt;0,L10/K10,"")</f>
        <v>-0.0149449595153571</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5374091.55</v>
      </c>
      <c r="H11" s="8" t="n">
        <f aca="false">G11-F11</f>
        <v>151862.550000001</v>
      </c>
      <c r="I11" s="9" t="n">
        <f aca="false">IF(F11&gt;0,H11/F11,"")</f>
        <v>0.0290800250237975</v>
      </c>
      <c r="J11" s="9" t="n">
        <f aca="false">IF($G$12=0,"",G11/$G$12)</f>
        <v>0.137768364706072</v>
      </c>
      <c r="K11" s="8" t="n">
        <f aca="false">'Dr Umesh Choudhry'!E33</f>
        <v>4965555</v>
      </c>
      <c r="L11" s="8" t="n">
        <f aca="false">G11-K11</f>
        <v>408536.550000001</v>
      </c>
      <c r="M11" s="9" t="n">
        <f aca="false">IF(K11&gt;0,L11/K11,"")</f>
        <v>0.0822740962490599</v>
      </c>
    </row>
    <row r="12" customFormat="false" ht="15" hidden="false" customHeight="false" outlineLevel="0" collapsed="false">
      <c r="A12" s="15" t="s">
        <v>39</v>
      </c>
      <c r="B12" s="15" t="s">
        <v>40</v>
      </c>
      <c r="C12" s="15"/>
      <c r="D12" s="15"/>
      <c r="E12" s="16" t="n">
        <f aca="false">'Side by Side'!E6</f>
        <v>88</v>
      </c>
      <c r="F12" s="17"/>
      <c r="G12" s="17" t="n">
        <f aca="false">SUM(G6:G11)</f>
        <v>39008168.250132</v>
      </c>
      <c r="H12" s="17"/>
      <c r="I12" s="18"/>
      <c r="J12" s="18" t="n">
        <f aca="false">SUM(J6:J11)</f>
        <v>1</v>
      </c>
      <c r="K12" s="17" t="n">
        <f aca="false">SUM(K6:K11)</f>
        <v>41310071</v>
      </c>
      <c r="L12" s="17" t="n">
        <f aca="false">SUM(L6:L11)</f>
        <v>-2301902.74986797</v>
      </c>
      <c r="M12" s="18" t="n">
        <f aca="false">IF(K12&gt;0,L12/K12,"")</f>
        <v>-0.0557225561260344</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13537973.4</v>
      </c>
      <c r="D17" s="28" t="n">
        <f aca="false">INDEX('Side by Side'!$L$7:$L$95,MATCH(C17,'Side by Side'!$I$7:$I$95,0))</f>
        <v>0.347054835110187</v>
      </c>
      <c r="E17" s="28" t="n">
        <f aca="false">INDEX('Side by Side'!$S$7:$S$95,MATCH(C17,'Side by Side'!$I$7:$I$95,0))</f>
        <v>0.372389610626527</v>
      </c>
      <c r="F17" s="28" t="n">
        <f aca="false">INDEX('Side by Side'!$Z$7:$Z$95,MATCH(C17,'Side by Side'!$I$7:$I$95,0))</f>
        <v>0.20959906124002</v>
      </c>
      <c r="G17" s="28" t="n">
        <f aca="false">INDEX('Side by Side'!$AG$7:$AG$95,MATCH(C17,'Side by Side'!$I$7:$I$95,0))</f>
        <v>0.308190762426199</v>
      </c>
      <c r="H17" s="28" t="n">
        <f aca="false">INDEX('Side by Side'!$AN$7:$AN$95,MATCH(C17,'Side by Side'!$I$7:$I$95,0))</f>
        <v>0.386860944700498</v>
      </c>
      <c r="I17" s="28" t="n">
        <f aca="false">INDEX('Side by Side'!$AU$7:$AU$95,MATCH(C17,'Side by Side'!$I$7:$I$95,0))</f>
        <v>0.499825780092661</v>
      </c>
      <c r="J17" s="28" t="n">
        <f aca="false">INDEX('Side by Side'!$BB$7:$BB$95,MATCH(C17,'Side by Side'!$I$7:$I$95,0))</f>
        <v>0.415517595713456</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3134722.4</v>
      </c>
      <c r="D18" s="28" t="n">
        <f aca="false">INDEX('Side by Side'!$L$7:$L$95,MATCH(C18,'Side by Side'!$I$7:$I$95,0))</f>
        <v>0.0803606665121834</v>
      </c>
      <c r="E18" s="28" t="n">
        <f aca="false">INDEX('Side by Side'!$S$7:$S$95,MATCH(C18,'Side by Side'!$I$7:$I$95,0))</f>
        <v>0.0439645310554505</v>
      </c>
      <c r="F18" s="28" t="n">
        <f aca="false">INDEX('Side by Side'!$Z$7:$Z$95,MATCH(C18,'Side by Side'!$I$7:$I$95,0))</f>
        <v>0.0639923045449674</v>
      </c>
      <c r="G18" s="28" t="n">
        <f aca="false">INDEX('Side by Side'!$AG$7:$AG$95,MATCH(C18,'Side by Side'!$I$7:$I$95,0))</f>
        <v>0.0614554979493903</v>
      </c>
      <c r="H18" s="28" t="n">
        <f aca="false">INDEX('Side by Side'!$AN$7:$AN$95,MATCH(C18,'Side by Side'!$I$7:$I$95,0))</f>
        <v>0.093104326952206</v>
      </c>
      <c r="I18" s="28" t="n">
        <f aca="false">INDEX('Side by Side'!$AU$7:$AU$95,MATCH(C18,'Side by Side'!$I$7:$I$95,0))</f>
        <v>0.17679814695109</v>
      </c>
      <c r="J18" s="28" t="n">
        <f aca="false">INDEX('Side by Side'!$BB$7:$BB$95,MATCH(C18,'Side by Side'!$I$7:$I$95,0))</f>
        <v>0.140910215792658</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0.0734448660739523</v>
      </c>
      <c r="E19" s="28" t="n">
        <f aca="false">INDEX('Side by Side'!$S$7:$S$95,MATCH(C19,'Side by Side'!$I$7:$I$95,0))</f>
        <v>0</v>
      </c>
      <c r="F19" s="28" t="n">
        <f aca="false">INDEX('Side by Side'!$Z$7:$Z$95,MATCH(C19,'Side by Side'!$I$7:$I$95,0))</f>
        <v>0</v>
      </c>
      <c r="G19" s="28" t="n">
        <f aca="false">INDEX('Side by Side'!$AG$7:$AG$95,MATCH(C19,'Side by Side'!$I$7:$I$95,0))</f>
        <v>0.242345963719415</v>
      </c>
      <c r="H19" s="28" t="n">
        <f aca="false">INDEX('Side by Side'!$AN$7:$AN$95,MATCH(C19,'Side by Side'!$I$7:$I$95,0))</f>
        <v>0</v>
      </c>
      <c r="I19" s="28" t="n">
        <f aca="false">INDEX('Side by Side'!$AU$7:$AU$95,MATCH(C19,'Side by Side'!$I$7:$I$95,0))</f>
        <v>0.00114532831606473</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Poonawalla Fincorp Ltd</v>
      </c>
      <c r="C20" s="7" t="n">
        <f aca="false">LARGE('Side by Side'!$I$7:$I$95,A20)</f>
        <v>2727308.75</v>
      </c>
      <c r="D20" s="28" t="n">
        <f aca="false">INDEX('Side by Side'!$L$7:$L$95,MATCH(C20,'Side by Side'!$I$7:$I$95,0))</f>
        <v>0.0699163501477865</v>
      </c>
      <c r="E20" s="28" t="n">
        <f aca="false">INDEX('Side by Side'!$S$7:$S$95,MATCH(C20,'Side by Side'!$I$7:$I$95,0))</f>
        <v>0.102997554886588</v>
      </c>
      <c r="F20" s="28" t="n">
        <f aca="false">INDEX('Side by Side'!$Z$7:$Z$95,MATCH(C20,'Side by Side'!$I$7:$I$95,0))</f>
        <v>0.0851722476284679</v>
      </c>
      <c r="G20" s="28" t="n">
        <f aca="false">INDEX('Side by Side'!$AG$7:$AG$95,MATCH(C20,'Side by Side'!$I$7:$I$95,0))</f>
        <v>0.0518624125257865</v>
      </c>
      <c r="H20" s="28" t="n">
        <f aca="false">INDEX('Side by Side'!$AN$7:$AN$95,MATCH(C20,'Side by Side'!$I$7:$I$95,0))</f>
        <v>0.0702907110933009</v>
      </c>
      <c r="I20" s="28" t="n">
        <f aca="false">INDEX('Side by Side'!$AU$7:$AU$95,MATCH(C20,'Side by Side'!$I$7:$I$95,0))</f>
        <v>0.0734578602607307</v>
      </c>
      <c r="J20" s="28" t="n">
        <f aca="false">INDEX('Side by Side'!$BB$7:$BB$95,MATCH(C20,'Side by Side'!$I$7:$I$95,0))</f>
        <v>0.0619954548411071</v>
      </c>
      <c r="K20" s="29" t="n">
        <f aca="false">INDEX('Side by Side'!$E$7:$E$95,MATCH(C20,'Side by Side'!$I$7:$I$95,0))</f>
        <v>6</v>
      </c>
    </row>
    <row r="21" customFormat="false" ht="15" hidden="false" customHeight="false" outlineLevel="0" collapsed="false">
      <c r="A21" s="6" t="n">
        <v>5</v>
      </c>
      <c r="B21" s="27" t="str">
        <f aca="false">INDEX('Side by Side'!$B$7:$B$95,MATCH(C21,'Side by Side'!$I$7:$I$95,0))</f>
        <v>HDFC Bank Ltd</v>
      </c>
      <c r="C21" s="7" t="n">
        <f aca="false">LARGE('Side by Side'!$I$7:$I$95,A21)</f>
        <v>2583680.4</v>
      </c>
      <c r="D21" s="28" t="n">
        <f aca="false">INDEX('Side by Side'!$L$7:$L$95,MATCH(C21,'Side by Side'!$I$7:$I$95,0))</f>
        <v>0.0662343431107216</v>
      </c>
      <c r="E21" s="28" t="n">
        <f aca="false">INDEX('Side by Side'!$S$7:$S$95,MATCH(C21,'Side by Side'!$I$7:$I$95,0))</f>
        <v>0.0640452090640544</v>
      </c>
      <c r="F21" s="28" t="n">
        <f aca="false">INDEX('Side by Side'!$Z$7:$Z$95,MATCH(C21,'Side by Side'!$I$7:$I$95,0))</f>
        <v>0.0639194088953608</v>
      </c>
      <c r="G21" s="28" t="n">
        <f aca="false">INDEX('Side by Side'!$AG$7:$AG$95,MATCH(C21,'Side by Side'!$I$7:$I$95,0))</f>
        <v>0.0594791895762982</v>
      </c>
      <c r="H21" s="28" t="n">
        <f aca="false">INDEX('Side by Side'!$AN$7:$AN$95,MATCH(C21,'Side by Side'!$I$7:$I$95,0))</f>
        <v>0.0660165020045767</v>
      </c>
      <c r="I21" s="28" t="n">
        <f aca="false">INDEX('Side by Side'!$AU$7:$AU$95,MATCH(C21,'Side by Side'!$I$7:$I$95,0))</f>
        <v>0.0641464010583667</v>
      </c>
      <c r="J21" s="28" t="n">
        <f aca="false">INDEX('Side by Side'!$BB$7:$BB$95,MATCH(C21,'Side by Side'!$I$7:$I$95,0))</f>
        <v>0.0857327784079153</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1594800</v>
      </c>
      <c r="D22" s="28" t="n">
        <f aca="false">INDEX('Side by Side'!$L$7:$L$95,MATCH(C22,'Side by Side'!$I$7:$I$95,0))</f>
        <v>0.040883744906289</v>
      </c>
      <c r="E22" s="28" t="n">
        <f aca="false">INDEX('Side by Side'!$S$7:$S$95,MATCH(C22,'Side by Side'!$I$7:$I$95,0))</f>
        <v>0.0279392486537298</v>
      </c>
      <c r="F22" s="28" t="n">
        <f aca="false">INDEX('Side by Side'!$Z$7:$Z$95,MATCH(C22,'Side by Side'!$I$7:$I$95,0))</f>
        <v>0.0392882669795899</v>
      </c>
      <c r="G22" s="28" t="n">
        <f aca="false">INDEX('Side by Side'!$AG$7:$AG$95,MATCH(C22,'Side by Side'!$I$7:$I$95,0))</f>
        <v>0.0404748442091062</v>
      </c>
      <c r="H22" s="28" t="n">
        <f aca="false">INDEX('Side by Side'!$AN$7:$AN$95,MATCH(C22,'Side by Side'!$I$7:$I$95,0))</f>
        <v>0.0404704696545424</v>
      </c>
      <c r="I22" s="28" t="n">
        <f aca="false">INDEX('Side by Side'!$AU$7:$AU$95,MATCH(C22,'Side by Side'!$I$7:$I$95,0))</f>
        <v>0</v>
      </c>
      <c r="J22" s="28" t="n">
        <f aca="false">INDEX('Side by Side'!$BB$7:$BB$95,MATCH(C22,'Side by Side'!$I$7:$I$95,0))</f>
        <v>0.0593514265680867</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1192399</v>
      </c>
      <c r="D23" s="28" t="n">
        <f aca="false">INDEX('Side by Side'!$L$7:$L$95,MATCH(C23,'Side by Side'!$I$7:$I$95,0))</f>
        <v>0.0305679311151957</v>
      </c>
      <c r="E23" s="28" t="n">
        <f aca="false">INDEX('Side by Side'!$S$7:$S$95,MATCH(C23,'Side by Side'!$I$7:$I$95,0))</f>
        <v>0.0399551577750116</v>
      </c>
      <c r="F23" s="28" t="n">
        <f aca="false">INDEX('Side by Side'!$Z$7:$Z$95,MATCH(C23,'Side by Side'!$I$7:$I$95,0))</f>
        <v>0.0158783920234668</v>
      </c>
      <c r="G23" s="28" t="n">
        <f aca="false">INDEX('Side by Side'!$AG$7:$AG$95,MATCH(C23,'Side by Side'!$I$7:$I$95,0))</f>
        <v>0.00608180132312695</v>
      </c>
      <c r="H23" s="28" t="n">
        <f aca="false">INDEX('Side by Side'!$AN$7:$AN$95,MATCH(C23,'Side by Side'!$I$7:$I$95,0))</f>
        <v>0.0639568592790135</v>
      </c>
      <c r="I23" s="28" t="n">
        <f aca="false">INDEX('Side by Side'!$AU$7:$AU$95,MATCH(C23,'Side by Side'!$I$7:$I$95,0))</f>
        <v>0</v>
      </c>
      <c r="J23" s="28" t="n">
        <f aca="false">INDEX('Side by Side'!$BB$7:$BB$95,MATCH(C23,'Side by Side'!$I$7:$I$95,0))</f>
        <v>0.0133773307229945</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1116908.1</v>
      </c>
      <c r="D24" s="28" t="n">
        <f aca="false">INDEX('Side by Side'!$L$7:$L$95,MATCH(C24,'Side by Side'!$I$7:$I$95,0))</f>
        <v>0.0286326723377025</v>
      </c>
      <c r="E24" s="28" t="n">
        <f aca="false">INDEX('Side by Side'!$S$7:$S$95,MATCH(C24,'Side by Side'!$I$7:$I$95,0))</f>
        <v>0.0282402945835428</v>
      </c>
      <c r="F24" s="28" t="n">
        <f aca="false">INDEX('Side by Side'!$Z$7:$Z$95,MATCH(C24,'Side by Side'!$I$7:$I$95,0))</f>
        <v>0.0361906576230897</v>
      </c>
      <c r="G24" s="28" t="n">
        <f aca="false">INDEX('Side by Side'!$AG$7:$AG$95,MATCH(C24,'Side by Side'!$I$7:$I$95,0))</f>
        <v>0.0251729268407864</v>
      </c>
      <c r="H24" s="28" t="n">
        <f aca="false">INDEX('Side by Side'!$AN$7:$AN$95,MATCH(C24,'Side by Side'!$I$7:$I$95,0))</f>
        <v>0.0279250554624269</v>
      </c>
      <c r="I24" s="28" t="n">
        <f aca="false">INDEX('Side by Side'!$AU$7:$AU$95,MATCH(C24,'Side by Side'!$I$7:$I$95,0))</f>
        <v>0.0421650393446066</v>
      </c>
      <c r="J24" s="28" t="n">
        <f aca="false">INDEX('Side by Side'!$BB$7:$BB$95,MATCH(C24,'Side by Side'!$I$7:$I$95,0))</f>
        <v>0.0319428499501465</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1063192</v>
      </c>
      <c r="D25" s="28" t="n">
        <f aca="false">INDEX('Side by Side'!$L$7:$L$95,MATCH(C25,'Side by Side'!$I$7:$I$95,0))</f>
        <v>0.0272556248522744</v>
      </c>
      <c r="E25" s="28" t="n">
        <f aca="false">INDEX('Side by Side'!$S$7:$S$95,MATCH(C25,'Side by Side'!$I$7:$I$95,0))</f>
        <v>0.0429831360401926</v>
      </c>
      <c r="F25" s="28" t="n">
        <f aca="false">INDEX('Side by Side'!$Z$7:$Z$95,MATCH(C25,'Side by Side'!$I$7:$I$95,0))</f>
        <v>0.0120886065713273</v>
      </c>
      <c r="G25" s="28" t="n">
        <f aca="false">INDEX('Side by Side'!$AG$7:$AG$95,MATCH(C25,'Side by Side'!$I$7:$I$95,0))</f>
        <v>0.0228317916019394</v>
      </c>
      <c r="H25" s="28" t="n">
        <f aca="false">INDEX('Side by Side'!$AN$7:$AN$95,MATCH(C25,'Side by Side'!$I$7:$I$95,0))</f>
        <v>0.0287096043274861</v>
      </c>
      <c r="I25" s="28" t="n">
        <f aca="false">INDEX('Side by Side'!$AU$7:$AU$95,MATCH(C25,'Side by Side'!$I$7:$I$95,0))</f>
        <v>0.0364908898081428</v>
      </c>
      <c r="J25" s="28" t="n">
        <f aca="false">INDEX('Side by Side'!$BB$7:$BB$95,MATCH(C25,'Side by Side'!$I$7:$I$95,0))</f>
        <v>0.0281536699909774</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1045551</v>
      </c>
      <c r="D26" s="28" t="n">
        <f aca="false">INDEX('Side by Side'!$L$7:$L$95,MATCH(C26,'Side by Side'!$I$7:$I$95,0))</f>
        <v>0.0268033862368418</v>
      </c>
      <c r="E26" s="28" t="n">
        <f aca="false">INDEX('Side by Side'!$S$7:$S$95,MATCH(C26,'Side by Side'!$I$7:$I$95,0))</f>
        <v>0.0286892356332045</v>
      </c>
      <c r="F26" s="28" t="n">
        <f aca="false">INDEX('Side by Side'!$Z$7:$Z$95,MATCH(C26,'Side by Side'!$I$7:$I$95,0))</f>
        <v>0.0279297008545087</v>
      </c>
      <c r="G26" s="28" t="n">
        <f aca="false">INDEX('Side by Side'!$AG$7:$AG$95,MATCH(C26,'Side by Side'!$I$7:$I$95,0))</f>
        <v>0.0255762032857844</v>
      </c>
      <c r="H26" s="28" t="n">
        <f aca="false">INDEX('Side by Side'!$AN$7:$AN$95,MATCH(C26,'Side by Side'!$I$7:$I$95,0))</f>
        <v>0.0277045589043454</v>
      </c>
      <c r="I26" s="28" t="n">
        <f aca="false">INDEX('Side by Side'!$AU$7:$AU$95,MATCH(C26,'Side by Side'!$I$7:$I$95,0))</f>
        <v>0.0187353573198171</v>
      </c>
      <c r="J26" s="28" t="n">
        <f aca="false">INDEX('Side by Side'!$BB$7:$BB$95,MATCH(C26,'Side by Side'!$I$7:$I$95,0))</f>
        <v>0.025002923517371</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37654259.08</v>
      </c>
      <c r="I6" s="43" t="n">
        <f aca="false">SUM(I7:I95)</f>
        <v>39008168.250132</v>
      </c>
      <c r="J6" s="43" t="n">
        <f aca="false">I6-H6</f>
        <v>1353909.17013203</v>
      </c>
      <c r="K6" s="44" t="n">
        <f aca="false">IF(H6&gt;0,J6/H6,"")</f>
        <v>0.0359563354375272</v>
      </c>
      <c r="L6" s="44" t="n">
        <f aca="false">SUM(L7:L95)</f>
        <v>1</v>
      </c>
      <c r="M6" s="42" t="n">
        <f aca="false">COUNTIFS(M7:M95,"&gt;0",$B7:$B95,"&lt;&gt;Cash*")</f>
        <v>30</v>
      </c>
      <c r="N6" s="43"/>
      <c r="O6" s="43" t="n">
        <f aca="false">SUM(O7:O95)</f>
        <v>6000656.23</v>
      </c>
      <c r="P6" s="43" t="n">
        <f aca="false">SUM(P7:P95)</f>
        <v>5708099.09659864</v>
      </c>
      <c r="Q6" s="43" t="n">
        <f aca="false">P6-O6</f>
        <v>-292557.133401361</v>
      </c>
      <c r="R6" s="44" t="n">
        <f aca="false">IF(O6&gt;0,Q6/O6,"")</f>
        <v>-0.0487541899065532</v>
      </c>
      <c r="S6" s="44" t="n">
        <f aca="false">SUM(S7:S95)</f>
        <v>1</v>
      </c>
      <c r="T6" s="42" t="n">
        <f aca="false">COUNTIFS(T7:T95,"&gt;0",$B7:$B95,"&lt;&gt;Cash*")</f>
        <v>53</v>
      </c>
      <c r="U6" s="43"/>
      <c r="V6" s="43" t="n">
        <f aca="false">SUM(V7:V95)</f>
        <v>4574421</v>
      </c>
      <c r="W6" s="43" t="n">
        <f aca="false">SUM(W7:W95)</f>
        <v>4059227.15</v>
      </c>
      <c r="X6" s="43" t="n">
        <f aca="false">W6-V6</f>
        <v>-515193.85</v>
      </c>
      <c r="Y6" s="44" t="n">
        <f aca="false">IF(V6&gt;0,X6/V6,"")</f>
        <v>-0.1126249311115</v>
      </c>
      <c r="Z6" s="44" t="n">
        <f aca="false">SUM(Z7:Z95)</f>
        <v>1</v>
      </c>
      <c r="AA6" s="42" t="n">
        <f aca="false">COUNTIFS(AA7:AA95,"&gt;0",$B7:$B95,"&lt;&gt;Cash*")</f>
        <v>47</v>
      </c>
      <c r="AB6" s="43"/>
      <c r="AC6" s="43" t="n">
        <f aca="false">SUM(AC7:AC95)</f>
        <v>9916085.85</v>
      </c>
      <c r="AD6" s="43" t="n">
        <f aca="false">SUM(AD7:AD95)</f>
        <v>11820675.5170748</v>
      </c>
      <c r="AE6" s="43" t="n">
        <f aca="false">AD6-AC6</f>
        <v>1904589.66707483</v>
      </c>
      <c r="AF6" s="44" t="n">
        <f aca="false">IF(AC6&gt;0,AE6/AC6,"")</f>
        <v>0.1920707117592</v>
      </c>
      <c r="AG6" s="44" t="n">
        <f aca="false">SUM(AG7:AG95)</f>
        <v>1</v>
      </c>
      <c r="AH6" s="42" t="n">
        <f aca="false">COUNTIFS(AH7:AH95,"&gt;0",$B7:$B95,"&lt;&gt;Cash*")</f>
        <v>25</v>
      </c>
      <c r="AI6" s="43"/>
      <c r="AJ6" s="43" t="n">
        <f aca="false">SUM(AJ7:AJ95)</f>
        <v>11739506</v>
      </c>
      <c r="AK6" s="43" t="n">
        <f aca="false">SUM(AK7:AK95)</f>
        <v>11821953.2435374</v>
      </c>
      <c r="AL6" s="43" t="n">
        <f aca="false">AK6-AJ6</f>
        <v>82447.2435374148</v>
      </c>
      <c r="AM6" s="44" t="n">
        <f aca="false">IF(AJ6&gt;0,AL6/AJ6,"")</f>
        <v>0.00702305902287667</v>
      </c>
      <c r="AN6" s="44" t="n">
        <f aca="false">SUM(AN7:AN95)</f>
        <v>1</v>
      </c>
      <c r="AO6" s="42" t="n">
        <f aca="false">COUNTIFS(AO7:AO95,"&gt;0",$B7:$B95,"&lt;&gt;Cash*")</f>
        <v>12</v>
      </c>
      <c r="AP6" s="43"/>
      <c r="AQ6" s="43" t="n">
        <f aca="false">SUM(AQ7:AQ95)</f>
        <v>201361</v>
      </c>
      <c r="AR6" s="43" t="n">
        <f aca="false">SUM(AR7:AR95)</f>
        <v>224121.692921147</v>
      </c>
      <c r="AS6" s="43" t="n">
        <f aca="false">AR6-AQ6</f>
        <v>22760.6929211469</v>
      </c>
      <c r="AT6" s="44" t="n">
        <f aca="false">IF(AQ6&gt;0,AS6/AQ6,"")</f>
        <v>0.113034266422728</v>
      </c>
      <c r="AU6" s="44" t="n">
        <f aca="false">SUM(AU7:AU95)</f>
        <v>1</v>
      </c>
      <c r="AV6" s="42" t="n">
        <f aca="false">COUNTIFS(AV7:AV95,"&gt;0",$B7:$B95,"&lt;&gt;Cash*")</f>
        <v>20</v>
      </c>
      <c r="AW6" s="43"/>
      <c r="AX6" s="43" t="n">
        <f aca="false">SUM(AX7:AX95)</f>
        <v>5222229</v>
      </c>
      <c r="AY6" s="43" t="n">
        <f aca="false">SUM(AY7:AY95)</f>
        <v>5374091.55</v>
      </c>
      <c r="AZ6" s="43" t="n">
        <f aca="false">AY6-AX6</f>
        <v>151862.55</v>
      </c>
      <c r="BA6" s="44" t="n">
        <f aca="false">IF(AX6&gt;0,AZ6/AX6,"")</f>
        <v>0.0290800250237973</v>
      </c>
      <c r="BB6" s="44" t="n">
        <f aca="false">SUM(BB7:BB95)</f>
        <v>1</v>
      </c>
    </row>
    <row r="7" customFormat="false" ht="15" hidden="false" customHeight="false" outlineLevel="0" collapsed="false">
      <c r="A7" s="5" t="n">
        <v>1</v>
      </c>
      <c r="B7" s="45" t="s">
        <v>79</v>
      </c>
      <c r="C7" s="7" t="n">
        <f aca="false">IFERROR(INDEX(Prices!$C$6:$C$300,MATCH($B7,Prices!$A$6:$A$300,0)),"")</f>
        <v>925.8</v>
      </c>
      <c r="D7" s="46" t="str">
        <f aca="false">IFERROR(INDEX(Prices!$D$6:$D$300,MATCH($B7,Prices!$A$6:$A$300,0)),"")</f>
        <v>Close 29.10.2026 live (~11:20 IST) (Screener.in)</v>
      </c>
      <c r="E7" s="6" t="n">
        <f aca="false">(M7&gt;0)+(T7&gt;0)+(AA7&gt;0)+(AH7&gt;0)+(AO7&gt;0)+(AV7&gt;0)</f>
        <v>6</v>
      </c>
      <c r="F7" s="47" t="n">
        <f aca="false">M7+T7+AA7+AH7+AO7+AV7</f>
        <v>14623</v>
      </c>
      <c r="G7" s="48" t="n">
        <f aca="false">IF(AND(F7&gt;0,H7&gt;0),H7/F7,"")</f>
        <v>879.798789578062</v>
      </c>
      <c r="H7" s="48" t="n">
        <f aca="false">O7+V7+AC7+AJ7+AQ7+AX7</f>
        <v>12865297.7</v>
      </c>
      <c r="I7" s="49" t="n">
        <f aca="false">P7+W7+AD7+AK7+AR7+AY7</f>
        <v>13537973.4</v>
      </c>
      <c r="J7" s="48" t="n">
        <f aca="false">I7-H7</f>
        <v>672675.700000001</v>
      </c>
      <c r="K7" s="50" t="n">
        <f aca="false">IF(H7&gt;0,J7/H7,"")</f>
        <v>0.0522860578655713</v>
      </c>
      <c r="L7" s="51" t="n">
        <f aca="false">IF(I$6=0,"",I7/I$6)</f>
        <v>0.347054835110187</v>
      </c>
      <c r="M7" s="52" t="n">
        <f aca="false">SUMIFS(Gautam!$D$7:$D$300,Gautam!$B$7:$B$300,$B7)</f>
        <v>2296</v>
      </c>
      <c r="N7" s="8" t="n">
        <f aca="false">IF(AND(M7&gt;0,O7&gt;0),O7/M7,"")</f>
        <v>989.326088850174</v>
      </c>
      <c r="O7" s="8" t="n">
        <f aca="false">SUMIFS(Gautam!$E$7:$E$300,Gautam!$B$7:$B$300,$B7)</f>
        <v>2271492.7</v>
      </c>
      <c r="P7" s="8" t="n">
        <f aca="false">SUMIFS(Gautam!$H$7:$H$300,Gautam!$B$7:$B$300,$B7)</f>
        <v>2125636.8</v>
      </c>
      <c r="Q7" s="8" t="n">
        <f aca="false">P7-O7</f>
        <v>-145855.9</v>
      </c>
      <c r="R7" s="9" t="n">
        <f aca="false">IF(O7&gt;0,Q7/O7,"")</f>
        <v>-0.0642114764445426</v>
      </c>
      <c r="S7" s="9" t="n">
        <f aca="false">IF(P$6=0,"",P7/P$6)</f>
        <v>0.372389610626527</v>
      </c>
      <c r="T7" s="52" t="n">
        <f aca="false">SUMIFS(DA!$D$7:$D$300,DA!$B$7:$B$300,$B7)</f>
        <v>919</v>
      </c>
      <c r="U7" s="8" t="n">
        <f aca="false">IF(AND(T7&gt;0,V7&gt;0),V7/T7,"")</f>
        <v>1056.30467899891</v>
      </c>
      <c r="V7" s="8" t="n">
        <f aca="false">SUMIFS(DA!$E$7:$E$300,DA!$B$7:$B$300,$B7)</f>
        <v>970744</v>
      </c>
      <c r="W7" s="8" t="n">
        <f aca="false">SUMIFS(DA!$H$7:$H$300,DA!$B$7:$B$300,$B7)</f>
        <v>850810.2</v>
      </c>
      <c r="X7" s="8" t="n">
        <f aca="false">W7-V7</f>
        <v>-119933.8</v>
      </c>
      <c r="Y7" s="9" t="n">
        <f aca="false">IF(V7&gt;0,X7/V7,"")</f>
        <v>-0.123548329940747</v>
      </c>
      <c r="Z7" s="9" t="n">
        <f aca="false">IF(W$6=0,"",W7/W$6)</f>
        <v>0.20959906124002</v>
      </c>
      <c r="AA7" s="52" t="n">
        <f aca="false">SUMIFS('Manish Shilpa'!$D$7:$D$300,'Manish Shilpa'!$B$7:$B$300,$B7)</f>
        <v>3935</v>
      </c>
      <c r="AB7" s="8" t="n">
        <f aca="false">IF(AND(AA7&gt;0,AC7&gt;0),AC7/AA7,"")</f>
        <v>749.394917407878</v>
      </c>
      <c r="AC7" s="8" t="n">
        <f aca="false">SUMIFS('Manish Shilpa'!$E$7:$E$300,'Manish Shilpa'!$B$7:$B$300,$B7)</f>
        <v>2948869</v>
      </c>
      <c r="AD7" s="8" t="n">
        <f aca="false">SUMIFS('Manish Shilpa'!$H$7:$H$300,'Manish Shilpa'!$B$7:$B$300,$B7)</f>
        <v>3643023</v>
      </c>
      <c r="AE7" s="8" t="n">
        <f aca="false">AD7-AC7</f>
        <v>694154</v>
      </c>
      <c r="AF7" s="9" t="n">
        <f aca="false">IF(AC7&gt;0,AE7/AC7,"")</f>
        <v>0.235396689374808</v>
      </c>
      <c r="AG7" s="9" t="n">
        <f aca="false">IF(AD$6=0,"",AD7/AD$6)</f>
        <v>0.308190762426199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4573452</v>
      </c>
      <c r="AL7" s="8" t="n">
        <f aca="false">AK7-AJ7</f>
        <v>-77526</v>
      </c>
      <c r="AM7" s="9" t="n">
        <f aca="false">IF(AJ7&gt;0,AL7/AJ7,"")</f>
        <v>-0.0166687522495269</v>
      </c>
      <c r="AN7" s="9" t="n">
        <f aca="false">IF(AK$6=0,"",AK7/AK$6)</f>
        <v>0.386860944700498</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112021.8</v>
      </c>
      <c r="AS7" s="8" t="n">
        <f aca="false">AR7-AQ7</f>
        <v>19093.8</v>
      </c>
      <c r="AT7" s="9" t="n">
        <f aca="false">IF(AQ7&gt;0,AS7/AQ7,"")</f>
        <v>0.20546875</v>
      </c>
      <c r="AU7" s="9" t="n">
        <f aca="false">IF(AR$6=0,"",AR7/AR$6)</f>
        <v>0.499825780092661</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2233029.6</v>
      </c>
      <c r="AZ7" s="8" t="n">
        <f aca="false">AY7-AX7</f>
        <v>302743.6</v>
      </c>
      <c r="BA7" s="9" t="n">
        <f aca="false">IF(AX7&gt;0,AZ7/AX7,"")</f>
        <v>0.156838727525351</v>
      </c>
      <c r="BB7" s="9" t="n">
        <f aca="false">IF(AY$6=0,"",AY7/AY$6)</f>
        <v>0.415517595713456</v>
      </c>
    </row>
    <row r="8" customFormat="false" ht="15" hidden="false" customHeight="false" outlineLevel="0" collapsed="false">
      <c r="A8" s="5" t="n">
        <v>2</v>
      </c>
      <c r="B8" s="45" t="s">
        <v>80</v>
      </c>
      <c r="C8" s="7" t="n">
        <f aca="false">IFERROR(INDEX(Prices!$C$6:$C$300,MATCH($B8,Prices!$A$6:$A$300,0)),"")</f>
        <v>4402.7</v>
      </c>
      <c r="D8" s="46" t="str">
        <f aca="false">IFERROR(INDEX(Prices!$D$6:$D$300,MATCH($B8,Prices!$A$6:$A$300,0)),"")</f>
        <v>Close 29.10.2026 live (~11:20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3134722.4</v>
      </c>
      <c r="J8" s="48" t="n">
        <f aca="false">I8-H8</f>
        <v>324805.4</v>
      </c>
      <c r="K8" s="50" t="n">
        <f aca="false">IF(H8&gt;0,J8/H8,"")</f>
        <v>0.115592524619055</v>
      </c>
      <c r="L8" s="51" t="n">
        <f aca="false">IF(I$6=0,"",I8/I$6)</f>
        <v>0.0803606665121834</v>
      </c>
      <c r="M8" s="52" t="n">
        <f aca="false">SUMIFS(Gautam!$D$7:$D$300,Gautam!$B$7:$B$300,$B8)</f>
        <v>57</v>
      </c>
      <c r="N8" s="8" t="n">
        <f aca="false">IF(AND(M8&gt;0,O8&gt;0),O8/M8,"")</f>
        <v>4683.73684210526</v>
      </c>
      <c r="O8" s="8" t="n">
        <f aca="false">SUMIFS(Gautam!$E$7:$E$300,Gautam!$B$7:$B$300,$B8)</f>
        <v>266973</v>
      </c>
      <c r="P8" s="8" t="n">
        <f aca="false">SUMIFS(Gautam!$H$7:$H$300,Gautam!$B$7:$B$300,$B8)</f>
        <v>250953.9</v>
      </c>
      <c r="Q8" s="8" t="n">
        <f aca="false">P8-O8</f>
        <v>-16019.1</v>
      </c>
      <c r="R8" s="9" t="n">
        <f aca="false">IF(O8&gt;0,Q8/O8,"")</f>
        <v>-0.0600026969019339</v>
      </c>
      <c r="S8" s="9" t="n">
        <f aca="false">IF(P$6=0,"",P8/P$6)</f>
        <v>0.0439645310554505</v>
      </c>
      <c r="T8" s="52" t="n">
        <f aca="false">SUMIFS(DA!$D$7:$D$300,DA!$B$7:$B$300,$B8)</f>
        <v>59</v>
      </c>
      <c r="U8" s="8" t="n">
        <f aca="false">IF(AND(T8&gt;0,V8&gt;0),V8/T8,"")</f>
        <v>4416.25423728814</v>
      </c>
      <c r="V8" s="8" t="n">
        <f aca="false">SUMIFS(DA!$E$7:$E$300,DA!$B$7:$B$300,$B8)</f>
        <v>260559</v>
      </c>
      <c r="W8" s="8" t="n">
        <f aca="false">SUMIFS(DA!$H$7:$H$300,DA!$B$7:$B$300,$B8)</f>
        <v>259759.3</v>
      </c>
      <c r="X8" s="8" t="n">
        <f aca="false">W8-V8</f>
        <v>-799.700000000012</v>
      </c>
      <c r="Y8" s="9" t="n">
        <f aca="false">IF(V8&gt;0,X8/V8,"")</f>
        <v>-0.00306917051416382</v>
      </c>
      <c r="Z8" s="9" t="n">
        <f aca="false">IF(W$6=0,"",W8/W$6)</f>
        <v>0.0639923045449674</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726445.5</v>
      </c>
      <c r="AE8" s="8" t="n">
        <f aca="false">AD8-AC8</f>
        <v>161915.5</v>
      </c>
      <c r="AF8" s="9" t="n">
        <f aca="false">IF(AC8&gt;0,AE8/AC8,"")</f>
        <v>0.286814695410341</v>
      </c>
      <c r="AG8" s="9" t="n">
        <f aca="false">IF(AD$6=0,"",AD8/AD$6)</f>
        <v>0.0614554979493903</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1100675</v>
      </c>
      <c r="AL8" s="8" t="n">
        <f aca="false">AK8-AJ8</f>
        <v>28728</v>
      </c>
      <c r="AM8" s="9" t="n">
        <f aca="false">IF(AJ8&gt;0,AL8/AJ8,"")</f>
        <v>0.0267998324544031</v>
      </c>
      <c r="AN8" s="9" t="n">
        <f aca="false">IF(AK$6=0,"",AK8/AK$6)</f>
        <v>0.093104326952206</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39624.3</v>
      </c>
      <c r="AS8" s="8" t="n">
        <f aca="false">AR8-AQ8</f>
        <v>11183.3</v>
      </c>
      <c r="AT8" s="9" t="n">
        <f aca="false">IF(AQ8&gt;0,AS8/AQ8,"")</f>
        <v>0.393210505959706</v>
      </c>
      <c r="AU8" s="9" t="n">
        <f aca="false">IF(AR$6=0,"",AR8/AR$6)</f>
        <v>0.17679814695109</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757264.4</v>
      </c>
      <c r="AZ8" s="8" t="n">
        <f aca="false">AY8-AX8</f>
        <v>139797.4</v>
      </c>
      <c r="BA8" s="9" t="n">
        <f aca="false">IF(AX8&gt;0,AZ8/AX8,"")</f>
        <v>0.226404649965099</v>
      </c>
      <c r="BB8" s="9" t="n">
        <f aca="false">IF(AY$6=0,"",AY8/AY$6)</f>
        <v>0.140910215792658</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23.10 + trades 29.10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0.0734448660739523</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0.242345963719415</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0.00114532831606473</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433.25</v>
      </c>
      <c r="D10" s="46" t="str">
        <f aca="false">IFERROR(INDEX(Prices!$D$6:$D$300,MATCH($B10,Prices!$A$6:$A$300,0)),"")</f>
        <v>Close 29.10.2026 live (~11:20 IST) (Screener.in)</v>
      </c>
      <c r="E10" s="6" t="n">
        <f aca="false">(M10&gt;0)+(T10&gt;0)+(AA10&gt;0)+(AH10&gt;0)+(AO10&gt;0)+(AV10&gt;0)</f>
        <v>6</v>
      </c>
      <c r="F10" s="47" t="n">
        <f aca="false">M10+T10+AA10+AH10+AO10+AV10</f>
        <v>6295</v>
      </c>
      <c r="G10" s="48" t="n">
        <f aca="false">IF(AND(F10&gt;0,H10&gt;0),H10/F10,"")</f>
        <v>447.626838760921</v>
      </c>
      <c r="H10" s="48" t="n">
        <f aca="false">O10+V10+AC10+AJ10+AQ10+AX10</f>
        <v>2817810.95</v>
      </c>
      <c r="I10" s="49" t="n">
        <f aca="false">P10+W10+AD10+AK10+AR10+AY10</f>
        <v>2727308.75</v>
      </c>
      <c r="J10" s="48" t="n">
        <f aca="false">I10-H10</f>
        <v>-90502.2000000002</v>
      </c>
      <c r="K10" s="50" t="n">
        <f aca="false">IF(H10&gt;0,J10/H10,"")</f>
        <v>-0.0321179105361913</v>
      </c>
      <c r="L10" s="51" t="n">
        <f aca="false">IF(I$6=0,"",I10/I$6)</f>
        <v>0.0699163501477865</v>
      </c>
      <c r="M10" s="52" t="n">
        <f aca="false">SUMIFS(Gautam!$D$7:$D$300,Gautam!$B$7:$B$300,$B10)</f>
        <v>1357</v>
      </c>
      <c r="N10" s="8" t="n">
        <f aca="false">IF(AND(M10&gt;0,O10&gt;0),O10/M10,"")</f>
        <v>455.055379513633</v>
      </c>
      <c r="O10" s="8" t="n">
        <f aca="false">SUMIFS(Gautam!$E$7:$E$300,Gautam!$B$7:$B$300,$B10)</f>
        <v>617510.15</v>
      </c>
      <c r="P10" s="8" t="n">
        <f aca="false">SUMIFS(Gautam!$H$7:$H$300,Gautam!$B$7:$B$300,$B10)</f>
        <v>587920.25</v>
      </c>
      <c r="Q10" s="8" t="n">
        <f aca="false">P10-O10</f>
        <v>-29589.9</v>
      </c>
      <c r="R10" s="9" t="n">
        <f aca="false">IF(O10&gt;0,Q10/O10,"")</f>
        <v>-0.0479180787554666</v>
      </c>
      <c r="S10" s="9" t="n">
        <f aca="false">IF(P$6=0,"",P10/P$6)</f>
        <v>0.102997554886588</v>
      </c>
      <c r="T10" s="52" t="n">
        <f aca="false">SUMIFS(DA!$D$7:$D$300,DA!$B$7:$B$300,$B10)</f>
        <v>798</v>
      </c>
      <c r="U10" s="8" t="n">
        <f aca="false">IF(AND(T10&gt;0,V10&gt;0),V10/T10,"")</f>
        <v>476.838345864662</v>
      </c>
      <c r="V10" s="8" t="n">
        <f aca="false">SUMIFS(DA!$E$7:$E$300,DA!$B$7:$B$300,$B10)</f>
        <v>380517</v>
      </c>
      <c r="W10" s="8" t="n">
        <f aca="false">SUMIFS(DA!$H$7:$H$300,DA!$B$7:$B$300,$B10)</f>
        <v>345733.5</v>
      </c>
      <c r="X10" s="8" t="n">
        <f aca="false">W10-V10</f>
        <v>-34783.5</v>
      </c>
      <c r="Y10" s="9" t="n">
        <f aca="false">IF(V10&gt;0,X10/V10,"")</f>
        <v>-0.0914111590283746</v>
      </c>
      <c r="Z10" s="9" t="n">
        <f aca="false">IF(W$6=0,"",W10/W$6)</f>
        <v>0.0851722476284679</v>
      </c>
      <c r="AA10" s="52" t="n">
        <f aca="false">SUMIFS('Manish Shilpa'!$D$7:$D$300,'Manish Shilpa'!$B$7:$B$300,$B10)</f>
        <v>1415</v>
      </c>
      <c r="AB10" s="8" t="n">
        <f aca="false">IF(AND(AA10&gt;0,AC10&gt;0),AC10/AA10,"")</f>
        <v>445.916466431095</v>
      </c>
      <c r="AC10" s="8" t="n">
        <f aca="false">SUMIFS('Manish Shilpa'!$E$7:$E$300,'Manish Shilpa'!$B$7:$B$300,$B10)</f>
        <v>630971.8</v>
      </c>
      <c r="AD10" s="8" t="n">
        <f aca="false">SUMIFS('Manish Shilpa'!$H$7:$H$300,'Manish Shilpa'!$B$7:$B$300,$B10)</f>
        <v>613048.75</v>
      </c>
      <c r="AE10" s="8" t="n">
        <f aca="false">AD10-AC10</f>
        <v>-17923.05</v>
      </c>
      <c r="AF10" s="9" t="n">
        <f aca="false">IF(AC10&gt;0,AE10/AC10,"")</f>
        <v>-0.0284054691509193</v>
      </c>
      <c r="AG10" s="9" t="n">
        <f aca="false">IF(AD$6=0,"",AD10/AD$6)</f>
        <v>0.0518624125257865</v>
      </c>
      <c r="AH10" s="52" t="n">
        <f aca="false">SUMIFS('Saloni Mehra'!$D$7:$D$300,'Saloni Mehra'!$B$7:$B$300,$B10)</f>
        <v>1918</v>
      </c>
      <c r="AI10" s="8" t="n">
        <f aca="false">IF(AND(AH10&gt;0,AJ10&gt;0),AJ10/AH10,"")</f>
        <v>429.942648592284</v>
      </c>
      <c r="AJ10" s="8" t="n">
        <f aca="false">SUMIFS('Saloni Mehra'!$E$7:$E$300,'Saloni Mehra'!$B$7:$B$300,$B10)</f>
        <v>824630</v>
      </c>
      <c r="AK10" s="8" t="n">
        <f aca="false">SUMIFS('Saloni Mehra'!$H$7:$H$300,'Saloni Mehra'!$B$7:$B$300,$B10)</f>
        <v>830973.5</v>
      </c>
      <c r="AL10" s="8" t="n">
        <f aca="false">AK10-AJ10</f>
        <v>6343.5</v>
      </c>
      <c r="AM10" s="9" t="n">
        <f aca="false">IF(AJ10&gt;0,AL10/AJ10,"")</f>
        <v>0.00769254089712962</v>
      </c>
      <c r="AN10" s="9" t="n">
        <f aca="false">IF(AK$6=0,"",AK10/AK$6)</f>
        <v>0.0702907110933009</v>
      </c>
      <c r="AO10" s="52" t="n">
        <f aca="false">SUMIFS('Vidushi Malhotra'!$D$7:$D$300,'Vidushi Malhotra'!$B$7:$B$300,$B10)</f>
        <v>38</v>
      </c>
      <c r="AP10" s="8" t="n">
        <f aca="false">IF(AND(AO10&gt;0,AQ10&gt;0),AQ10/AO10,"")</f>
        <v>452.421052631579</v>
      </c>
      <c r="AQ10" s="8" t="n">
        <f aca="false">SUMIFS('Vidushi Malhotra'!$E$7:$E$300,'Vidushi Malhotra'!$B$7:$B$300,$B10)</f>
        <v>17192</v>
      </c>
      <c r="AR10" s="8" t="n">
        <f aca="false">SUMIFS('Vidushi Malhotra'!$H$7:$H$300,'Vidushi Malhotra'!$B$7:$B$300,$B10)</f>
        <v>16463.5</v>
      </c>
      <c r="AS10" s="8" t="n">
        <f aca="false">AR10-AQ10</f>
        <v>-728.5</v>
      </c>
      <c r="AT10" s="9" t="n">
        <f aca="false">IF(AQ10&gt;0,AS10/AQ10,"")</f>
        <v>-0.0423743601675198</v>
      </c>
      <c r="AU10" s="9" t="n">
        <f aca="false">IF(AR$6=0,"",AR10/AR$6)</f>
        <v>0.0734578602607307</v>
      </c>
      <c r="AV10" s="52" t="n">
        <f aca="false">SUMIFS('Dr Umesh Choudhry'!$D$7:$D$300,'Dr Umesh Choudhry'!$B$7:$B$300,$B10)</f>
        <v>769</v>
      </c>
      <c r="AW10" s="8" t="n">
        <f aca="false">IF(AND(AV10&gt;0,AX10&gt;0),AX10/AV10,"")</f>
        <v>451.222366710013</v>
      </c>
      <c r="AX10" s="8" t="n">
        <f aca="false">SUMIFS('Dr Umesh Choudhry'!$E$7:$E$300,'Dr Umesh Choudhry'!$B$7:$B$300,$B10)</f>
        <v>346990</v>
      </c>
      <c r="AY10" s="8" t="n">
        <f aca="false">SUMIFS('Dr Umesh Choudhry'!$H$7:$H$300,'Dr Umesh Choudhry'!$B$7:$B$300,$B10)</f>
        <v>333169.25</v>
      </c>
      <c r="AZ10" s="8" t="n">
        <f aca="false">AY10-AX10</f>
        <v>-13820.75</v>
      </c>
      <c r="BA10" s="9" t="n">
        <f aca="false">IF(AX10&gt;0,AZ10/AX10,"")</f>
        <v>-0.039830398570564</v>
      </c>
      <c r="BB10" s="9" t="n">
        <f aca="false">IF(AY$6=0,"",AY10/AY$6)</f>
        <v>0.0619954548411071</v>
      </c>
    </row>
    <row r="11" customFormat="false" ht="15" hidden="false" customHeight="false" outlineLevel="0" collapsed="false">
      <c r="A11" s="5" t="n">
        <v>5</v>
      </c>
      <c r="B11" s="45" t="s">
        <v>83</v>
      </c>
      <c r="C11" s="7" t="n">
        <f aca="false">IFERROR(INDEX(Prices!$C$6:$C$300,MATCH($B11,Prices!$A$6:$A$300,0)),"")</f>
        <v>684.6</v>
      </c>
      <c r="D11" s="46" t="str">
        <f aca="false">IFERROR(INDEX(Prices!$D$6:$D$300,MATCH($B11,Prices!$A$6:$A$300,0)),"")</f>
        <v>Close 29.10.2026 live (~11:20 IST) (Screener.in)</v>
      </c>
      <c r="E11" s="6" t="n">
        <f aca="false">(M11&gt;0)+(T11&gt;0)+(AA11&gt;0)+(AH11&gt;0)+(AO11&gt;0)+(AV11&gt;0)</f>
        <v>6</v>
      </c>
      <c r="F11" s="47" t="n">
        <f aca="false">M11+T11+AA11+AH11+AO11+AV11</f>
        <v>3774</v>
      </c>
      <c r="G11" s="48" t="n">
        <f aca="false">IF(AND(F11&gt;0,H11&gt;0),H11/F11,"")</f>
        <v>788.399085850556</v>
      </c>
      <c r="H11" s="48" t="n">
        <f aca="false">O11+V11+AC11+AJ11+AQ11+AX11</f>
        <v>2975418.15</v>
      </c>
      <c r="I11" s="49" t="n">
        <f aca="false">P11+W11+AD11+AK11+AR11+AY11</f>
        <v>2583680.4</v>
      </c>
      <c r="J11" s="48" t="n">
        <f aca="false">I11-H11</f>
        <v>-391737.75</v>
      </c>
      <c r="K11" s="50" t="n">
        <f aca="false">IF(H11&gt;0,J11/H11,"")</f>
        <v>-0.131658049474492</v>
      </c>
      <c r="L11" s="51" t="n">
        <f aca="false">IF(I$6=0,"",I11/I$6)</f>
        <v>0.0662343431107216</v>
      </c>
      <c r="M11" s="52" t="n">
        <f aca="false">SUMIFS(Gautam!$D$7:$D$300,Gautam!$B$7:$B$300,$B11)</f>
        <v>534</v>
      </c>
      <c r="N11" s="8" t="n">
        <f aca="false">IF(AND(M11&gt;0,O11&gt;0),O11/M11,"")</f>
        <v>710.111142322097</v>
      </c>
      <c r="O11" s="8" t="n">
        <f aca="false">SUMIFS(Gautam!$E$7:$E$300,Gautam!$B$7:$B$300,$B11)</f>
        <v>379199.35</v>
      </c>
      <c r="P11" s="8" t="n">
        <f aca="false">SUMIFS(Gautam!$H$7:$H$300,Gautam!$B$7:$B$300,$B11)</f>
        <v>365576.4</v>
      </c>
      <c r="Q11" s="8" t="n">
        <f aca="false">P11-O11</f>
        <v>-13622.95</v>
      </c>
      <c r="R11" s="9" t="n">
        <f aca="false">IF(O11&gt;0,Q11/O11,"")</f>
        <v>-0.0359255626361173</v>
      </c>
      <c r="S11" s="9" t="n">
        <f aca="false">IF(P$6=0,"",P11/P$6)</f>
        <v>0.0640452090640544</v>
      </c>
      <c r="T11" s="52" t="n">
        <f aca="false">SUMIFS(DA!$D$7:$D$300,DA!$B$7:$B$300,$B11)</f>
        <v>379</v>
      </c>
      <c r="U11" s="8" t="n">
        <f aca="false">IF(AND(T11&gt;0,V11&gt;0),V11/T11,"")</f>
        <v>742.77308707124</v>
      </c>
      <c r="V11" s="8" t="n">
        <f aca="false">SUMIFS(DA!$E$7:$E$300,DA!$B$7:$B$300,$B11)</f>
        <v>281511</v>
      </c>
      <c r="W11" s="8" t="n">
        <f aca="false">SUMIFS(DA!$H$7:$H$300,DA!$B$7:$B$300,$B11)</f>
        <v>259463.4</v>
      </c>
      <c r="X11" s="8" t="n">
        <f aca="false">W11-V11</f>
        <v>-22047.6</v>
      </c>
      <c r="Y11" s="9" t="n">
        <f aca="false">IF(V11&gt;0,X11/V11,"")</f>
        <v>-0.0783187868324861</v>
      </c>
      <c r="Z11" s="9" t="n">
        <f aca="false">IF(W$6=0,"",W11/W$6)</f>
        <v>0.0639194088953608</v>
      </c>
      <c r="AA11" s="52" t="n">
        <f aca="false">SUMIFS('Manish Shilpa'!$D$7:$D$300,'Manish Shilpa'!$B$7:$B$300,$B11)</f>
        <v>1027</v>
      </c>
      <c r="AB11" s="8" t="n">
        <f aca="false">IF(AND(AA11&gt;0,AC11&gt;0),AC11/AA11,"")</f>
        <v>800.589873417722</v>
      </c>
      <c r="AC11" s="8" t="n">
        <f aca="false">SUMIFS('Manish Shilpa'!$E$7:$E$300,'Manish Shilpa'!$B$7:$B$300,$B11)</f>
        <v>822205.8</v>
      </c>
      <c r="AD11" s="8" t="n">
        <f aca="false">SUMIFS('Manish Shilpa'!$H$7:$H$300,'Manish Shilpa'!$B$7:$B$300,$B11)</f>
        <v>703084.2</v>
      </c>
      <c r="AE11" s="8" t="n">
        <f aca="false">AD11-AC11</f>
        <v>-119121.6</v>
      </c>
      <c r="AF11" s="9" t="n">
        <f aca="false">IF(AC11&gt;0,AE11/AC11,"")</f>
        <v>-0.144880515316238</v>
      </c>
      <c r="AG11" s="9" t="n">
        <f aca="false">IF(AD$6=0,"",AD11/AD$6)</f>
        <v>0.0594791895762982</v>
      </c>
      <c r="AH11" s="52" t="n">
        <f aca="false">SUMIFS('Saloni Mehra'!$D$7:$D$300,'Saloni Mehra'!$B$7:$B$300,$B11)</f>
        <v>1140</v>
      </c>
      <c r="AI11" s="8" t="n">
        <f aca="false">IF(AND(AH11&gt;0,AJ11&gt;0),AJ11/AH11,"")</f>
        <v>768.850877192983</v>
      </c>
      <c r="AJ11" s="8" t="n">
        <f aca="false">SUMIFS('Saloni Mehra'!$E$7:$E$300,'Saloni Mehra'!$B$7:$B$300,$B11)</f>
        <v>876490</v>
      </c>
      <c r="AK11" s="8" t="n">
        <f aca="false">SUMIFS('Saloni Mehra'!$H$7:$H$300,'Saloni Mehra'!$B$7:$B$300,$B11)</f>
        <v>780444</v>
      </c>
      <c r="AL11" s="8" t="n">
        <f aca="false">AK11-AJ11</f>
        <v>-96046</v>
      </c>
      <c r="AM11" s="9" t="n">
        <f aca="false">IF(AJ11&gt;0,AL11/AJ11,"")</f>
        <v>-0.109580257618455</v>
      </c>
      <c r="AN11" s="9" t="n">
        <f aca="false">IF(AK$6=0,"",AK11/AK$6)</f>
        <v>0.0660165020045767</v>
      </c>
      <c r="AO11" s="52" t="n">
        <f aca="false">SUMIFS('Vidushi Malhotra'!$D$7:$D$300,'Vidushi Malhotra'!$B$7:$B$300,$B11)</f>
        <v>21</v>
      </c>
      <c r="AP11" s="8" t="n">
        <f aca="false">IF(AND(AO11&gt;0,AQ11&gt;0),AQ11/AO11,"")</f>
        <v>790.380952380952</v>
      </c>
      <c r="AQ11" s="8" t="n">
        <f aca="false">SUMIFS('Vidushi Malhotra'!$E$7:$E$300,'Vidushi Malhotra'!$B$7:$B$300,$B11)</f>
        <v>16598</v>
      </c>
      <c r="AR11" s="8" t="n">
        <f aca="false">SUMIFS('Vidushi Malhotra'!$H$7:$H$300,'Vidushi Malhotra'!$B$7:$B$300,$B11)</f>
        <v>14376.6</v>
      </c>
      <c r="AS11" s="8" t="n">
        <f aca="false">AR11-AQ11</f>
        <v>-2221.4</v>
      </c>
      <c r="AT11" s="9" t="n">
        <f aca="false">IF(AQ11&gt;0,AS11/AQ11,"")</f>
        <v>-0.133835401855645</v>
      </c>
      <c r="AU11" s="9" t="n">
        <f aca="false">IF(AR$6=0,"",AR11/AR$6)</f>
        <v>0.0641464010583667</v>
      </c>
      <c r="AV11" s="52" t="n">
        <f aca="false">SUMIFS('Dr Umesh Choudhry'!$D$7:$D$300,'Dr Umesh Choudhry'!$B$7:$B$300,$B11)</f>
        <v>673</v>
      </c>
      <c r="AW11" s="8" t="n">
        <f aca="false">IF(AND(AV11&gt;0,AX11&gt;0),AX11/AV11,"")</f>
        <v>890.659732540862</v>
      </c>
      <c r="AX11" s="8" t="n">
        <f aca="false">SUMIFS('Dr Umesh Choudhry'!$E$7:$E$300,'Dr Umesh Choudhry'!$B$7:$B$300,$B11)</f>
        <v>599414</v>
      </c>
      <c r="AY11" s="8" t="n">
        <f aca="false">SUMIFS('Dr Umesh Choudhry'!$H$7:$H$300,'Dr Umesh Choudhry'!$B$7:$B$300,$B11)</f>
        <v>460735.8</v>
      </c>
      <c r="AZ11" s="8" t="n">
        <f aca="false">AY11-AX11</f>
        <v>-138678.2</v>
      </c>
      <c r="BA11" s="9" t="n">
        <f aca="false">IF(AX11&gt;0,AZ11/AX11,"")</f>
        <v>-0.231356291311181</v>
      </c>
      <c r="BB11" s="9" t="n">
        <f aca="false">IF(AY$6=0,"",AY11/AY$6)</f>
        <v>0.0857327784079153</v>
      </c>
    </row>
    <row r="12" customFormat="false" ht="15" hidden="false" customHeight="false" outlineLevel="0" collapsed="false">
      <c r="A12" s="5" t="n">
        <v>6</v>
      </c>
      <c r="B12" s="45" t="s">
        <v>84</v>
      </c>
      <c r="C12" s="7" t="n">
        <f aca="false">IFERROR(INDEX(Prices!$C$6:$C$300,MATCH($B12,Prices!$A$6:$A$300,0)),"")</f>
        <v>1329</v>
      </c>
      <c r="D12" s="46" t="str">
        <f aca="false">IFERROR(INDEX(Prices!$D$6:$D$300,MATCH($B12,Prices!$A$6:$A$300,0)),"")</f>
        <v>Close 29.10.2026 live (~11:20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1594800</v>
      </c>
      <c r="J12" s="48" t="n">
        <f aca="false">I12-H12</f>
        <v>298633</v>
      </c>
      <c r="K12" s="50" t="n">
        <f aca="false">IF(H12&gt;0,J12/H12,"")</f>
        <v>0.230397009027386</v>
      </c>
      <c r="L12" s="51" t="n">
        <f aca="false">IF(I$6=0,"",I12/I$6)</f>
        <v>0.040883744906289</v>
      </c>
      <c r="M12" s="52" t="n">
        <f aca="false">SUMIFS(Gautam!$D$7:$D$300,Gautam!$B$7:$B$300,$B12)</f>
        <v>120</v>
      </c>
      <c r="N12" s="8" t="n">
        <f aca="false">IF(AND(M12&gt;0,O12&gt;0),O12/M12,"")</f>
        <v>1666</v>
      </c>
      <c r="O12" s="8" t="n">
        <f aca="false">SUMIFS(Gautam!$E$7:$E$300,Gautam!$B$7:$B$300,$B12)</f>
        <v>199920</v>
      </c>
      <c r="P12" s="8" t="n">
        <f aca="false">SUMIFS(Gautam!$H$7:$H$300,Gautam!$B$7:$B$300,$B12)</f>
        <v>159480</v>
      </c>
      <c r="Q12" s="8" t="n">
        <f aca="false">P12-O12</f>
        <v>-40440</v>
      </c>
      <c r="R12" s="9" t="n">
        <f aca="false">IF(O12&gt;0,Q12/O12,"")</f>
        <v>-0.202280912364946</v>
      </c>
      <c r="S12" s="9" t="n">
        <f aca="false">IF(P$6=0,"",P12/P$6)</f>
        <v>0.0279392486537298</v>
      </c>
      <c r="T12" s="52" t="n">
        <f aca="false">SUMIFS(DA!$D$7:$D$300,DA!$B$7:$B$300,$B12)</f>
        <v>120</v>
      </c>
      <c r="U12" s="8" t="n">
        <f aca="false">IF(AND(T12&gt;0,V12&gt;0),V12/T12,"")</f>
        <v>1410.53333333333</v>
      </c>
      <c r="V12" s="8" t="n">
        <f aca="false">SUMIFS(DA!$E$7:$E$300,DA!$B$7:$B$300,$B12)</f>
        <v>169264</v>
      </c>
      <c r="W12" s="8" t="n">
        <f aca="false">SUMIFS(DA!$H$7:$H$300,DA!$B$7:$B$300,$B12)</f>
        <v>159480</v>
      </c>
      <c r="X12" s="8" t="n">
        <f aca="false">W12-V12</f>
        <v>-9784</v>
      </c>
      <c r="Y12" s="9" t="n">
        <f aca="false">IF(V12&gt;0,X12/V12,"")</f>
        <v>-0.0578031950089801</v>
      </c>
      <c r="Z12" s="9" t="n">
        <f aca="false">IF(W$6=0,"",W12/W$6)</f>
        <v>0.0392882669795899</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478440</v>
      </c>
      <c r="AE12" s="8" t="n">
        <f aca="false">AD12-AC12</f>
        <v>115716</v>
      </c>
      <c r="AF12" s="9" t="n">
        <f aca="false">IF(AC12&gt;0,AE12/AC12,"")</f>
        <v>0.319019419724088</v>
      </c>
      <c r="AG12" s="9" t="n">
        <f aca="false">IF(AD$6=0,"",AD12/AD$6)</f>
        <v>0.0404748442091062</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478440</v>
      </c>
      <c r="AL12" s="8" t="n">
        <f aca="false">AK12-AJ12</f>
        <v>117360</v>
      </c>
      <c r="AM12" s="9" t="n">
        <f aca="false">IF(AJ12&gt;0,AL12/AJ12,"")</f>
        <v>0.325024925224327</v>
      </c>
      <c r="AN12" s="9" t="n">
        <f aca="false">IF(AK$6=0,"",AK12/AK$6)</f>
        <v>0.0404704696545424</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318960</v>
      </c>
      <c r="AZ12" s="8" t="n">
        <f aca="false">AY12-AX12</f>
        <v>115781</v>
      </c>
      <c r="BA12" s="9" t="n">
        <f aca="false">IF(AX12&gt;0,AZ12/AX12,"")</f>
        <v>0.56984727752376</v>
      </c>
      <c r="BB12" s="9" t="n">
        <f aca="false">IF(AY$6=0,"",AY12/AY$6)</f>
        <v>0.0593514265680867</v>
      </c>
    </row>
    <row r="13" customFormat="false" ht="15" hidden="false" customHeight="false" outlineLevel="0" collapsed="false">
      <c r="A13" s="5" t="n">
        <v>7</v>
      </c>
      <c r="B13" s="45" t="s">
        <v>85</v>
      </c>
      <c r="C13" s="7" t="n">
        <f aca="false">IFERROR(INDEX(Prices!$C$6:$C$300,MATCH($B13,Prices!$A$6:$A$300,0)),"")</f>
        <v>2479</v>
      </c>
      <c r="D13" s="46" t="str">
        <f aca="false">IFERROR(INDEX(Prices!$D$6:$D$300,MATCH($B13,Prices!$A$6:$A$300,0)),"")</f>
        <v>Close 29.10.2026 live (~11:20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1192399</v>
      </c>
      <c r="J13" s="48" t="n">
        <f aca="false">I13-H13</f>
        <v>40974</v>
      </c>
      <c r="K13" s="50" t="n">
        <f aca="false">IF(H13&gt;0,J13/H13,"")</f>
        <v>0.0355854701782574</v>
      </c>
      <c r="L13" s="51" t="n">
        <f aca="false">IF(I$6=0,"",I13/I$6)</f>
        <v>0.0305679311151957</v>
      </c>
      <c r="M13" s="52" t="n">
        <f aca="false">SUMIFS(Gautam!$D$7:$D$300,Gautam!$B$7:$B$300,$B13)</f>
        <v>92</v>
      </c>
      <c r="N13" s="8" t="n">
        <f aca="false">IF(AND(M13&gt;0,O13&gt;0),O13/M13,"")</f>
        <v>2289</v>
      </c>
      <c r="O13" s="8" t="n">
        <f aca="false">SUMIFS(Gautam!$E$7:$E$300,Gautam!$B$7:$B$300,$B13)</f>
        <v>210588</v>
      </c>
      <c r="P13" s="8" t="n">
        <f aca="false">SUMIFS(Gautam!$H$7:$H$300,Gautam!$B$7:$B$300,$B13)</f>
        <v>228068</v>
      </c>
      <c r="Q13" s="8" t="n">
        <f aca="false">P13-O13</f>
        <v>17480</v>
      </c>
      <c r="R13" s="9" t="n">
        <f aca="false">IF(O13&gt;0,Q13/O13,"")</f>
        <v>0.0830056793359546</v>
      </c>
      <c r="S13" s="9" t="n">
        <f aca="false">IF(P$6=0,"",P13/P$6)</f>
        <v>0.0399551577750116</v>
      </c>
      <c r="T13" s="52" t="n">
        <f aca="false">SUMIFS(DA!$D$7:$D$300,DA!$B$7:$B$300,$B13)</f>
        <v>26</v>
      </c>
      <c r="U13" s="8" t="n">
        <f aca="false">IF(AND(T13&gt;0,V13&gt;0),V13/T13,"")</f>
        <v>2339.61538461538</v>
      </c>
      <c r="V13" s="8" t="n">
        <f aca="false">SUMIFS(DA!$E$7:$E$300,DA!$B$7:$B$300,$B13)</f>
        <v>60830</v>
      </c>
      <c r="W13" s="8" t="n">
        <f aca="false">SUMIFS(DA!$H$7:$H$300,DA!$B$7:$B$300,$B13)</f>
        <v>64454</v>
      </c>
      <c r="X13" s="8" t="n">
        <f aca="false">W13-V13</f>
        <v>3624</v>
      </c>
      <c r="Y13" s="9" t="n">
        <f aca="false">IF(V13&gt;0,X13/V13,"")</f>
        <v>0.0595758671708039</v>
      </c>
      <c r="Z13" s="9" t="n">
        <f aca="false">IF(W$6=0,"",W13/W$6)</f>
        <v>0.0158783920234668</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71891</v>
      </c>
      <c r="AE13" s="8" t="n">
        <f aca="false">AD13-AC13</f>
        <v>-26103</v>
      </c>
      <c r="AF13" s="9" t="n">
        <f aca="false">IF(AC13&gt;0,AE13/AC13,"")</f>
        <v>-0.266373451435802</v>
      </c>
      <c r="AG13" s="9" t="n">
        <f aca="false">IF(AD$6=0,"",AD13/AD$6)</f>
        <v>0.00608180132312695</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756095</v>
      </c>
      <c r="AL13" s="8" t="n">
        <f aca="false">AK13-AJ13</f>
        <v>96685</v>
      </c>
      <c r="AM13" s="9" t="n">
        <f aca="false">IF(AJ13&gt;0,AL13/AJ13,"")</f>
        <v>0.146623496762257</v>
      </c>
      <c r="AN13" s="9" t="n">
        <f aca="false">IF(AK$6=0,"",AK13/AK$6)</f>
        <v>0.0639568592790135</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71891</v>
      </c>
      <c r="AZ13" s="8" t="n">
        <f aca="false">AY13-AX13</f>
        <v>-50712</v>
      </c>
      <c r="BA13" s="9" t="n">
        <f aca="false">IF(AX13&gt;0,AZ13/AX13,"")</f>
        <v>-0.413627725259578</v>
      </c>
      <c r="BB13" s="9" t="n">
        <f aca="false">IF(AY$6=0,"",AY13/AY$6)</f>
        <v>0.0133773307229945</v>
      </c>
    </row>
    <row r="14" customFormat="false" ht="15" hidden="false" customHeight="false" outlineLevel="0" collapsed="false">
      <c r="A14" s="5" t="n">
        <v>8</v>
      </c>
      <c r="B14" s="45" t="s">
        <v>86</v>
      </c>
      <c r="C14" s="7" t="n">
        <f aca="false">IFERROR(INDEX(Prices!$C$6:$C$300,MATCH($B14,Prices!$A$6:$A$300,0)),"")</f>
        <v>78.1</v>
      </c>
      <c r="D14" s="46" t="str">
        <f aca="false">IFERROR(INDEX(Prices!$D$6:$D$300,MATCH($B14,Prices!$A$6:$A$300,0)),"")</f>
        <v>Close 29.10.2026 live (~11:20 IST) (Screener.in)</v>
      </c>
      <c r="E14" s="6" t="n">
        <f aca="false">(M14&gt;0)+(T14&gt;0)+(AA14&gt;0)+(AH14&gt;0)+(AO14&gt;0)+(AV14&gt;0)</f>
        <v>6</v>
      </c>
      <c r="F14" s="47" t="n">
        <f aca="false">M14+T14+AA14+AH14+AO14+AV14</f>
        <v>14301</v>
      </c>
      <c r="G14" s="48" t="n">
        <f aca="false">IF(AND(F14&gt;0,H14&gt;0),H14/F14,"")</f>
        <v>99.356104468219</v>
      </c>
      <c r="H14" s="48" t="n">
        <f aca="false">O14+V14+AC14+AJ14+AQ14+AX14</f>
        <v>1420891.65</v>
      </c>
      <c r="I14" s="49" t="n">
        <f aca="false">P14+W14+AD14+AK14+AR14+AY14</f>
        <v>1116908.1</v>
      </c>
      <c r="J14" s="48" t="n">
        <f aca="false">I14-H14</f>
        <v>-303983.55</v>
      </c>
      <c r="K14" s="50" t="n">
        <f aca="false">IF(H14&gt;0,J14/H14,"")</f>
        <v>-0.213938585676114</v>
      </c>
      <c r="L14" s="51" t="n">
        <f aca="false">IF(I$6=0,"",I14/I$6)</f>
        <v>0.0286326723377025</v>
      </c>
      <c r="M14" s="52" t="n">
        <f aca="false">SUMIFS(Gautam!$D$7:$D$300,Gautam!$B$7:$B$300,$B14)</f>
        <v>2064</v>
      </c>
      <c r="N14" s="8" t="n">
        <f aca="false">IF(AND(M14&gt;0,O14&gt;0),O14/M14,"")</f>
        <v>81.8197335271318</v>
      </c>
      <c r="O14" s="8" t="n">
        <f aca="false">SUMIFS(Gautam!$E$7:$E$300,Gautam!$B$7:$B$300,$B14)</f>
        <v>168875.93</v>
      </c>
      <c r="P14" s="8" t="n">
        <f aca="false">SUMIFS(Gautam!$H$7:$H$300,Gautam!$B$7:$B$300,$B14)</f>
        <v>161198.4</v>
      </c>
      <c r="Q14" s="8" t="n">
        <f aca="false">P14-O14</f>
        <v>-7677.53</v>
      </c>
      <c r="R14" s="9" t="n">
        <f aca="false">IF(O14&gt;0,Q14/O14,"")</f>
        <v>-0.0454625475637647</v>
      </c>
      <c r="S14" s="9" t="n">
        <f aca="false">IF(P$6=0,"",P14/P$6)</f>
        <v>0.0282402945835428</v>
      </c>
      <c r="T14" s="52" t="n">
        <f aca="false">SUMIFS(DA!$D$7:$D$300,DA!$B$7:$B$300,$B14)</f>
        <v>1881</v>
      </c>
      <c r="U14" s="8" t="n">
        <f aca="false">IF(AND(T14&gt;0,V14&gt;0),V14/T14,"")</f>
        <v>98.7506645401382</v>
      </c>
      <c r="V14" s="8" t="n">
        <f aca="false">SUMIFS(DA!$E$7:$E$300,DA!$B$7:$B$300,$B14)</f>
        <v>185750</v>
      </c>
      <c r="W14" s="8" t="n">
        <f aca="false">SUMIFS(DA!$H$7:$H$300,DA!$B$7:$B$300,$B14)</f>
        <v>146906.1</v>
      </c>
      <c r="X14" s="8" t="n">
        <f aca="false">W14-V14</f>
        <v>-38843.9</v>
      </c>
      <c r="Y14" s="9" t="n">
        <f aca="false">IF(V14&gt;0,X14/V14,"")</f>
        <v>-0.209119246298789</v>
      </c>
      <c r="Z14" s="9" t="n">
        <f aca="false">IF(W$6=0,"",W14/W$6)</f>
        <v>0.0361906576230897</v>
      </c>
      <c r="AA14" s="52" t="n">
        <f aca="false">SUMIFS('Manish Shilpa'!$D$7:$D$300,'Manish Shilpa'!$B$7:$B$300,$B14)</f>
        <v>3810</v>
      </c>
      <c r="AB14" s="8" t="n">
        <f aca="false">IF(AND(AA14&gt;0,AC14&gt;0),AC14/AA14,"")</f>
        <v>114.545858267717</v>
      </c>
      <c r="AC14" s="8" t="n">
        <f aca="false">SUMIFS('Manish Shilpa'!$E$7:$E$300,'Manish Shilpa'!$B$7:$B$300,$B14)</f>
        <v>436419.72</v>
      </c>
      <c r="AD14" s="8" t="n">
        <f aca="false">SUMIFS('Manish Shilpa'!$H$7:$H$300,'Manish Shilpa'!$B$7:$B$300,$B14)</f>
        <v>297561</v>
      </c>
      <c r="AE14" s="8" t="n">
        <f aca="false">AD14-AC14</f>
        <v>-138858.72</v>
      </c>
      <c r="AF14" s="9" t="n">
        <f aca="false">IF(AC14&gt;0,AE14/AC14,"")</f>
        <v>-0.318177006300265</v>
      </c>
      <c r="AG14" s="9" t="n">
        <f aca="false">IF(AD$6=0,"",AD14/AD$6)</f>
        <v>0.0251729268407864</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330128.7</v>
      </c>
      <c r="AL14" s="8" t="n">
        <f aca="false">AK14-AJ14</f>
        <v>-29949.3</v>
      </c>
      <c r="AM14" s="9" t="n">
        <f aca="false">IF(AJ14&gt;0,AL14/AJ14,"")</f>
        <v>-0.0831744788629132</v>
      </c>
      <c r="AN14" s="9" t="n">
        <f aca="false">IF(AK$6=0,"",AK14/AK$6)</f>
        <v>0.0279250554624269</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9450.1</v>
      </c>
      <c r="AS14" s="8" t="n">
        <f aca="false">AR14-AQ14</f>
        <v>-4517.9</v>
      </c>
      <c r="AT14" s="9" t="n">
        <f aca="false">IF(AQ14&gt;0,AS14/AQ14,"")</f>
        <v>-0.323446449026346</v>
      </c>
      <c r="AU14" s="9" t="n">
        <f aca="false">IF(AR$6=0,"",AR14/AR$6)</f>
        <v>0.0421650393446066</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171663.8</v>
      </c>
      <c r="AZ14" s="8" t="n">
        <f aca="false">AY14-AX14</f>
        <v>-84136.2</v>
      </c>
      <c r="BA14" s="9" t="n">
        <f aca="false">IF(AX14&gt;0,AZ14/AX14,"")</f>
        <v>-0.328913995308835</v>
      </c>
      <c r="BB14" s="9" t="n">
        <f aca="false">IF(AY$6=0,"",AY14/AY$6)</f>
        <v>0.0319428499501465</v>
      </c>
    </row>
    <row r="15" customFormat="false" ht="15" hidden="false" customHeight="false" outlineLevel="0" collapsed="false">
      <c r="A15" s="5" t="n">
        <v>9</v>
      </c>
      <c r="B15" s="45" t="s">
        <v>87</v>
      </c>
      <c r="C15" s="7" t="n">
        <f aca="false">IFERROR(INDEX(Prices!$C$6:$C$300,MATCH($B15,Prices!$A$6:$A$300,0)),"")</f>
        <v>4089.2</v>
      </c>
      <c r="D15" s="46" t="str">
        <f aca="false">IFERROR(INDEX(Prices!$D$6:$D$300,MATCH($B15,Prices!$A$6:$A$300,0)),"")</f>
        <v>Close 29.10.2026 live (~11:20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1063192</v>
      </c>
      <c r="J15" s="48" t="n">
        <f aca="false">I15-H15</f>
        <v>-165729</v>
      </c>
      <c r="K15" s="50" t="n">
        <f aca="false">IF(H15&gt;0,J15/H15,"")</f>
        <v>-0.134857326060829</v>
      </c>
      <c r="L15" s="51" t="n">
        <f aca="false">IF(I$6=0,"",I15/I$6)</f>
        <v>0.0272556248522744</v>
      </c>
      <c r="M15" s="52" t="n">
        <f aca="false">SUMIFS(Gautam!$D$7:$D$300,Gautam!$B$7:$B$300,$B15)</f>
        <v>60</v>
      </c>
      <c r="N15" s="8" t="n">
        <f aca="false">IF(AND(M15&gt;0,O15&gt;0),O15/M15,"")</f>
        <v>4564</v>
      </c>
      <c r="O15" s="8" t="n">
        <f aca="false">SUMIFS(Gautam!$E$7:$E$300,Gautam!$B$7:$B$300,$B15)</f>
        <v>273840</v>
      </c>
      <c r="P15" s="8" t="n">
        <f aca="false">SUMIFS(Gautam!$H$7:$H$300,Gautam!$B$7:$B$300,$B15)</f>
        <v>245352</v>
      </c>
      <c r="Q15" s="8" t="n">
        <f aca="false">P15-O15</f>
        <v>-28488</v>
      </c>
      <c r="R15" s="9" t="n">
        <f aca="false">IF(O15&gt;0,Q15/O15,"")</f>
        <v>-0.104031551270815</v>
      </c>
      <c r="S15" s="9" t="n">
        <f aca="false">IF(P$6=0,"",P15/P$6)</f>
        <v>0.0429831360401926</v>
      </c>
      <c r="T15" s="52" t="n">
        <f aca="false">SUMIFS(DA!$D$7:$D$300,DA!$B$7:$B$300,$B15)</f>
        <v>12</v>
      </c>
      <c r="U15" s="8" t="n">
        <f aca="false">IF(AND(T15&gt;0,V15&gt;0),V15/T15,"")</f>
        <v>4718.16666666667</v>
      </c>
      <c r="V15" s="8" t="n">
        <f aca="false">SUMIFS(DA!$E$7:$E$300,DA!$B$7:$B$300,$B15)</f>
        <v>56618</v>
      </c>
      <c r="W15" s="8" t="n">
        <f aca="false">SUMIFS(DA!$H$7:$H$300,DA!$B$7:$B$300,$B15)</f>
        <v>49070.4</v>
      </c>
      <c r="X15" s="8" t="n">
        <f aca="false">W15-V15</f>
        <v>-7547.60000000001</v>
      </c>
      <c r="Y15" s="9" t="n">
        <f aca="false">IF(V15&gt;0,X15/V15,"")</f>
        <v>-0.133307428732912</v>
      </c>
      <c r="Z15" s="9" t="n">
        <f aca="false">IF(W$6=0,"",W15/W$6)</f>
        <v>0.0120886065713273</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269887.2</v>
      </c>
      <c r="AE15" s="8" t="n">
        <f aca="false">AD15-AC15</f>
        <v>-78249.8</v>
      </c>
      <c r="AF15" s="9" t="n">
        <f aca="false">IF(AC15&gt;0,AE15/AC15,"")</f>
        <v>-0.224767261164427</v>
      </c>
      <c r="AG15" s="9" t="n">
        <f aca="false">IF(AD$6=0,"",AD15/AD$6)</f>
        <v>0.0228317916019394</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339403.6</v>
      </c>
      <c r="AL15" s="8" t="n">
        <f aca="false">AK15-AJ15</f>
        <v>15877.6</v>
      </c>
      <c r="AM15" s="9" t="n">
        <f aca="false">IF(AJ15&gt;0,AL15/AJ15,"")</f>
        <v>0.0490767357183039</v>
      </c>
      <c r="AN15" s="9" t="n">
        <f aca="false">IF(AK$6=0,"",AK15/AK$6)</f>
        <v>0.0287096043274861</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8178.4</v>
      </c>
      <c r="AS15" s="8" t="n">
        <f aca="false">AR15-AQ15</f>
        <v>-2019.6</v>
      </c>
      <c r="AT15" s="9" t="n">
        <f aca="false">IF(AQ15&gt;0,AS15/AQ15,"")</f>
        <v>-0.198038831143362</v>
      </c>
      <c r="AU15" s="9" t="n">
        <f aca="false">IF(AR$6=0,"",AR15/AR$6)</f>
        <v>0.0364908898081428</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151300.4</v>
      </c>
      <c r="AZ15" s="8" t="n">
        <f aca="false">AY15-AX15</f>
        <v>-65301.6</v>
      </c>
      <c r="BA15" s="9" t="n">
        <f aca="false">IF(AX15&gt;0,AZ15/AX15,"")</f>
        <v>-0.301481980775801</v>
      </c>
      <c r="BB15" s="9" t="n">
        <f aca="false">IF(AY$6=0,"",AY15/AY$6)</f>
        <v>0.0281536699909774</v>
      </c>
    </row>
    <row r="16" customFormat="false" ht="15" hidden="false" customHeight="false" outlineLevel="0" collapsed="false">
      <c r="A16" s="5" t="n">
        <v>10</v>
      </c>
      <c r="B16" s="45" t="s">
        <v>88</v>
      </c>
      <c r="C16" s="7" t="n">
        <f aca="false">IFERROR(INDEX(Prices!$C$6:$C$300,MATCH($B16,Prices!$A$6:$A$300,0)),"")</f>
        <v>4199</v>
      </c>
      <c r="D16" s="46" t="str">
        <f aca="false">IFERROR(INDEX(Prices!$D$6:$D$300,MATCH($B16,Prices!$A$6:$A$300,0)),"")</f>
        <v>Close 29.10.2026 live (~11:20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1045551</v>
      </c>
      <c r="J16" s="48" t="n">
        <f aca="false">I16-H16</f>
        <v>79164</v>
      </c>
      <c r="K16" s="50" t="n">
        <f aca="false">IF(H16&gt;0,J16/H16,"")</f>
        <v>0.0819174926815034</v>
      </c>
      <c r="L16" s="51" t="n">
        <f aca="false">IF(I$6=0,"",I16/I$6)</f>
        <v>0.0268033862368418</v>
      </c>
      <c r="M16" s="52" t="n">
        <f aca="false">SUMIFS(Gautam!$D$7:$D$300,Gautam!$B$7:$B$300,$B16)</f>
        <v>39</v>
      </c>
      <c r="N16" s="8" t="n">
        <f aca="false">IF(AND(M16&gt;0,O16&gt;0),O16/M16,"")</f>
        <v>3613.79487179487</v>
      </c>
      <c r="O16" s="8" t="n">
        <f aca="false">SUMIFS(Gautam!$E$7:$E$300,Gautam!$B$7:$B$300,$B16)</f>
        <v>140938</v>
      </c>
      <c r="P16" s="8" t="n">
        <f aca="false">SUMIFS(Gautam!$H$7:$H$300,Gautam!$B$7:$B$300,$B16)</f>
        <v>163761</v>
      </c>
      <c r="Q16" s="8" t="n">
        <f aca="false">P16-O16</f>
        <v>22823</v>
      </c>
      <c r="R16" s="9" t="n">
        <f aca="false">IF(O16&gt;0,Q16/O16,"")</f>
        <v>0.161936454327435</v>
      </c>
      <c r="S16" s="9" t="n">
        <f aca="false">IF(P$6=0,"",P16/P$6)</f>
        <v>0.0286892356332045</v>
      </c>
      <c r="T16" s="52" t="n">
        <f aca="false">SUMIFS(DA!$D$7:$D$300,DA!$B$7:$B$300,$B16)</f>
        <v>27</v>
      </c>
      <c r="U16" s="8" t="n">
        <f aca="false">IF(AND(T16&gt;0,V16&gt;0),V16/T16,"")</f>
        <v>3584.88888888889</v>
      </c>
      <c r="V16" s="8" t="n">
        <f aca="false">SUMIFS(DA!$E$7:$E$300,DA!$B$7:$B$300,$B16)</f>
        <v>96792</v>
      </c>
      <c r="W16" s="8" t="n">
        <f aca="false">SUMIFS(DA!$H$7:$H$300,DA!$B$7:$B$300,$B16)</f>
        <v>113373</v>
      </c>
      <c r="X16" s="8" t="n">
        <f aca="false">W16-V16</f>
        <v>16581</v>
      </c>
      <c r="Y16" s="9" t="n">
        <f aca="false">IF(V16&gt;0,X16/V16,"")</f>
        <v>0.171305479791718</v>
      </c>
      <c r="Z16" s="9" t="n">
        <f aca="false">IF(W$6=0,"",W16/W$6)</f>
        <v>0.0279297008545087</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302328</v>
      </c>
      <c r="AE16" s="8" t="n">
        <f aca="false">AD16-AC16</f>
        <v>-1139</v>
      </c>
      <c r="AF16" s="9" t="n">
        <f aca="false">IF(AC16&gt;0,AE16/AC16,"")</f>
        <v>-0.00375329113214946</v>
      </c>
      <c r="AG16" s="9" t="n">
        <f aca="false">IF(AD$6=0,"",AD16/AD$6)</f>
        <v>0.0255762032857844</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327522</v>
      </c>
      <c r="AL16" s="8" t="n">
        <f aca="false">AK16-AJ16</f>
        <v>57978</v>
      </c>
      <c r="AM16" s="9" t="n">
        <f aca="false">IF(AJ16&gt;0,AL16/AJ16,"")</f>
        <v>0.215096607603953</v>
      </c>
      <c r="AN16" s="9" t="n">
        <f aca="false">IF(AK$6=0,"",AK16/AK$6)</f>
        <v>0.0277045589043454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4199</v>
      </c>
      <c r="AS16" s="8" t="n">
        <f aca="false">AR16-AQ16</f>
        <v>-408</v>
      </c>
      <c r="AT16" s="9" t="n">
        <f aca="false">IF(AQ16&gt;0,AS16/AQ16,"")</f>
        <v>-0.0885608856088561</v>
      </c>
      <c r="AU16" s="9" t="n">
        <f aca="false">IF(AR$6=0,"",AR16/AR$6)</f>
        <v>0.0187353573198171</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134368</v>
      </c>
      <c r="AZ16" s="8" t="n">
        <f aca="false">AY16-AX16</f>
        <v>-16671</v>
      </c>
      <c r="BA16" s="9" t="n">
        <f aca="false">IF(AX16&gt;0,AZ16/AX16,"")</f>
        <v>-0.110375465939261</v>
      </c>
      <c r="BB16" s="9" t="n">
        <f aca="false">IF(AY$6=0,"",AY16/AY$6)</f>
        <v>0.025002923517371</v>
      </c>
    </row>
    <row r="17" customFormat="false" ht="15" hidden="false" customHeight="false" outlineLevel="0" collapsed="false">
      <c r="A17" s="5" t="n">
        <v>11</v>
      </c>
      <c r="B17" s="45" t="s">
        <v>89</v>
      </c>
      <c r="C17" s="7" t="n">
        <f aca="false">IFERROR(INDEX(Prices!$C$6:$C$300,MATCH($B17,Prices!$A$6:$A$300,0)),"")</f>
        <v>240</v>
      </c>
      <c r="D17" s="46" t="str">
        <f aca="false">IFERROR(INDEX(Prices!$D$6:$D$300,MATCH($B17,Prices!$A$6:$A$300,0)),"")</f>
        <v>Close 29.10.2026 live (~11:20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960000</v>
      </c>
      <c r="J17" s="48" t="n">
        <f aca="false">I17-H17</f>
        <v>26287</v>
      </c>
      <c r="K17" s="50" t="n">
        <f aca="false">IF(H17&gt;0,J17/H17,"")</f>
        <v>0.028153190541419</v>
      </c>
      <c r="L17" s="51" t="n">
        <f aca="false">IF(I$6=0,"",I17/I$6)</f>
        <v>0.0246102301918971</v>
      </c>
      <c r="M17" s="52" t="n">
        <f aca="false">SUMIFS(Gautam!$D$7:$D$300,Gautam!$B$7:$B$300,$B17)</f>
        <v>800</v>
      </c>
      <c r="N17" s="8" t="n">
        <f aca="false">IF(AND(M17&gt;0,O17&gt;0),O17/M17,"")</f>
        <v>264</v>
      </c>
      <c r="O17" s="8" t="n">
        <f aca="false">SUMIFS(Gautam!$E$7:$E$300,Gautam!$B$7:$B$300,$B17)</f>
        <v>211200</v>
      </c>
      <c r="P17" s="8" t="n">
        <f aca="false">SUMIFS(Gautam!$H$7:$H$300,Gautam!$B$7:$B$300,$B17)</f>
        <v>192000</v>
      </c>
      <c r="Q17" s="8" t="n">
        <f aca="false">P17-O17</f>
        <v>-19200</v>
      </c>
      <c r="R17" s="9" t="n">
        <f aca="false">IF(O17&gt;0,Q17/O17,"")</f>
        <v>-0.0909090909090909</v>
      </c>
      <c r="S17" s="9" t="n">
        <f aca="false">IF(P$6=0,"",P17/P$6)</f>
        <v>0.0336364167388772</v>
      </c>
      <c r="T17" s="52" t="n">
        <f aca="false">SUMIFS(DA!$D$7:$D$300,DA!$B$7:$B$300,$B17)</f>
        <v>800</v>
      </c>
      <c r="U17" s="8" t="n">
        <f aca="false">IF(AND(T17&gt;0,V17&gt;0),V17/T17,"")</f>
        <v>225.3075</v>
      </c>
      <c r="V17" s="8" t="n">
        <f aca="false">SUMIFS(DA!$E$7:$E$300,DA!$B$7:$B$300,$B17)</f>
        <v>180246</v>
      </c>
      <c r="W17" s="8" t="n">
        <f aca="false">SUMIFS(DA!$H$7:$H$300,DA!$B$7:$B$300,$B17)</f>
        <v>192000</v>
      </c>
      <c r="X17" s="8" t="n">
        <f aca="false">W17-V17</f>
        <v>11754</v>
      </c>
      <c r="Y17" s="9" t="n">
        <f aca="false">IF(V17&gt;0,X17/V17,"")</f>
        <v>0.0652108784660963</v>
      </c>
      <c r="Z17" s="9" t="n">
        <f aca="false">IF(W$6=0,"",W17/W$6)</f>
        <v>0.0472996442192204</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192000</v>
      </c>
      <c r="AE17" s="8" t="n">
        <f aca="false">AD17-AC17</f>
        <v>3925</v>
      </c>
      <c r="AF17" s="9" t="n">
        <f aca="false">IF(AC17&gt;0,AE17/AC17,"")</f>
        <v>0.0208693340422704</v>
      </c>
      <c r="AG17" s="9" t="n">
        <f aca="false">IF(AD$6=0,"",AD17/AD$6)</f>
        <v>0.0162427265449135</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192000</v>
      </c>
      <c r="AL17" s="8" t="n">
        <f aca="false">AK17-AJ17</f>
        <v>21800</v>
      </c>
      <c r="AM17" s="9" t="n">
        <f aca="false">IF(AJ17&gt;0,AL17/AJ17,"")</f>
        <v>0.128084606345476</v>
      </c>
      <c r="AN17" s="9" t="n">
        <f aca="false">IF(AK$6=0,"",AK17/AK$6)</f>
        <v>0.0162409710176242</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192000</v>
      </c>
      <c r="AZ17" s="8" t="n">
        <f aca="false">AY17-AX17</f>
        <v>8008</v>
      </c>
      <c r="BA17" s="9" t="n">
        <f aca="false">IF(AX17&gt;0,AZ17/AX17,"")</f>
        <v>0.0435236314622375</v>
      </c>
      <c r="BB17" s="9" t="n">
        <f aca="false">IF(AY$6=0,"",AY17/AY$6)</f>
        <v>0.0357269685887655</v>
      </c>
    </row>
    <row r="18" customFormat="false" ht="15" hidden="false" customHeight="false" outlineLevel="0" collapsed="false">
      <c r="A18" s="5" t="n">
        <v>12</v>
      </c>
      <c r="B18" s="45" t="s">
        <v>90</v>
      </c>
      <c r="C18" s="7" t="n">
        <f aca="false">IFERROR(INDEX(Prices!$C$6:$C$300,MATCH($B18,Prices!$A$6:$A$300,0)),"")</f>
        <v>421.45</v>
      </c>
      <c r="D18" s="46" t="str">
        <f aca="false">IFERROR(INDEX(Prices!$D$6:$D$300,MATCH($B18,Prices!$A$6:$A$300,0)),"")</f>
        <v>Close 29.10.2026 live (~11:20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842900</v>
      </c>
      <c r="J18" s="48" t="n">
        <f aca="false">I18-H18</f>
        <v>-2400</v>
      </c>
      <c r="K18" s="50" t="n">
        <f aca="false">IF(H18&gt;0,J18/H18,"")</f>
        <v>-0.00283922867620963</v>
      </c>
      <c r="L18" s="51" t="n">
        <f aca="false">IF(I$6=0,"",I18/I$6)</f>
        <v>0.0216082948216146</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842900</v>
      </c>
      <c r="AL18" s="8" t="n">
        <f aca="false">AK18-AJ18</f>
        <v>-2400</v>
      </c>
      <c r="AM18" s="9" t="n">
        <f aca="false">IF(AJ18&gt;0,AL18/AJ18,"")</f>
        <v>-0.00283922867620963</v>
      </c>
      <c r="AN18" s="9" t="n">
        <f aca="false">IF(AK$6=0,"",AK18/AK$6)</f>
        <v>0.0712995545351847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3794.1</v>
      </c>
      <c r="D19" s="46" t="str">
        <f aca="false">IFERROR(INDEX(Prices!$D$6:$D$300,MATCH($B19,Prices!$A$6:$A$300,0)),"")</f>
        <v>Close 29.10.2026 live (~11:20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743643.6</v>
      </c>
      <c r="J19" s="48" t="n">
        <f aca="false">I19-H19</f>
        <v>-91346.2000000001</v>
      </c>
      <c r="K19" s="50" t="n">
        <f aca="false">IF(H19&gt;0,J19/H19,"")</f>
        <v>-0.109397983065182</v>
      </c>
      <c r="L19" s="51" t="n">
        <f aca="false">IF(I$6=0,"",I19/I$6)</f>
        <v>0.0190637918507615</v>
      </c>
      <c r="M19" s="52" t="n">
        <f aca="false">SUMIFS(Gautam!$D$7:$D$300,Gautam!$B$7:$B$300,$B19)</f>
        <v>54</v>
      </c>
      <c r="N19" s="8" t="n">
        <f aca="false">IF(AND(M19&gt;0,O19&gt;0),O19/M19,"")</f>
        <v>3489.60740740741</v>
      </c>
      <c r="O19" s="8" t="n">
        <f aca="false">SUMIFS(Gautam!$E$7:$E$300,Gautam!$B$7:$B$300,$B19)</f>
        <v>188438.8</v>
      </c>
      <c r="P19" s="8" t="n">
        <f aca="false">SUMIFS(Gautam!$H$7:$H$300,Gautam!$B$7:$B$300,$B19)</f>
        <v>204881.4</v>
      </c>
      <c r="Q19" s="8" t="n">
        <f aca="false">P19-O19</f>
        <v>16442.6</v>
      </c>
      <c r="R19" s="9" t="n">
        <f aca="false">IF(O19&gt;0,Q19/O19,"")</f>
        <v>0.0872569768009561</v>
      </c>
      <c r="S19" s="9" t="n">
        <f aca="false">IF(P$6=0,"",P19/P$6)</f>
        <v>0.0358931049606489</v>
      </c>
      <c r="T19" s="52" t="n">
        <f aca="false">SUMIFS(DA!$D$7:$D$300,DA!$B$7:$B$300,$B19)</f>
        <v>23</v>
      </c>
      <c r="U19" s="8" t="n">
        <f aca="false">IF(AND(T19&gt;0,V19&gt;0),V19/T19,"")</f>
        <v>3736.65217391304</v>
      </c>
      <c r="V19" s="8" t="n">
        <f aca="false">SUMIFS(DA!$E$7:$E$300,DA!$B$7:$B$300,$B19)</f>
        <v>85943</v>
      </c>
      <c r="W19" s="8" t="n">
        <f aca="false">SUMIFS(DA!$H$7:$H$300,DA!$B$7:$B$300,$B19)</f>
        <v>87264.3</v>
      </c>
      <c r="X19" s="8" t="n">
        <f aca="false">W19-V19</f>
        <v>1321.3</v>
      </c>
      <c r="Y19" s="9" t="n">
        <f aca="false">IF(V19&gt;0,X19/V19,"")</f>
        <v>0.0153741433275543</v>
      </c>
      <c r="Z19" s="9" t="n">
        <f aca="false">IF(W$6=0,"",W19/W$6)</f>
        <v>0.0214977622033298</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121411.2</v>
      </c>
      <c r="AE19" s="8" t="n">
        <f aca="false">AD19-AC19</f>
        <v>-90858.8</v>
      </c>
      <c r="AF19" s="9" t="n">
        <f aca="false">IF(AC19&gt;0,AE19/AC19,"")</f>
        <v>-0.428034107504593</v>
      </c>
      <c r="AG19" s="9" t="n">
        <f aca="false">IF(AD$6=0,"",AD19/AD$6)</f>
        <v>0.010271088130676</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246616.5</v>
      </c>
      <c r="AL19" s="8" t="n">
        <f aca="false">AK19-AJ19</f>
        <v>-15443.5</v>
      </c>
      <c r="AM19" s="9" t="n">
        <f aca="false">IF(AJ19&gt;0,AL19/AJ19,"")</f>
        <v>-0.0589311608028696</v>
      </c>
      <c r="AN19" s="9" t="n">
        <f aca="false">IF(AK$6=0,"",AK19/AK$6)</f>
        <v>0.020860892859208</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83470.2</v>
      </c>
      <c r="AZ19" s="8" t="n">
        <f aca="false">AY19-AX19</f>
        <v>-2807.8</v>
      </c>
      <c r="BA19" s="9" t="n">
        <f aca="false">IF(AX19&gt;0,AZ19/AX19,"")</f>
        <v>-0.0325436380073716</v>
      </c>
      <c r="BB19" s="9" t="n">
        <f aca="false">IF(AY$6=0,"",AY19/AY$6)</f>
        <v>0.0155319646536353</v>
      </c>
    </row>
    <row r="20" customFormat="false" ht="15" hidden="false" customHeight="false" outlineLevel="0" collapsed="false">
      <c r="A20" s="5" t="n">
        <v>14</v>
      </c>
      <c r="B20" s="45" t="s">
        <v>92</v>
      </c>
      <c r="C20" s="7" t="n">
        <f aca="false">IFERROR(INDEX(Prices!$C$6:$C$300,MATCH($B20,Prices!$A$6:$A$300,0)),"")</f>
        <v>51.15</v>
      </c>
      <c r="D20" s="46" t="str">
        <f aca="false">IFERROR(INDEX(Prices!$D$6:$D$300,MATCH($B20,Prices!$A$6:$A$300,0)),"")</f>
        <v>Close 29.10.2026 live (~11:20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724232.85</v>
      </c>
      <c r="J20" s="48" t="n">
        <f aca="false">I20-H20</f>
        <v>158372.74</v>
      </c>
      <c r="K20" s="50" t="n">
        <f aca="false">IF(H20&gt;0,J20/H20,"")</f>
        <v>0.279879668492624</v>
      </c>
      <c r="L20" s="51" t="n">
        <f aca="false">IF(I$6=0,"",I20/I$6)</f>
        <v>0.0185661845323267</v>
      </c>
      <c r="M20" s="52" t="n">
        <f aca="false">SUMIFS(Gautam!$D$7:$D$300,Gautam!$B$7:$B$300,$B20)</f>
        <v>1068</v>
      </c>
      <c r="N20" s="8" t="n">
        <f aca="false">IF(AND(M20&gt;0,O20&gt;0),O20/M20,"")</f>
        <v>54.9242602996255</v>
      </c>
      <c r="O20" s="8" t="n">
        <f aca="false">SUMIFS(Gautam!$E$7:$E$300,Gautam!$B$7:$B$300,$B20)</f>
        <v>58659.11</v>
      </c>
      <c r="P20" s="8" t="n">
        <f aca="false">SUMIFS(Gautam!$H$7:$H$300,Gautam!$B$7:$B$300,$B20)</f>
        <v>54628.2</v>
      </c>
      <c r="Q20" s="8" t="n">
        <f aca="false">P20-O20</f>
        <v>-4030.91</v>
      </c>
      <c r="R20" s="9" t="n">
        <f aca="false">IF(O20&gt;0,Q20/O20,"")</f>
        <v>-0.0687175444700747</v>
      </c>
      <c r="S20" s="9" t="n">
        <f aca="false">IF(P$6=0,"",P20/P$6)</f>
        <v>0.00957029635882671</v>
      </c>
      <c r="T20" s="52" t="n">
        <f aca="false">SUMIFS(DA!$D$7:$D$300,DA!$B$7:$B$300,$B20)</f>
        <v>2030</v>
      </c>
      <c r="U20" s="8" t="n">
        <f aca="false">IF(AND(T20&gt;0,V20&gt;0),V20/T20,"")</f>
        <v>33.8093596059113</v>
      </c>
      <c r="V20" s="8" t="n">
        <f aca="false">SUMIFS(DA!$E$7:$E$300,DA!$B$7:$B$300,$B20)</f>
        <v>68633</v>
      </c>
      <c r="W20" s="8" t="n">
        <f aca="false">SUMIFS(DA!$H$7:$H$300,DA!$B$7:$B$300,$B20)</f>
        <v>103834.5</v>
      </c>
      <c r="X20" s="8" t="n">
        <f aca="false">W20-V20</f>
        <v>35201.5</v>
      </c>
      <c r="Y20" s="9" t="n">
        <f aca="false">IF(V20&gt;0,X20/V20,"")</f>
        <v>0.512894671659406</v>
      </c>
      <c r="Z20" s="9" t="n">
        <f aca="false">IF(W$6=0,"",W20/W$6)</f>
        <v>0.0255798693108367</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179025</v>
      </c>
      <c r="AE20" s="8" t="n">
        <f aca="false">AD20-AC20</f>
        <v>61551</v>
      </c>
      <c r="AF20" s="9" t="n">
        <f aca="false">IF(AC20&gt;0,AE20/AC20,"")</f>
        <v>0.52395423668216</v>
      </c>
      <c r="AG20" s="9" t="n">
        <f aca="false">IF(AD$6=0,"",AD20/AD$6)</f>
        <v>0.0151450735401205</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262962.15</v>
      </c>
      <c r="AL20" s="8" t="n">
        <f aca="false">AK20-AJ20</f>
        <v>38142.15</v>
      </c>
      <c r="AM20" s="9" t="n">
        <f aca="false">IF(AJ20&gt;0,AL20/AJ20,"")</f>
        <v>0.169656391780091</v>
      </c>
      <c r="AN20" s="9" t="n">
        <f aca="false">IF(AK$6=0,"",AK20/AK$6)</f>
        <v>0.0222435450879279</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2557.5</v>
      </c>
      <c r="AS20" s="8" t="n">
        <f aca="false">AR20-AQ20</f>
        <v>680.5</v>
      </c>
      <c r="AT20" s="9" t="n">
        <f aca="false">IF(AQ20&gt;0,AS20/AQ20,"")</f>
        <v>0.362546616941929</v>
      </c>
      <c r="AU20" s="9" t="n">
        <f aca="false">IF(AR$6=0,"",AR20/AR$6)</f>
        <v>0.0114112113230369</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121225.5</v>
      </c>
      <c r="AZ20" s="8" t="n">
        <f aca="false">AY20-AX20</f>
        <v>26828.5</v>
      </c>
      <c r="BA20" s="9" t="n">
        <f aca="false">IF(AX20&gt;0,AZ20/AX20,"")</f>
        <v>0.284209243937837</v>
      </c>
      <c r="BB20" s="9" t="n">
        <f aca="false">IF(AY$6=0,"",AY20/AY$6)</f>
        <v>0.0225573939096739</v>
      </c>
    </row>
    <row r="21" customFormat="false" ht="15" hidden="false" customHeight="false" outlineLevel="0" collapsed="false">
      <c r="A21" s="5" t="n">
        <v>15</v>
      </c>
      <c r="B21" s="45" t="s">
        <v>93</v>
      </c>
      <c r="C21" s="7" t="n">
        <f aca="false">IFERROR(INDEX(Prices!$C$6:$C$300,MATCH($B21,Prices!$A$6:$A$300,0)),"")</f>
        <v>5883.5</v>
      </c>
      <c r="D21" s="46" t="str">
        <f aca="false">IFERROR(INDEX(Prices!$D$6:$D$300,MATCH($B21,Prices!$A$6:$A$300,0)),"")</f>
        <v>Close 29.10.2026 live (~11:20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482447</v>
      </c>
      <c r="J21" s="48" t="n">
        <f aca="false">I21-H21</f>
        <v>56725</v>
      </c>
      <c r="K21" s="50" t="n">
        <f aca="false">IF(H21&gt;0,J21/H21,"")</f>
        <v>0.133244229802547</v>
      </c>
      <c r="L21" s="51" t="n">
        <f aca="false">IF(I$6=0,"",I21/I$6)</f>
        <v>0.0123678455472814</v>
      </c>
      <c r="M21" s="52" t="n">
        <f aca="false">SUMIFS(Gautam!$D$7:$D$300,Gautam!$B$7:$B$300,$B21)</f>
        <v>23</v>
      </c>
      <c r="N21" s="8" t="n">
        <f aca="false">IF(AND(M21&gt;0,O21&gt;0),O21/M21,"")</f>
        <v>5588.69565217391</v>
      </c>
      <c r="O21" s="8" t="n">
        <f aca="false">SUMIFS(Gautam!$E$7:$E$300,Gautam!$B$7:$B$300,$B21)</f>
        <v>128540</v>
      </c>
      <c r="P21" s="8" t="n">
        <f aca="false">SUMIFS(Gautam!$H$7:$H$300,Gautam!$B$7:$B$300,$B21)</f>
        <v>135320.5</v>
      </c>
      <c r="Q21" s="8" t="n">
        <f aca="false">P21-O21</f>
        <v>6780.5</v>
      </c>
      <c r="R21" s="9" t="n">
        <f aca="false">IF(O21&gt;0,Q21/O21,"")</f>
        <v>0.0527501166951922</v>
      </c>
      <c r="S21" s="9" t="n">
        <f aca="false">IF(P$6=0,"",P21/P$6)</f>
        <v>0.023706753808923</v>
      </c>
      <c r="T21" s="52" t="n">
        <f aca="false">SUMIFS(DA!$D$7:$D$300,DA!$B$7:$B$300,$B21)</f>
        <v>18</v>
      </c>
      <c r="U21" s="8" t="n">
        <f aca="false">IF(AND(T21&gt;0,V21&gt;0),V21/T21,"")</f>
        <v>5117.77777777778</v>
      </c>
      <c r="V21" s="8" t="n">
        <f aca="false">SUMIFS(DA!$E$7:$E$300,DA!$B$7:$B$300,$B21)</f>
        <v>92120</v>
      </c>
      <c r="W21" s="8" t="n">
        <f aca="false">SUMIFS(DA!$H$7:$H$300,DA!$B$7:$B$300,$B21)</f>
        <v>105903</v>
      </c>
      <c r="X21" s="8" t="n">
        <f aca="false">W21-V21</f>
        <v>13783</v>
      </c>
      <c r="Y21" s="9" t="n">
        <f aca="false">IF(V21&gt;0,X21/V21,"")</f>
        <v>0.149620060790274</v>
      </c>
      <c r="Z21" s="9" t="n">
        <f aca="false">IF(W$6=0,"",W21/W$6)</f>
        <v>0.0260894490716047</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64718.5</v>
      </c>
      <c r="AE21" s="8" t="n">
        <f aca="false">AD21-AC21</f>
        <v>14895.5</v>
      </c>
      <c r="AF21" s="9" t="n">
        <f aca="false">IF(AC21&gt;0,AE21/AC21,"")</f>
        <v>0.298968347951749</v>
      </c>
      <c r="AG21" s="9" t="n">
        <f aca="false">IF(AD$6=0,"",AD21/AD$6)</f>
        <v>0.00547502550988011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76485.5</v>
      </c>
      <c r="AL21" s="8" t="n">
        <f aca="false">AK21-AJ21</f>
        <v>7979.5</v>
      </c>
      <c r="AM21" s="9" t="n">
        <f aca="false">IF(AJ21&gt;0,AL21/AJ21,"")</f>
        <v>0.116478848568009</v>
      </c>
      <c r="AN21" s="9" t="n">
        <f aca="false">IF(AK$6=0,"",AK21/AK$6)</f>
        <v>0.00646978535816926</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100019.5</v>
      </c>
      <c r="AZ21" s="8" t="n">
        <f aca="false">AY21-AX21</f>
        <v>13286.5</v>
      </c>
      <c r="BA21" s="9" t="n">
        <f aca="false">IF(AX21&gt;0,AZ21/AX21,"")</f>
        <v>0.153188521093471</v>
      </c>
      <c r="BB21" s="9" t="n">
        <f aca="false">IF(AY$6=0,"",AY21/AY$6)</f>
        <v>0.0186114246602293</v>
      </c>
    </row>
    <row r="22" customFormat="false" ht="15" hidden="false" customHeight="false" outlineLevel="0" collapsed="false">
      <c r="A22" s="5" t="n">
        <v>16</v>
      </c>
      <c r="B22" s="45" t="s">
        <v>94</v>
      </c>
      <c r="C22" s="7" t="n">
        <f aca="false">IFERROR(INDEX(Prices!$C$6:$C$300,MATCH($B22,Prices!$A$6:$A$300,0)),"")</f>
        <v>1395.7</v>
      </c>
      <c r="D22" s="46" t="str">
        <f aca="false">IFERROR(INDEX(Prices!$D$6:$D$300,MATCH($B22,Prices!$A$6:$A$300,0)),"")</f>
        <v>Close 29.10.2026 live (~11:20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418710</v>
      </c>
      <c r="J22" s="48" t="n">
        <f aca="false">I22-H22</f>
        <v>-50892.1</v>
      </c>
      <c r="K22" s="50" t="n">
        <f aca="false">IF(H22&gt;0,J22/H22,"")</f>
        <v>-0.108372811791089</v>
      </c>
      <c r="L22" s="51" t="n">
        <f aca="false">IF(I$6=0,"",I22/I$6)</f>
        <v>0.0107339057121346</v>
      </c>
      <c r="M22" s="52" t="n">
        <f aca="false">SUMIFS(Gautam!$D$7:$D$300,Gautam!$B$7:$B$300,$B22)</f>
        <v>79</v>
      </c>
      <c r="N22" s="8" t="n">
        <f aca="false">IF(AND(M22&gt;0,O22&gt;0),O22/M22,"")</f>
        <v>1569.30506329114</v>
      </c>
      <c r="O22" s="8" t="n">
        <f aca="false">SUMIFS(Gautam!$E$7:$E$300,Gautam!$B$7:$B$300,$B22)</f>
        <v>123975.1</v>
      </c>
      <c r="P22" s="8" t="n">
        <f aca="false">SUMIFS(Gautam!$H$7:$H$300,Gautam!$B$7:$B$300,$B22)</f>
        <v>110260.3</v>
      </c>
      <c r="Q22" s="8" t="n">
        <f aca="false">P22-O22</f>
        <v>-13714.8</v>
      </c>
      <c r="R22" s="9" t="n">
        <f aca="false">IF(O22&gt;0,Q22/O22,"")</f>
        <v>-0.110625440108538</v>
      </c>
      <c r="S22" s="9" t="n">
        <f aca="false">IF(P$6=0,"",P22/P$6)</f>
        <v>0.0193164656278834</v>
      </c>
      <c r="T22" s="52" t="n">
        <f aca="false">SUMIFS(DA!$D$7:$D$300,DA!$B$7:$B$300,$B22)</f>
        <v>46</v>
      </c>
      <c r="U22" s="8" t="n">
        <f aca="false">IF(AND(T22&gt;0,V22&gt;0),V22/T22,"")</f>
        <v>1668.02173913043</v>
      </c>
      <c r="V22" s="8" t="n">
        <f aca="false">SUMIFS(DA!$E$7:$E$300,DA!$B$7:$B$300,$B22)</f>
        <v>76729</v>
      </c>
      <c r="W22" s="8" t="n">
        <f aca="false">SUMIFS(DA!$H$7:$H$300,DA!$B$7:$B$300,$B22)</f>
        <v>64202.2</v>
      </c>
      <c r="X22" s="8" t="n">
        <f aca="false">W22-V22</f>
        <v>-12526.8</v>
      </c>
      <c r="Y22" s="9" t="n">
        <f aca="false">IF(V22&gt;0,X22/V22,"")</f>
        <v>-0.163260305751411</v>
      </c>
      <c r="Z22" s="9" t="n">
        <f aca="false">IF(W$6=0,"",W22/W$6)</f>
        <v>0.0158163605108918</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65597.9</v>
      </c>
      <c r="AE22" s="8" t="n">
        <f aca="false">AD22-AC22</f>
        <v>-11371.1</v>
      </c>
      <c r="AF22" s="9" t="n">
        <f aca="false">IF(AC22&gt;0,AE22/AC22,"")</f>
        <v>-0.147736101547376</v>
      </c>
      <c r="AG22" s="9" t="n">
        <f aca="false">IF(AD$6=0,"",AD22/AD$6)</f>
        <v>0.00554942058135718</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108864.6</v>
      </c>
      <c r="AL22" s="8" t="n">
        <f aca="false">AK22-AJ22</f>
        <v>-5662.39999999999</v>
      </c>
      <c r="AM22" s="9" t="n">
        <f aca="false">IF(AJ22&gt;0,AL22/AJ22,"")</f>
        <v>-0.0494416163874021</v>
      </c>
      <c r="AN22" s="9" t="n">
        <f aca="false">IF(AK$6=0,"",AK22/AK$6)</f>
        <v>0.00920868132002737</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4187.1</v>
      </c>
      <c r="AS22" s="8" t="n">
        <f aca="false">AR22-AQ22</f>
        <v>-766.9</v>
      </c>
      <c r="AT22" s="9" t="n">
        <f aca="false">IF(AQ22&gt;0,AS22/AQ22,"")</f>
        <v>-0.154804198627372</v>
      </c>
      <c r="AU22" s="9" t="n">
        <f aca="false">IF(AR$6=0,"",AR22/AR$6)</f>
        <v>0.0186822611654694</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65597.9</v>
      </c>
      <c r="AZ22" s="8" t="n">
        <f aca="false">AY22-AX22</f>
        <v>-6850.09999999999</v>
      </c>
      <c r="BA22" s="9" t="n">
        <f aca="false">IF(AX22&gt;0,AZ22/AX22,"")</f>
        <v>-0.0945519545053002</v>
      </c>
      <c r="BB22" s="9" t="n">
        <f aca="false">IF(AY$6=0,"",AY22/AY$6)</f>
        <v>0.0122063235041093</v>
      </c>
    </row>
    <row r="23" customFormat="false" ht="15" hidden="false" customHeight="false" outlineLevel="0" collapsed="false">
      <c r="A23" s="5" t="n">
        <v>17</v>
      </c>
      <c r="B23" s="45" t="s">
        <v>95</v>
      </c>
      <c r="C23" s="7" t="n">
        <f aca="false">IFERROR(INDEX(Prices!$C$6:$C$300,MATCH($B23,Prices!$A$6:$A$300,0)),"")</f>
        <v>7244</v>
      </c>
      <c r="D23" s="46" t="str">
        <f aca="false">IFERROR(INDEX(Prices!$D$6:$D$300,MATCH($B23,Prices!$A$6:$A$300,0)),"")</f>
        <v>Close 29.10.2026 live (~11:20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362200</v>
      </c>
      <c r="J23" s="48" t="n">
        <f aca="false">I23-H23</f>
        <v>-8218</v>
      </c>
      <c r="K23" s="50" t="n">
        <f aca="false">IF(H23&gt;0,J23/H23,"")</f>
        <v>-0.022185746912947</v>
      </c>
      <c r="L23" s="51" t="n">
        <f aca="false">IF(I$6=0,"",I23/I$6)</f>
        <v>0.00928523476615117</v>
      </c>
      <c r="M23" s="52" t="n">
        <f aca="false">SUMIFS(Gautam!$D$7:$D$300,Gautam!$B$7:$B$300,$B23)</f>
        <v>24</v>
      </c>
      <c r="N23" s="8" t="n">
        <f aca="false">IF(AND(M23&gt;0,O23&gt;0),O23/M23,"")</f>
        <v>7343.25</v>
      </c>
      <c r="O23" s="8" t="n">
        <f aca="false">SUMIFS(Gautam!$E$7:$E$300,Gautam!$B$7:$B$300,$B23)</f>
        <v>176238</v>
      </c>
      <c r="P23" s="8" t="n">
        <f aca="false">SUMIFS(Gautam!$H$7:$H$300,Gautam!$B$7:$B$300,$B23)</f>
        <v>173856</v>
      </c>
      <c r="Q23" s="8" t="n">
        <f aca="false">P23-O23</f>
        <v>-2382</v>
      </c>
      <c r="R23" s="9" t="n">
        <f aca="false">IF(O23&gt;0,Q23/O23,"")</f>
        <v>-0.0135158138426446</v>
      </c>
      <c r="S23" s="9" t="n">
        <f aca="false">IF(P$6=0,"",P23/P$6)</f>
        <v>0.0304577753570533</v>
      </c>
      <c r="T23" s="52" t="n">
        <f aca="false">SUMIFS(DA!$D$7:$D$300,DA!$B$7:$B$300,$B23)</f>
        <v>9</v>
      </c>
      <c r="U23" s="8" t="n">
        <f aca="false">IF(AND(T23&gt;0,V23&gt;0),V23/T23,"")</f>
        <v>8030.22222222222</v>
      </c>
      <c r="V23" s="8" t="n">
        <f aca="false">SUMIFS(DA!$E$7:$E$300,DA!$B$7:$B$300,$B23)</f>
        <v>72272</v>
      </c>
      <c r="W23" s="8" t="n">
        <f aca="false">SUMIFS(DA!$H$7:$H$300,DA!$B$7:$B$300,$B23)</f>
        <v>65196</v>
      </c>
      <c r="X23" s="8" t="n">
        <f aca="false">W23-V23</f>
        <v>-7076</v>
      </c>
      <c r="Y23" s="9" t="n">
        <f aca="false">IF(V23&gt;0,X23/V23,"")</f>
        <v>-0.0979079034757582</v>
      </c>
      <c r="Z23" s="9" t="n">
        <f aca="false">IF(W$6=0,"",W23/W$6)</f>
        <v>0.016061185440189</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43464</v>
      </c>
      <c r="AE23" s="8" t="n">
        <f aca="false">AD23-AC23</f>
        <v>-283</v>
      </c>
      <c r="AF23" s="9" t="n">
        <f aca="false">IF(AC23&gt;0,AE23/AC23,"")</f>
        <v>-0.00646901501817268</v>
      </c>
      <c r="AG23" s="9" t="n">
        <f aca="false">IF(AD$6=0,"",AD23/AD$6)</f>
        <v>0.00367694722160478</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57952</v>
      </c>
      <c r="AL23" s="8" t="n">
        <f aca="false">AK23-AJ23</f>
        <v>508</v>
      </c>
      <c r="AM23" s="9" t="n">
        <f aca="false">IF(AJ23&gt;0,AL23/AJ23,"")</f>
        <v>0.00884339530673351</v>
      </c>
      <c r="AN23" s="9" t="n">
        <f aca="false">IF(AK$6=0,"",AK23/AK$6)</f>
        <v>0.00490206641881958</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21732</v>
      </c>
      <c r="AZ23" s="8" t="n">
        <f aca="false">AY23-AX23</f>
        <v>1015</v>
      </c>
      <c r="BA23" s="9" t="n">
        <f aca="false">IF(AX23&gt;0,AZ23/AX23,"")</f>
        <v>0.0489935801515663</v>
      </c>
      <c r="BB23" s="9" t="n">
        <f aca="false">IF(AY$6=0,"",AY23/AY$6)</f>
        <v>0.00404384625714089</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23.10 + trades 29.10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0.00808497794558535</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0.0266803855282583</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408.9</v>
      </c>
      <c r="D25" s="46" t="str">
        <f aca="false">IFERROR(INDEX(Prices!$D$6:$D$300,MATCH($B25,Prices!$A$6:$A$300,0)),"")</f>
        <v>Close 29.10.2026 live (~11:20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286230</v>
      </c>
      <c r="J25" s="48" t="n">
        <f aca="false">I25-H25</f>
        <v>-54075</v>
      </c>
      <c r="K25" s="50" t="n">
        <f aca="false">IF(H25&gt;0,J25/H25,"")</f>
        <v>-0.158901573588399</v>
      </c>
      <c r="L25" s="51" t="n">
        <f aca="false">IF(I$6=0,"",I25/I$6)</f>
        <v>0.00733769394565281</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286230</v>
      </c>
      <c r="AL25" s="8" t="n">
        <f aca="false">AK25-AJ25</f>
        <v>-54075</v>
      </c>
      <c r="AM25" s="9" t="n">
        <f aca="false">IF(AJ25&gt;0,AL25/AJ25,"")</f>
        <v>-0.158901573588399</v>
      </c>
      <c r="AN25" s="9" t="n">
        <f aca="false">IF(AK$6=0,"",AK25/AK$6)</f>
        <v>0.0242117350748676</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2847.8</v>
      </c>
      <c r="D26" s="46" t="str">
        <f aca="false">IFERROR(INDEX(Prices!$D$6:$D$300,MATCH($B26,Prices!$A$6:$A$300,0)),"")</f>
        <v>Close 29.10.2026 live (~11:20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224976.2</v>
      </c>
      <c r="J26" s="48" t="n">
        <f aca="false">I26-H26</f>
        <v>-2729.20000000001</v>
      </c>
      <c r="K26" s="50" t="n">
        <f aca="false">IF(H26&gt;0,J26/H26,"")</f>
        <v>-0.0119856621757763</v>
      </c>
      <c r="L26" s="51" t="n">
        <f aca="false">IF(I$6=0,"",I26/I$6)</f>
        <v>0.00576741257260237</v>
      </c>
      <c r="M26" s="52" t="n">
        <f aca="false">SUMIFS(Gautam!$D$7:$D$300,Gautam!$B$7:$B$300,$B26)</f>
        <v>36</v>
      </c>
      <c r="N26" s="8" t="n">
        <f aca="false">IF(AND(M26&gt;0,O26&gt;0),O26/M26,"")</f>
        <v>2786.31666666667</v>
      </c>
      <c r="O26" s="8" t="n">
        <f aca="false">SUMIFS(Gautam!$E$7:$E$300,Gautam!$B$7:$B$300,$B26)</f>
        <v>100307.4</v>
      </c>
      <c r="P26" s="8" t="n">
        <f aca="false">SUMIFS(Gautam!$H$7:$H$300,Gautam!$B$7:$B$300,$B26)</f>
        <v>102520.8</v>
      </c>
      <c r="Q26" s="8" t="n">
        <f aca="false">P26-O26</f>
        <v>2213.40000000001</v>
      </c>
      <c r="R26" s="9" t="n">
        <f aca="false">IF(O26&gt;0,Q26/O26,"")</f>
        <v>0.0220661685977307</v>
      </c>
      <c r="S26" s="9" t="n">
        <f aca="false">IF(P$6=0,"",P26/P$6)</f>
        <v>0.0179605851729327</v>
      </c>
      <c r="T26" s="52" t="n">
        <f aca="false">SUMIFS(DA!$D$7:$D$300,DA!$B$7:$B$300,$B26)</f>
        <v>20</v>
      </c>
      <c r="U26" s="8" t="n">
        <f aca="false">IF(AND(T26&gt;0,V26&gt;0),V26/T26,"")</f>
        <v>3009.15</v>
      </c>
      <c r="V26" s="8" t="n">
        <f aca="false">SUMIFS(DA!$E$7:$E$300,DA!$B$7:$B$300,$B26)</f>
        <v>60183</v>
      </c>
      <c r="W26" s="8" t="n">
        <f aca="false">SUMIFS(DA!$H$7:$H$300,DA!$B$7:$B$300,$B26)</f>
        <v>56956</v>
      </c>
      <c r="X26" s="8" t="n">
        <f aca="false">W26-V26</f>
        <v>-3227</v>
      </c>
      <c r="Y26" s="9" t="n">
        <f aca="false">IF(V26&gt;0,X26/V26,"")</f>
        <v>-0.0536197929647907</v>
      </c>
      <c r="Z26" s="9" t="n">
        <f aca="false">IF(W$6=0,"",W26/W$6)</f>
        <v>0.0140312423757808</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28478</v>
      </c>
      <c r="AE26" s="8" t="n">
        <f aca="false">AD26-AC26</f>
        <v>-2058</v>
      </c>
      <c r="AF26" s="9" t="n">
        <f aca="false">IF(AC26&gt;0,AE26/AC26,"")</f>
        <v>-0.0673958606235263</v>
      </c>
      <c r="AG26" s="9" t="n">
        <f aca="false">IF(AD$6=0,"",AD26/AD$6)</f>
        <v>0.00240916857576065</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22782.4</v>
      </c>
      <c r="AL26" s="8" t="n">
        <f aca="false">AK26-AJ26</f>
        <v>652.400000000002</v>
      </c>
      <c r="AM26" s="9" t="n">
        <f aca="false">IF(AJ26&gt;0,AL26/AJ26,"")</f>
        <v>0.0294803434252147</v>
      </c>
      <c r="AN26" s="9" t="n">
        <f aca="false">IF(AK$6=0,"",AK26/AK$6)</f>
        <v>0.00192712655266626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14239</v>
      </c>
      <c r="AZ26" s="8" t="n">
        <f aca="false">AY26-AX26</f>
        <v>-310</v>
      </c>
      <c r="BA26" s="9" t="n">
        <f aca="false">IF(AX26&gt;0,AZ26/AX26,"")</f>
        <v>-0.0213073063440786</v>
      </c>
      <c r="BB26" s="9" t="n">
        <f aca="false">IF(AY$6=0,"",AY26/AY$6)</f>
        <v>0.00264956409237204</v>
      </c>
    </row>
    <row r="27" customFormat="false" ht="15" hidden="false" customHeight="false" outlineLevel="0" collapsed="false">
      <c r="A27" s="5" t="n">
        <v>21</v>
      </c>
      <c r="B27" s="45" t="s">
        <v>99</v>
      </c>
      <c r="C27" s="7" t="n">
        <f aca="false">IFERROR(INDEX(Prices!$C$6:$C$300,MATCH($B27,Prices!$A$6:$A$300,0)),"")</f>
        <v>1175</v>
      </c>
      <c r="D27" s="46" t="str">
        <f aca="false">IFERROR(INDEX(Prices!$D$6:$D$300,MATCH($B27,Prices!$A$6:$A$300,0)),"")</f>
        <v>Close 29.10.2026 live (~11:20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217375</v>
      </c>
      <c r="J27" s="48" t="n">
        <f aca="false">I27-H27</f>
        <v>-29200</v>
      </c>
      <c r="K27" s="50" t="n">
        <f aca="false">IF(H27&gt;0,J27/H27,"")</f>
        <v>-0.118422386697759</v>
      </c>
      <c r="L27" s="51" t="n">
        <f aca="false">IF(I$6=0,"",I27/I$6)</f>
        <v>0.00557255082079544</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179775</v>
      </c>
      <c r="X27" s="8" t="n">
        <f aca="false">W27-V27</f>
        <v>-28165</v>
      </c>
      <c r="Y27" s="9" t="n">
        <f aca="false">IF(V27&gt;0,X27/V27,"")</f>
        <v>-0.135447725305377</v>
      </c>
      <c r="Z27" s="9" t="n">
        <f aca="false">IF(W$6=0,"",W27/W$6)</f>
        <v>0.0442879871849497</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37600</v>
      </c>
      <c r="AE27" s="8" t="n">
        <f aca="false">AD27-AC27</f>
        <v>-1035</v>
      </c>
      <c r="AF27" s="9" t="n">
        <f aca="false">IF(AC27&gt;0,AE27/AC27,"")</f>
        <v>-0.0267891807946163</v>
      </c>
      <c r="AG27" s="9" t="n">
        <f aca="false">IF(AD$6=0,"",AD27/AD$6)</f>
        <v>0.00318086728171222</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1063.4</v>
      </c>
      <c r="D28" s="46" t="str">
        <f aca="false">IFERROR(INDEX(Prices!$D$6:$D$300,MATCH($B28,Prices!$A$6:$A$300,0)),"")</f>
        <v>Close 29.10.2026 live (~11:20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203109.4</v>
      </c>
      <c r="J28" s="48" t="n">
        <f aca="false">I28-H28</f>
        <v>-98575.7</v>
      </c>
      <c r="K28" s="50" t="n">
        <f aca="false">IF(H28&gt;0,J28/H28,"")</f>
        <v>-0.326750310174417</v>
      </c>
      <c r="L28" s="51" t="n">
        <f aca="false">IF(I$6=0,"",I28/I$6)</f>
        <v>0.00520684280014385</v>
      </c>
      <c r="M28" s="52" t="n">
        <f aca="false">SUMIFS(Gautam!$D$7:$D$300,Gautam!$B$7:$B$300,$B28)</f>
        <v>24</v>
      </c>
      <c r="N28" s="8" t="n">
        <f aca="false">IF(AND(M28&gt;0,O28&gt;0),O28/M28,"")</f>
        <v>1126.50416666667</v>
      </c>
      <c r="O28" s="8" t="n">
        <f aca="false">SUMIFS(Gautam!$E$7:$E$300,Gautam!$B$7:$B$300,$B28)</f>
        <v>27036.1</v>
      </c>
      <c r="P28" s="8" t="n">
        <f aca="false">SUMIFS(Gautam!$H$7:$H$300,Gautam!$B$7:$B$300,$B28)</f>
        <v>25521.6</v>
      </c>
      <c r="Q28" s="8" t="n">
        <f aca="false">P28-O28</f>
        <v>-1514.5</v>
      </c>
      <c r="R28" s="9" t="n">
        <f aca="false">IF(O28&gt;0,Q28/O28,"")</f>
        <v>-0.0560176948598354</v>
      </c>
      <c r="S28" s="9" t="n">
        <f aca="false">IF(P$6=0,"",P28/P$6)</f>
        <v>0.00447112069501525</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18077.8</v>
      </c>
      <c r="AE28" s="8" t="n">
        <f aca="false">AD28-AC28</f>
        <v>-11616.2</v>
      </c>
      <c r="AF28" s="9" t="n">
        <f aca="false">IF(AC28&gt;0,AE28/AC28,"")</f>
        <v>-0.39119687478952</v>
      </c>
      <c r="AG28" s="9" t="n">
        <f aca="false">IF(AD$6=0,"",AD28/AD$6)</f>
        <v>0.00152933730173769</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72311.2</v>
      </c>
      <c r="AL28" s="8" t="n">
        <f aca="false">AK28-AJ28</f>
        <v>-11902.8</v>
      </c>
      <c r="AM28" s="9" t="n">
        <f aca="false">IF(AJ28&gt;0,AL28/AJ28,"")</f>
        <v>-0.141339919728311</v>
      </c>
      <c r="AN28" s="9" t="n">
        <f aca="false">IF(AK$6=0,"",AK28/AK$6)</f>
        <v>0.00611668803880016</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87198.8</v>
      </c>
      <c r="AZ28" s="8" t="n">
        <f aca="false">AY28-AX28</f>
        <v>-73542.2</v>
      </c>
      <c r="BA28" s="9" t="n">
        <f aca="false">IF(AX28&gt;0,AZ28/AX28,"")</f>
        <v>-0.457519861143081</v>
      </c>
      <c r="BB28" s="9" t="n">
        <f aca="false">IF(AY$6=0,"",AY28/AY$6)</f>
        <v>0.0162257749405106</v>
      </c>
    </row>
    <row r="29" customFormat="false" ht="15" hidden="false" customHeight="false" outlineLevel="0" collapsed="false">
      <c r="A29" s="5" t="n">
        <v>23</v>
      </c>
      <c r="B29" s="45" t="s">
        <v>101</v>
      </c>
      <c r="C29" s="7" t="n">
        <f aca="false">IFERROR(INDEX(Prices!$C$6:$C$300,MATCH($B29,Prices!$A$6:$A$300,0)),"")</f>
        <v>3153.9</v>
      </c>
      <c r="D29" s="46" t="str">
        <f aca="false">IFERROR(INDEX(Prices!$D$6:$D$300,MATCH($B29,Prices!$A$6:$A$300,0)),"")</f>
        <v>Close 29.10.2026 live (~11:20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198695.7</v>
      </c>
      <c r="J29" s="48" t="n">
        <f aca="false">I29-H29</f>
        <v>-36096.3</v>
      </c>
      <c r="K29" s="50" t="n">
        <f aca="false">IF(H29&gt;0,J29/H29,"")</f>
        <v>-0.15373735050598</v>
      </c>
      <c r="L29" s="51" t="n">
        <f aca="false">IF(I$6=0,"",I29/I$6)</f>
        <v>0.00509369470327096</v>
      </c>
      <c r="M29" s="52" t="n">
        <f aca="false">SUMIFS(Gautam!$D$7:$D$300,Gautam!$B$7:$B$300,$B29)</f>
        <v>29</v>
      </c>
      <c r="N29" s="8" t="n">
        <f aca="false">IF(AND(M29&gt;0,O29&gt;0),O29/M29,"")</f>
        <v>3643.65517241379</v>
      </c>
      <c r="O29" s="8" t="n">
        <f aca="false">SUMIFS(Gautam!$E$7:$E$300,Gautam!$B$7:$B$300,$B29)</f>
        <v>105666</v>
      </c>
      <c r="P29" s="8" t="n">
        <f aca="false">SUMIFS(Gautam!$H$7:$H$300,Gautam!$B$7:$B$300,$B29)</f>
        <v>91463.1</v>
      </c>
      <c r="Q29" s="8" t="n">
        <f aca="false">P29-O29</f>
        <v>-14202.9</v>
      </c>
      <c r="R29" s="9" t="n">
        <f aca="false">IF(O29&gt;0,Q29/O29,"")</f>
        <v>-0.134413150871614</v>
      </c>
      <c r="S29" s="9" t="n">
        <f aca="false">IF(P$6=0,"",P29/P$6)</f>
        <v>0.0160233903532791</v>
      </c>
      <c r="T29" s="52" t="n">
        <f aca="false">SUMIFS(DA!$D$7:$D$300,DA!$B$7:$B$300,$B29)</f>
        <v>14</v>
      </c>
      <c r="U29" s="8" t="n">
        <f aca="false">IF(AND(T29&gt;0,V29&gt;0),V29/T29,"")</f>
        <v>3974.42857142857</v>
      </c>
      <c r="V29" s="8" t="n">
        <f aca="false">SUMIFS(DA!$E$7:$E$300,DA!$B$7:$B$300,$B29)</f>
        <v>55642</v>
      </c>
      <c r="W29" s="8" t="n">
        <f aca="false">SUMIFS(DA!$H$7:$H$300,DA!$B$7:$B$300,$B29)</f>
        <v>44154.6</v>
      </c>
      <c r="X29" s="8" t="n">
        <f aca="false">W29-V29</f>
        <v>-11487.4</v>
      </c>
      <c r="Y29" s="9" t="n">
        <f aca="false">IF(V29&gt;0,X29/V29,"")</f>
        <v>-0.206451960749074</v>
      </c>
      <c r="Z29" s="9" t="n">
        <f aca="false">IF(W$6=0,"",W29/W$6)</f>
        <v>0.010877587867927</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18923.4</v>
      </c>
      <c r="AE29" s="8" t="n">
        <f aca="false">AD29-AC29</f>
        <v>-4713.6</v>
      </c>
      <c r="AF29" s="9" t="n">
        <f aca="false">IF(AC29&gt;0,AE29/AC29,"")</f>
        <v>-0.199416169564666</v>
      </c>
      <c r="AG29" s="9" t="n">
        <f aca="false">IF(AD$6=0,"",AD29/AD$6)</f>
        <v>0.00160087297656258</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31539</v>
      </c>
      <c r="AL29" s="8" t="n">
        <f aca="false">AK29-AJ29</f>
        <v>-3568</v>
      </c>
      <c r="AM29" s="9" t="n">
        <f aca="false">IF(AJ29&gt;0,AL29/AJ29,"")</f>
        <v>-0.101632153131854</v>
      </c>
      <c r="AN29" s="9" t="n">
        <f aca="false">IF(AK$6=0,"",AK29/AK$6)</f>
        <v>0.00266783325481693</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12615.6</v>
      </c>
      <c r="AZ29" s="8" t="n">
        <f aca="false">AY29-AX29</f>
        <v>-2124.4</v>
      </c>
      <c r="BA29" s="9" t="n">
        <f aca="false">IF(AX29&gt;0,AZ29/AX29,"")</f>
        <v>-0.144124830393487</v>
      </c>
      <c r="BB29" s="9" t="n">
        <f aca="false">IF(AY$6=0,"",AY29/AY$6)</f>
        <v>0.00234748512983557</v>
      </c>
    </row>
    <row r="30" customFormat="false" ht="15" hidden="false" customHeight="false" outlineLevel="0" collapsed="false">
      <c r="A30" s="5" t="n">
        <v>24</v>
      </c>
      <c r="B30" s="45" t="s">
        <v>102</v>
      </c>
      <c r="C30" s="7" t="n">
        <f aca="false">IFERROR(INDEX(Prices!$C$6:$C$300,MATCH($B30,Prices!$A$6:$A$300,0)),"")</f>
        <v>1273</v>
      </c>
      <c r="D30" s="46" t="str">
        <f aca="false">IFERROR(INDEX(Prices!$D$6:$D$300,MATCH($B30,Prices!$A$6:$A$300,0)),"")</f>
        <v>Close 29.10.2026 live (~11:20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170582</v>
      </c>
      <c r="J30" s="48" t="n">
        <f aca="false">I30-H30</f>
        <v>118924</v>
      </c>
      <c r="K30" s="50" t="n">
        <f aca="false">IF(H30&gt;0,J30/H30,"")</f>
        <v>2.3021410042975</v>
      </c>
      <c r="L30" s="51" t="n">
        <f aca="false">IF(I$6=0,"",I30/I$6)</f>
        <v>0.00437298154853561</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170582</v>
      </c>
      <c r="AE30" s="8" t="n">
        <f aca="false">AD30-AC30</f>
        <v>118924</v>
      </c>
      <c r="AF30" s="9" t="n">
        <f aca="false">IF(AC30&gt;0,AE30/AC30,"")</f>
        <v>2.3021410042975</v>
      </c>
      <c r="AG30" s="9" t="n">
        <f aca="false">IF(AD$6=0,"",AD30/AD$6)</f>
        <v>0.0144308165598147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804.05</v>
      </c>
      <c r="D31" s="46" t="str">
        <f aca="false">IFERROR(INDEX(Prices!$D$6:$D$300,MATCH($B31,Prices!$A$6:$A$300,0)),"")</f>
        <v>Close 29.10.2026 live (~11:20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146337.1</v>
      </c>
      <c r="J31" s="48" t="n">
        <f aca="false">I31-H31</f>
        <v>-6350.95000000001</v>
      </c>
      <c r="K31" s="50" t="n">
        <f aca="false">IF(H31&gt;0,J31/H31,"")</f>
        <v>-0.0415942832461349</v>
      </c>
      <c r="L31" s="51" t="n">
        <f aca="false">IF(I$6=0,"",I31/I$6)</f>
        <v>0.0037514476214736</v>
      </c>
      <c r="M31" s="52" t="n">
        <f aca="false">SUMIFS(Gautam!$D$7:$D$300,Gautam!$B$7:$B$300,$B31)</f>
        <v>87</v>
      </c>
      <c r="N31" s="8" t="n">
        <f aca="false">IF(AND(M31&gt;0,O31&gt;0),O31/M31,"")</f>
        <v>823.15</v>
      </c>
      <c r="O31" s="8" t="n">
        <f aca="false">SUMIFS(Gautam!$E$7:$E$300,Gautam!$B$7:$B$300,$B31)</f>
        <v>71614.05</v>
      </c>
      <c r="P31" s="8" t="n">
        <f aca="false">SUMIFS(Gautam!$H$7:$H$300,Gautam!$B$7:$B$300,$B31)</f>
        <v>69952.35</v>
      </c>
      <c r="Q31" s="8" t="n">
        <f aca="false">P31-O31</f>
        <v>-1661.70000000001</v>
      </c>
      <c r="R31" s="9" t="n">
        <f aca="false">IF(O31&gt;0,Q31/O31,"")</f>
        <v>-0.0232035473486001</v>
      </c>
      <c r="S31" s="9" t="n">
        <f aca="false">IF(P$6=0,"",P31/P$6)</f>
        <v>0.0122549291482489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4020.25</v>
      </c>
      <c r="AE31" s="8" t="n">
        <f aca="false">AD31-AC31</f>
        <v>703.25</v>
      </c>
      <c r="AF31" s="9" t="n">
        <f aca="false">IF(AC31&gt;0,AE31/AC31,"")</f>
        <v>0.21201386795297</v>
      </c>
      <c r="AG31" s="9" t="n">
        <f aca="false">IF(AD$6=0,"",AD31/AD$6)</f>
        <v>0.000340103236417648</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65932.1</v>
      </c>
      <c r="AL31" s="8" t="n">
        <f aca="false">AK31-AJ31</f>
        <v>-5064.90000000001</v>
      </c>
      <c r="AM31" s="9" t="n">
        <f aca="false">IF(AJ31&gt;0,AL31/AJ31,"")</f>
        <v>-0.0713396340690453</v>
      </c>
      <c r="AN31" s="9" t="n">
        <f aca="false">IF(AK$6=0,"",AK31/AK$6)</f>
        <v>0.00557709023557866</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6432.4</v>
      </c>
      <c r="AZ31" s="8" t="n">
        <f aca="false">AY31-AX31</f>
        <v>-327.6</v>
      </c>
      <c r="BA31" s="9" t="n">
        <f aca="false">IF(AX31&gt;0,AZ31/AX31,"")</f>
        <v>-0.0484615384615385</v>
      </c>
      <c r="BB31" s="9" t="n">
        <f aca="false">IF(AY$6=0,"",AY31/AY$6)</f>
        <v>0.0011969278789082</v>
      </c>
    </row>
    <row r="32" customFormat="false" ht="15" hidden="false" customHeight="false" outlineLevel="0" collapsed="false">
      <c r="A32" s="5" t="n">
        <v>26</v>
      </c>
      <c r="B32" s="45" t="s">
        <v>104</v>
      </c>
      <c r="C32" s="7" t="n">
        <f aca="false">IFERROR(INDEX(Prices!$C$6:$C$300,MATCH($B32,Prices!$A$6:$A$300,0)),"")</f>
        <v>2298.1</v>
      </c>
      <c r="D32" s="46" t="str">
        <f aca="false">IFERROR(INDEX(Prices!$D$6:$D$300,MATCH($B32,Prices!$A$6:$A$300,0)),"")</f>
        <v>Close 29.10.2026 live (~11:20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133289.8</v>
      </c>
      <c r="J32" s="48" t="n">
        <f aca="false">I32-H32</f>
        <v>-12620.4</v>
      </c>
      <c r="K32" s="50" t="n">
        <f aca="false">IF(H32&gt;0,J32/H32,"")</f>
        <v>-0.0864942958065988</v>
      </c>
      <c r="L32" s="51" t="n">
        <f aca="false">IF(I$6=0,"",I32/I$6)</f>
        <v>0.00341697152107492</v>
      </c>
      <c r="M32" s="52" t="n">
        <f aca="false">SUMIFS(Gautam!$D$7:$D$300,Gautam!$B$7:$B$300,$B32)</f>
        <v>33</v>
      </c>
      <c r="N32" s="8" t="n">
        <f aca="false">IF(AND(M32&gt;0,O32&gt;0),O32/M32,"")</f>
        <v>2468.73333333333</v>
      </c>
      <c r="O32" s="8" t="n">
        <f aca="false">SUMIFS(Gautam!$E$7:$E$300,Gautam!$B$7:$B$300,$B32)</f>
        <v>81468.2</v>
      </c>
      <c r="P32" s="8" t="n">
        <f aca="false">SUMIFS(Gautam!$H$7:$H$300,Gautam!$B$7:$B$300,$B32)</f>
        <v>75837.3</v>
      </c>
      <c r="Q32" s="8" t="n">
        <f aca="false">P32-O32</f>
        <v>-5630.89999999999</v>
      </c>
      <c r="R32" s="9" t="n">
        <f aca="false">IF(O32&gt;0,Q32/O32,"")</f>
        <v>-0.0691177661958899</v>
      </c>
      <c r="S32" s="9" t="n">
        <f aca="false">IF(P$6=0,"",P32/P$6)</f>
        <v>0.0132859115997461</v>
      </c>
      <c r="T32" s="52" t="n">
        <f aca="false">SUMIFS(DA!$D$7:$D$300,DA!$B$7:$B$300,$B32)</f>
        <v>8</v>
      </c>
      <c r="U32" s="8" t="n">
        <f aca="false">IF(AND(T32&gt;0,V32&gt;0),V32/T32,"")</f>
        <v>1757.625</v>
      </c>
      <c r="V32" s="8" t="n">
        <f aca="false">SUMIFS(DA!$E$7:$E$300,DA!$B$7:$B$300,$B32)</f>
        <v>14061</v>
      </c>
      <c r="W32" s="8" t="n">
        <f aca="false">SUMIFS(DA!$H$7:$H$300,DA!$B$7:$B$300,$B32)</f>
        <v>18384.8</v>
      </c>
      <c r="X32" s="8" t="n">
        <f aca="false">W32-V32</f>
        <v>4323.8</v>
      </c>
      <c r="Y32" s="9" t="n">
        <f aca="false">IF(V32&gt;0,X32/V32,"")</f>
        <v>0.307503022544627</v>
      </c>
      <c r="Z32" s="9" t="n">
        <f aca="false">IF(W$6=0,"",W32/W$6)</f>
        <v>0.00452913801584127</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13788.6</v>
      </c>
      <c r="AE32" s="8" t="n">
        <f aca="false">AD32-AC32</f>
        <v>-5157.4</v>
      </c>
      <c r="AF32" s="9" t="n">
        <f aca="false">IF(AC32&gt;0,AE32/AC32,"")</f>
        <v>-0.272215771139027</v>
      </c>
      <c r="AG32" s="9" t="n">
        <f aca="false">IF(AD$6=0,"",AD32/AD$6)</f>
        <v>0.00116648155852705</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25279.1</v>
      </c>
      <c r="AL32" s="8" t="n">
        <f aca="false">AK32-AJ32</f>
        <v>-6155.9</v>
      </c>
      <c r="AM32" s="9" t="n">
        <f aca="false">IF(AJ32&gt;0,AL32/AJ32,"")</f>
        <v>-0.195829489422618</v>
      </c>
      <c r="AN32" s="9" t="n">
        <f aca="false">IF(AK$6=0,"",AK32/AK$6)</f>
        <v>0.00213831838776888</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1178.4</v>
      </c>
      <c r="D33" s="46" t="str">
        <f aca="false">IFERROR(INDEX(Prices!$D$6:$D$300,MATCH($B33,Prices!$A$6:$A$300,0)),"")</f>
        <v>Close 29.10.2026 live (~11:20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97807.2</v>
      </c>
      <c r="J33" s="48" t="n">
        <f aca="false">I33-H33</f>
        <v>-7455.8</v>
      </c>
      <c r="K33" s="50" t="n">
        <f aca="false">IF(H33&gt;0,J33/H33,"")</f>
        <v>-0.0708302062453094</v>
      </c>
      <c r="L33" s="51" t="n">
        <f aca="false">IF(I$6=0,"",I33/I$6)</f>
        <v>0.00250735177752595</v>
      </c>
      <c r="M33" s="52" t="n">
        <f aca="false">SUMIFS(Gautam!$D$7:$D$300,Gautam!$B$7:$B$300,$B33)</f>
        <v>22</v>
      </c>
      <c r="N33" s="8" t="n">
        <f aca="false">IF(AND(M33&gt;0,O33&gt;0),O33/M33,"")</f>
        <v>1258.31818181818</v>
      </c>
      <c r="O33" s="8" t="n">
        <f aca="false">SUMIFS(Gautam!$E$7:$E$300,Gautam!$B$7:$B$300,$B33)</f>
        <v>27683</v>
      </c>
      <c r="P33" s="8" t="n">
        <f aca="false">SUMIFS(Gautam!$H$7:$H$300,Gautam!$B$7:$B$300,$B33)</f>
        <v>25924.8</v>
      </c>
      <c r="Q33" s="8" t="n">
        <f aca="false">P33-O33</f>
        <v>-1758.2</v>
      </c>
      <c r="R33" s="9" t="n">
        <f aca="false">IF(O33&gt;0,Q33/O33,"")</f>
        <v>-0.0635119026117111</v>
      </c>
      <c r="S33" s="9" t="n">
        <f aca="false">IF(P$6=0,"",P33/P$6)</f>
        <v>0.00454175717016689</v>
      </c>
      <c r="T33" s="52" t="n">
        <f aca="false">SUMIFS(DA!$D$7:$D$300,DA!$B$7:$B$300,$B33)</f>
        <v>53</v>
      </c>
      <c r="U33" s="8" t="n">
        <f aca="false">IF(AND(T33&gt;0,V33&gt;0),V33/T33,"")</f>
        <v>1263.69811320755</v>
      </c>
      <c r="V33" s="8" t="n">
        <f aca="false">SUMIFS(DA!$E$7:$E$300,DA!$B$7:$B$300,$B33)</f>
        <v>66976</v>
      </c>
      <c r="W33" s="8" t="n">
        <f aca="false">SUMIFS(DA!$H$7:$H$300,DA!$B$7:$B$300,$B33)</f>
        <v>62455.2</v>
      </c>
      <c r="X33" s="8" t="n">
        <f aca="false">W33-V33</f>
        <v>-4520.8</v>
      </c>
      <c r="Y33" s="9" t="n">
        <f aca="false">IF(V33&gt;0,X33/V33,"")</f>
        <v>-0.0674988055422837</v>
      </c>
      <c r="Z33" s="9" t="n">
        <f aca="false">IF(W$6=0,"",W33/W$6)</f>
        <v>0.0153859830189597</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8248.8</v>
      </c>
      <c r="AL33" s="8" t="n">
        <f aca="false">AK33-AJ33</f>
        <v>-861.199999999999</v>
      </c>
      <c r="AM33" s="9" t="n">
        <f aca="false">IF(AJ33&gt;0,AL33/AJ33,"")</f>
        <v>-0.0945334796926453</v>
      </c>
      <c r="AN33" s="9" t="n">
        <f aca="false">IF(AK$6=0,"",AK33/AK$6)</f>
        <v>0.000697752717344681</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1178.4</v>
      </c>
      <c r="AZ33" s="8" t="n">
        <f aca="false">AY33-AX33</f>
        <v>-315.6</v>
      </c>
      <c r="BA33" s="9" t="n">
        <f aca="false">IF(AX33&gt;0,AZ33/AX33,"")</f>
        <v>-0.211244979919679</v>
      </c>
      <c r="BB33" s="9" t="n">
        <f aca="false">IF(AY$6=0,"",AY33/AY$6)</f>
        <v>0.000219274269713548</v>
      </c>
    </row>
    <row r="34" customFormat="false" ht="15" hidden="false" customHeight="false" outlineLevel="0" collapsed="false">
      <c r="A34" s="5" t="n">
        <v>28</v>
      </c>
      <c r="B34" s="45" t="s">
        <v>106</v>
      </c>
      <c r="C34" s="7" t="n">
        <f aca="false">IFERROR(INDEX(Prices!$C$6:$C$300,MATCH($B34,Prices!$A$6:$A$300,0)),"")</f>
        <v>4671.6</v>
      </c>
      <c r="D34" s="46" t="str">
        <f aca="false">IFERROR(INDEX(Prices!$D$6:$D$300,MATCH($B34,Prices!$A$6:$A$300,0)),"")</f>
        <v>Close 29.10.2026 live (~11:20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93432</v>
      </c>
      <c r="J34" s="48" t="n">
        <f aca="false">I34-H34</f>
        <v>-10428</v>
      </c>
      <c r="K34" s="50" t="n">
        <f aca="false">IF(H34&gt;0,J34/H34,"")</f>
        <v>-0.100404390525708</v>
      </c>
      <c r="L34" s="51" t="n">
        <f aca="false">IF(I$6=0,"",I34/I$6)</f>
        <v>0.00239519065342638</v>
      </c>
      <c r="M34" s="52" t="n">
        <f aca="false">SUMIFS(Gautam!$D$7:$D$300,Gautam!$B$7:$B$300,$B34)</f>
        <v>20</v>
      </c>
      <c r="N34" s="8" t="n">
        <f aca="false">IF(AND(M34&gt;0,O34&gt;0),O34/M34,"")</f>
        <v>5193</v>
      </c>
      <c r="O34" s="8" t="n">
        <f aca="false">SUMIFS(Gautam!$E$7:$E$300,Gautam!$B$7:$B$300,$B34)</f>
        <v>103860</v>
      </c>
      <c r="P34" s="8" t="n">
        <f aca="false">SUMIFS(Gautam!$H$7:$H$300,Gautam!$B$7:$B$300,$B34)</f>
        <v>93432</v>
      </c>
      <c r="Q34" s="8" t="n">
        <f aca="false">P34-O34</f>
        <v>-10428</v>
      </c>
      <c r="R34" s="9" t="n">
        <f aca="false">IF(O34&gt;0,Q34/O34,"")</f>
        <v>-0.100404390525708</v>
      </c>
      <c r="S34" s="9" t="n">
        <f aca="false">IF(P$6=0,"",P34/P$6)</f>
        <v>0.0163683212955561</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206.43</v>
      </c>
      <c r="D35" s="46" t="str">
        <f aca="false">IFERROR(INDEX(Prices!$D$6:$D$300,MATCH($B35,Prices!$A$6:$A$300,0)),"")</f>
        <v>Close 29.10.2026 live (~11:20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92480.64</v>
      </c>
      <c r="J35" s="48" t="n">
        <f aca="false">I35-H35</f>
        <v>-15137.36</v>
      </c>
      <c r="K35" s="50" t="n">
        <f aca="false">IF(H35&gt;0,J35/H35,"")</f>
        <v>-0.140658254195395</v>
      </c>
      <c r="L35" s="51" t="n">
        <f aca="false">IF(I$6=0,"",I35/I$6)</f>
        <v>0.00237080191530621</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85874.88</v>
      </c>
      <c r="X35" s="8" t="n">
        <f aca="false">W35-V35</f>
        <v>-18487.12</v>
      </c>
      <c r="Y35" s="9" t="n">
        <f aca="false">IF(V35&gt;0,X35/V35,"")</f>
        <v>-0.177144171250072</v>
      </c>
      <c r="Z35" s="9" t="n">
        <f aca="false">IF(W$6=0,"",W35/W$6)</f>
        <v>0.0211554753717096</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6605.76</v>
      </c>
      <c r="AE35" s="8" t="n">
        <f aca="false">AD35-AC35</f>
        <v>3349.76</v>
      </c>
      <c r="AF35" s="9" t="n">
        <f aca="false">IF(AC35&gt;0,AE35/AC35,"")</f>
        <v>1.02879606879607</v>
      </c>
      <c r="AG35" s="9" t="n">
        <f aca="false">IF(AD$6=0,"",AD35/AD$6)</f>
        <v>0.000558831006777748</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1906.1</v>
      </c>
      <c r="D36" s="46" t="str">
        <f aca="false">IFERROR(INDEX(Prices!$D$6:$D$300,MATCH($B36,Prices!$A$6:$A$300,0)),"")</f>
        <v>Close 29.10.2026 live (~11:20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83868.4</v>
      </c>
      <c r="J36" s="48" t="n">
        <f aca="false">I36-H36</f>
        <v>31637.4</v>
      </c>
      <c r="K36" s="50" t="n">
        <f aca="false">IF(H36&gt;0,J36/H36,"")</f>
        <v>0.605720740556375</v>
      </c>
      <c r="L36" s="51" t="n">
        <f aca="false">IF(I$6=0,"",I36/I$6)</f>
        <v>0.00215002148940219</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83868.4</v>
      </c>
      <c r="AE36" s="8" t="n">
        <f aca="false">AD36-AC36</f>
        <v>31637.4</v>
      </c>
      <c r="AF36" s="9" t="n">
        <f aca="false">IF(AC36&gt;0,AE36/AC36,"")</f>
        <v>0.605720740556375</v>
      </c>
      <c r="AG36" s="9" t="n">
        <f aca="false">IF(AD$6=0,"",AD36/AD$6)</f>
        <v>0.00709505982791365</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1409.3</v>
      </c>
      <c r="D37" s="46" t="str">
        <f aca="false">IFERROR(INDEX(Prices!$D$6:$D$300,MATCH($B37,Prices!$A$6:$A$300,0)),"")</f>
        <v>Close 29.10.2026 live (~11:20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83148.7</v>
      </c>
      <c r="J37" s="48" t="n">
        <f aca="false">I37-H37</f>
        <v>3724.7</v>
      </c>
      <c r="K37" s="50" t="n">
        <f aca="false">IF(H37&gt;0,J37/H37,"")</f>
        <v>0.046896404109589</v>
      </c>
      <c r="L37" s="51" t="n">
        <f aca="false">IF(I$6=0,"",I37/I$6)</f>
        <v>0.0021315715074552</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70465</v>
      </c>
      <c r="X37" s="8" t="n">
        <f aca="false">W37-V37</f>
        <v>1325</v>
      </c>
      <c r="Y37" s="9" t="n">
        <f aca="false">IF(V37&gt;0,X37/V37,"")</f>
        <v>0.0191640150419439</v>
      </c>
      <c r="Z37" s="9" t="n">
        <f aca="false">IF(W$6=0,"",W37/W$6)</f>
        <v>0.0173592157807675</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12683.7</v>
      </c>
      <c r="AS37" s="8" t="n">
        <f aca="false">AR37-AQ37</f>
        <v>2399.7</v>
      </c>
      <c r="AT37" s="9" t="n">
        <f aca="false">IF(AQ37&gt;0,AS37/AQ37,"")</f>
        <v>0.233343057176196</v>
      </c>
      <c r="AU37" s="9" t="n">
        <f aca="false">IF(AR$6=0,"",AR37/AR$6)</f>
        <v>0.0565929153696984</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26415</v>
      </c>
      <c r="D38" s="46" t="str">
        <f aca="false">IFERROR(INDEX(Prices!$D$6:$D$300,MATCH($B38,Prices!$A$6:$A$300,0)),"")</f>
        <v>Close 29.10.2026 live (~11:20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79245</v>
      </c>
      <c r="J38" s="48" t="n">
        <f aca="false">I38-H38</f>
        <v>24545</v>
      </c>
      <c r="K38" s="50" t="n">
        <f aca="false">IF(H38&gt;0,J38/H38,"")</f>
        <v>0.44872029250457</v>
      </c>
      <c r="L38" s="51" t="n">
        <f aca="false">IF(I$6=0,"",I38/I$6)</f>
        <v>0.00203149759537175</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79245</v>
      </c>
      <c r="AE38" s="8" t="n">
        <f aca="false">AD38-AC38</f>
        <v>24545</v>
      </c>
      <c r="AF38" s="9" t="n">
        <f aca="false">IF(AC38&gt;0,AE38/AC38,"")</f>
        <v>0.44872029250457</v>
      </c>
      <c r="AG38" s="9" t="n">
        <f aca="false">IF(AD$6=0,"",AD38/AD$6)</f>
        <v>0.00670393158881077</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453.35</v>
      </c>
      <c r="D39" s="46" t="str">
        <f aca="false">IFERROR(INDEX(Prices!$D$6:$D$300,MATCH($B39,Prices!$A$6:$A$300,0)),"")</f>
        <v>Close 29.10.2026 live (~11:20 IST) (Screener.in)</v>
      </c>
      <c r="E39" s="6" t="n">
        <f aca="false">(M39&gt;0)+(T39&gt;0)+(AA39&gt;0)+(AH39&gt;0)+(AO39&gt;0)+(AV39&gt;0)</f>
        <v>1</v>
      </c>
      <c r="F39" s="47" t="n">
        <f aca="false">M39+T39+AA39+AH39+AO39+AV39</f>
        <v>160</v>
      </c>
      <c r="G39" s="48" t="n">
        <f aca="false">IF(AND(F39&gt;0,H39&gt;0),H39/F39,"")</f>
        <v>396.88125</v>
      </c>
      <c r="H39" s="48" t="n">
        <f aca="false">O39+V39+AC39+AJ39+AQ39+AX39</f>
        <v>63501</v>
      </c>
      <c r="I39" s="49" t="n">
        <f aca="false">P39+W39+AD39+AK39+AR39+AY39</f>
        <v>72536</v>
      </c>
      <c r="J39" s="48" t="n">
        <f aca="false">I39-H39</f>
        <v>9035</v>
      </c>
      <c r="K39" s="50" t="n">
        <f aca="false">IF(H39&gt;0,J39/H39,"")</f>
        <v>0.142281223917734</v>
      </c>
      <c r="L39" s="51" t="n">
        <f aca="false">IF(I$6=0,"",I39/I$6)</f>
        <v>0.00185950797624942</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160</v>
      </c>
      <c r="AB39" s="8" t="n">
        <f aca="false">IF(AND(AA39&gt;0,AC39&gt;0),AC39/AA39,"")</f>
        <v>396.88125</v>
      </c>
      <c r="AC39" s="8" t="n">
        <f aca="false">SUMIFS('Manish Shilpa'!$E$7:$E$300,'Manish Shilpa'!$B$7:$B$300,$B39)</f>
        <v>63501</v>
      </c>
      <c r="AD39" s="8" t="n">
        <f aca="false">SUMIFS('Manish Shilpa'!$H$7:$H$300,'Manish Shilpa'!$B$7:$B$300,$B39)</f>
        <v>72536</v>
      </c>
      <c r="AE39" s="8" t="n">
        <f aca="false">AD39-AC39</f>
        <v>9035</v>
      </c>
      <c r="AF39" s="9" t="n">
        <f aca="false">IF(AC39&gt;0,AE39/AC39,"")</f>
        <v>0.142281223917734</v>
      </c>
      <c r="AG39" s="9" t="n">
        <f aca="false">IF(AD$6=0,"",AD39/AD$6)</f>
        <v>0.00613636673261377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1132.2</v>
      </c>
      <c r="D40" s="46" t="str">
        <f aca="false">IFERROR(INDEX(Prices!$D$6:$D$300,MATCH($B40,Prices!$A$6:$A$300,0)),"")</f>
        <v>Close 29.10.2026 live (~11:20 IST) (Screener.in)</v>
      </c>
      <c r="E40" s="6" t="n">
        <f aca="false">(M40&gt;0)+(T40&gt;0)+(AA40&gt;0)+(AH40&gt;0)+(AO40&gt;0)+(AV40&gt;0)</f>
        <v>1</v>
      </c>
      <c r="F40" s="47" t="n">
        <f aca="false">M40+T40+AA40+AH40+AO40+AV40</f>
        <v>64</v>
      </c>
      <c r="G40" s="48" t="n">
        <f aca="false">IF(AND(F40&gt;0,H40&gt;0),H40/F40,"")</f>
        <v>1607.21875</v>
      </c>
      <c r="H40" s="48" t="n">
        <f aca="false">O40+V40+AC40+AJ40+AQ40+AX40</f>
        <v>102862</v>
      </c>
      <c r="I40" s="49" t="n">
        <f aca="false">P40+W40+AD40+AK40+AR40+AY40</f>
        <v>72460.8</v>
      </c>
      <c r="J40" s="48" t="n">
        <f aca="false">I40-H40</f>
        <v>-30401.2</v>
      </c>
      <c r="K40" s="50" t="n">
        <f aca="false">IF(H40&gt;0,J40/H40,"")</f>
        <v>-0.295553265540238</v>
      </c>
      <c r="L40" s="51" t="n">
        <f aca="false">IF(I$6=0,"",I40/I$6)</f>
        <v>0.00185758017488439</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64</v>
      </c>
      <c r="AB40" s="8" t="n">
        <f aca="false">IF(AND(AA40&gt;0,AC40&gt;0),AC40/AA40,"")</f>
        <v>1607.21875</v>
      </c>
      <c r="AC40" s="8" t="n">
        <f aca="false">SUMIFS('Manish Shilpa'!$E$7:$E$300,'Manish Shilpa'!$B$7:$B$300,$B40)</f>
        <v>102862</v>
      </c>
      <c r="AD40" s="8" t="n">
        <f aca="false">SUMIFS('Manish Shilpa'!$H$7:$H$300,'Manish Shilpa'!$B$7:$B$300,$B40)</f>
        <v>72460.8</v>
      </c>
      <c r="AE40" s="8" t="n">
        <f aca="false">AD40-AC40</f>
        <v>-30401.2</v>
      </c>
      <c r="AF40" s="9" t="n">
        <f aca="false">IF(AC40&gt;0,AE40/AC40,"")</f>
        <v>-0.295553265540238</v>
      </c>
      <c r="AG40" s="9" t="n">
        <f aca="false">IF(AD$6=0,"",AD40/AD$6)</f>
        <v>0.00613000499805034</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33925</v>
      </c>
      <c r="D41" s="46" t="str">
        <f aca="false">IFERROR(INDEX(Prices!$D$6:$D$300,MATCH($B41,Prices!$A$6:$A$300,0)),"")</f>
        <v>Close 29.10.2026 live (~11:20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67850</v>
      </c>
      <c r="J41" s="48" t="n">
        <f aca="false">I41-H41</f>
        <v>-25687</v>
      </c>
      <c r="K41" s="50" t="n">
        <f aca="false">IF(H41&gt;0,J41/H41,"")</f>
        <v>-0.274618600126153</v>
      </c>
      <c r="L41" s="51" t="n">
        <f aca="false">IF(I$6=0,"",I41/I$6)</f>
        <v>0.00173937929012523</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67850</v>
      </c>
      <c r="AE41" s="8" t="n">
        <f aca="false">AD41-AC41</f>
        <v>-25687</v>
      </c>
      <c r="AF41" s="9" t="n">
        <f aca="false">IF(AC41&gt;0,AE41/AC41,"")</f>
        <v>-0.274618600126153</v>
      </c>
      <c r="AG41" s="9" t="n">
        <f aca="false">IF(AD$6=0,"",AD41/AD$6)</f>
        <v>0.00573994268787697</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481.15</v>
      </c>
      <c r="D42" s="46" t="str">
        <f aca="false">IFERROR(INDEX(Prices!$D$6:$D$300,MATCH($B42,Prices!$A$6:$A$300,0)),"")</f>
        <v>Close 29.10.2026 live (~11:20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61106.05</v>
      </c>
      <c r="J42" s="48" t="n">
        <f aca="false">I42-H42</f>
        <v>-15882.95</v>
      </c>
      <c r="K42" s="50" t="n">
        <f aca="false">IF(H42&gt;0,J42/H42,"")</f>
        <v>-0.206301549572017</v>
      </c>
      <c r="L42" s="51" t="n">
        <f aca="false">IF(I$6=0,"",I42/I$6)</f>
        <v>0.00156649370480997</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61106.05</v>
      </c>
      <c r="X42" s="8" t="n">
        <f aca="false">W42-V42</f>
        <v>-15882.95</v>
      </c>
      <c r="Y42" s="9" t="n">
        <f aca="false">IF(V42&gt;0,X42/V42,"")</f>
        <v>-0.206301549572017</v>
      </c>
      <c r="Z42" s="9" t="n">
        <f aca="false">IF(W$6=0,"",W42/W$6)</f>
        <v>0.0150536167950099</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503</v>
      </c>
      <c r="G43" s="48" t="n">
        <f aca="false">IF(AND(F43&gt;0,H43&gt;0),H43/F43,"")</f>
        <v>115.741292246521</v>
      </c>
      <c r="H43" s="48" t="n">
        <f aca="false">O43+V43+AC43+AJ43+AQ43+AX43</f>
        <v>58217.87</v>
      </c>
      <c r="I43" s="49" t="n">
        <f aca="false">P43+W43+AD43+AK43+AR43+AY43</f>
        <v>60238.5272108843</v>
      </c>
      <c r="J43" s="48" t="n">
        <f aca="false">I43-H43</f>
        <v>2020.65721088433</v>
      </c>
      <c r="K43" s="50" t="n">
        <f aca="false">IF(H43&gt;0,J43/H43,"")</f>
        <v>0.0347085389912811</v>
      </c>
      <c r="L43" s="51" t="n">
        <f aca="false">IF(I$6=0,"",I43/I$6)</f>
        <v>0.00154425418862575</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0.00060843312981531</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0.00867381861101318</v>
      </c>
      <c r="AA43" s="52" t="n">
        <f aca="false">SUMIFS('Manish Shilpa'!$D$7:$D$300,'Manish Shilpa'!$B$7:$B$300,$B43)</f>
        <v>169</v>
      </c>
      <c r="AB43" s="8" t="n">
        <f aca="false">IF(AND(AA43&gt;0,AC43&gt;0),AC43/AA43,"")</f>
        <v>91.559349112426</v>
      </c>
      <c r="AC43" s="8" t="n">
        <f aca="false">SUMIFS('Manish Shilpa'!$E$7:$E$300,'Manish Shilpa'!$B$7:$B$300,$B43)</f>
        <v>15473.53</v>
      </c>
      <c r="AD43" s="8" t="n">
        <f aca="false">SUMIFS('Manish Shilpa'!$H$7:$H$300,'Manish Shilpa'!$B$7:$B$300,$B43)</f>
        <v>20239.1870748299</v>
      </c>
      <c r="AE43" s="8" t="n">
        <f aca="false">AD43-AC43</f>
        <v>4765.65707482993</v>
      </c>
      <c r="AF43" s="9" t="n">
        <f aca="false">IF(AC43&gt;0,AE43/AC43,"")</f>
        <v>0.3079877102917</v>
      </c>
      <c r="AG43" s="9" t="n">
        <f aca="false">IF(AD$6=0,"",AD43/AD$6)</f>
        <v>0.00171218531847817</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0.000111431969851099</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2279.9</v>
      </c>
      <c r="D44" s="46" t="str">
        <f aca="false">IFERROR(INDEX(Prices!$D$6:$D$300,MATCH($B44,Prices!$A$6:$A$300,0)),"")</f>
        <v>Close 29.10.2026 live (~11:20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50157.8</v>
      </c>
      <c r="J44" s="48" t="n">
        <f aca="false">I44-H44</f>
        <v>-28387.2</v>
      </c>
      <c r="K44" s="50" t="n">
        <f aca="false">IF(H44&gt;0,J44/H44,"")</f>
        <v>-0.3614132026227</v>
      </c>
      <c r="L44" s="51" t="n">
        <f aca="false">IF(I$6=0,"",I44/I$6)</f>
        <v>0.00128582812908243</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50157.8</v>
      </c>
      <c r="AE44" s="8" t="n">
        <f aca="false">AD44-AC44</f>
        <v>-28387.2</v>
      </c>
      <c r="AF44" s="9" t="n">
        <f aca="false">IF(AC44&gt;0,AE44/AC44,"")</f>
        <v>-0.3614132026227</v>
      </c>
      <c r="AG44" s="9" t="n">
        <f aca="false">IF(AD$6=0,"",AD44/AD$6)</f>
        <v>0.00424322619528365</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117.77</v>
      </c>
      <c r="D45" s="46" t="str">
        <f aca="false">IFERROR(INDEX(Prices!$D$6:$D$300,MATCH($B45,Prices!$A$6:$A$300,0)),"")</f>
        <v>Close 29.10.2026 live (~11:20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48992.32</v>
      </c>
      <c r="J45" s="48" t="n">
        <f aca="false">I45-H45</f>
        <v>-24243.68</v>
      </c>
      <c r="K45" s="50" t="n">
        <f aca="false">IF(H45&gt;0,J45/H45,"")</f>
        <v>-0.33103501010432</v>
      </c>
      <c r="L45" s="51" t="n">
        <f aca="false">IF(I$6=0,"",I45/I$6)</f>
        <v>0.00125595028420321</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48992.32</v>
      </c>
      <c r="X45" s="8" t="n">
        <f aca="false">W45-V45</f>
        <v>-24243.68</v>
      </c>
      <c r="Y45" s="9" t="n">
        <f aca="false">IF(V45&gt;0,X45/V45,"")</f>
        <v>-0.33103501010432</v>
      </c>
      <c r="Z45" s="9" t="n">
        <f aca="false">IF(W$6=0,"",W45/W$6)</f>
        <v>0.0120693713826781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532.2</v>
      </c>
      <c r="D46" s="46" t="str">
        <f aca="false">IFERROR(INDEX(Prices!$D$6:$D$300,MATCH($B46,Prices!$A$6:$A$300,0)),"")</f>
        <v>Close 29.10.2026 live (~11:20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42576</v>
      </c>
      <c r="J46" s="48" t="n">
        <f aca="false">I46-H46</f>
        <v>-10735</v>
      </c>
      <c r="K46" s="50" t="n">
        <f aca="false">IF(H46&gt;0,J46/H46,"")</f>
        <v>-0.201365571833205</v>
      </c>
      <c r="L46" s="51" t="n">
        <f aca="false">IF(I$6=0,"",I46/I$6)</f>
        <v>0.00109146370901064</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42576</v>
      </c>
      <c r="X46" s="8" t="n">
        <f aca="false">W46-V46</f>
        <v>-10735</v>
      </c>
      <c r="Y46" s="9" t="n">
        <f aca="false">IF(V46&gt;0,X46/V46,"")</f>
        <v>-0.201365571833205</v>
      </c>
      <c r="Z46" s="9" t="n">
        <f aca="false">IF(W$6=0,"",W46/W$6)</f>
        <v>0.0104886961056121</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378.95</v>
      </c>
      <c r="D47" s="46" t="str">
        <f aca="false">IFERROR(INDEX(Prices!$D$6:$D$300,MATCH($B47,Prices!$A$6:$A$300,0)),"")</f>
        <v>Close 29.10.2026 live (~11:20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42063.45</v>
      </c>
      <c r="J47" s="48" t="n">
        <f aca="false">I47-H47</f>
        <v>-3490.55</v>
      </c>
      <c r="K47" s="50" t="n">
        <f aca="false">IF(H47&gt;0,J47/H47,"")</f>
        <v>-0.0766244457127805</v>
      </c>
      <c r="L47" s="51" t="n">
        <f aca="false">IF(I$6=0,"",I47/I$6)</f>
        <v>0.00107832415329724</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42063.45</v>
      </c>
      <c r="X47" s="8" t="n">
        <f aca="false">W47-V47</f>
        <v>-3490.55</v>
      </c>
      <c r="Y47" s="9" t="n">
        <f aca="false">IF(V47&gt;0,X47/V47,"")</f>
        <v>-0.0766244457127805</v>
      </c>
      <c r="Z47" s="9" t="n">
        <f aca="false">IF(W$6=0,"",W47/W$6)</f>
        <v>0.010362428227255</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1620.2</v>
      </c>
      <c r="D48" s="46" t="str">
        <f aca="false">IFERROR(INDEX(Prices!$D$6:$D$300,MATCH($B48,Prices!$A$6:$A$300,0)),"")</f>
        <v>Close 29.10.2026 live (~11:20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40505</v>
      </c>
      <c r="J48" s="48" t="n">
        <f aca="false">I48-H48</f>
        <v>5454</v>
      </c>
      <c r="K48" s="50" t="n">
        <f aca="false">IF(H48&gt;0,J48/H48,"")</f>
        <v>0.155601837322758</v>
      </c>
      <c r="L48" s="51" t="n">
        <f aca="false">IF(I$6=0,"",I48/I$6)</f>
        <v>0.00103837226450291</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40505</v>
      </c>
      <c r="X48" s="8" t="n">
        <f aca="false">W48-V48</f>
        <v>5454</v>
      </c>
      <c r="Y48" s="9" t="n">
        <f aca="false">IF(V48&gt;0,X48/V48,"")</f>
        <v>0.155601837322758</v>
      </c>
      <c r="Z48" s="9" t="n">
        <f aca="false">IF(W$6=0,"",W48/W$6)</f>
        <v>0.00997850046406001</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0.00092288363219614</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0.00669880661039353</v>
      </c>
    </row>
    <row r="50" customFormat="false" ht="15" hidden="false" customHeight="false" outlineLevel="0" collapsed="false">
      <c r="A50" s="5" t="n">
        <v>44</v>
      </c>
      <c r="B50" s="45" t="s">
        <v>122</v>
      </c>
      <c r="C50" s="7" t="n">
        <f aca="false">IFERROR(INDEX(Prices!$C$6:$C$300,MATCH($B50,Prices!$A$6:$A$300,0)),"")</f>
        <v>153.24</v>
      </c>
      <c r="D50" s="46" t="str">
        <f aca="false">IFERROR(INDEX(Prices!$D$6:$D$300,MATCH($B50,Prices!$A$6:$A$300,0)),"")</f>
        <v>Close 29.10.2026 live (~11:20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35245.2</v>
      </c>
      <c r="J50" s="48" t="n">
        <f aca="false">I50-H50</f>
        <v>-29082.8</v>
      </c>
      <c r="K50" s="50" t="n">
        <f aca="false">IF(H50&gt;0,J50/H50,"")</f>
        <v>-0.452101728640716</v>
      </c>
      <c r="L50" s="51" t="n">
        <f aca="false">IF(I$6=0,"",I50/I$6)</f>
        <v>0.000903533838707761</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35245.2</v>
      </c>
      <c r="X50" s="8" t="n">
        <f aca="false">W50-V50</f>
        <v>-29082.8</v>
      </c>
      <c r="Y50" s="9" t="n">
        <f aca="false">IF(V50&gt;0,X50/V50,"")</f>
        <v>-0.452101728640716</v>
      </c>
      <c r="Z50" s="9" t="n">
        <f aca="false">IF(W$6=0,"",W50/W$6)</f>
        <v>0.00868273656476702</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827</v>
      </c>
      <c r="D51" s="46" t="str">
        <f aca="false">IFERROR(INDEX(Prices!$D$6:$D$300,MATCH($B51,Prices!$A$6:$A$300,0)),"")</f>
        <v>Close 29.10.2026 live (~11:20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33080</v>
      </c>
      <c r="J51" s="48" t="n">
        <f aca="false">I51-H51</f>
        <v>-8454</v>
      </c>
      <c r="K51" s="50" t="n">
        <f aca="false">IF(H51&gt;0,J51/H51,"")</f>
        <v>-0.203544084364617</v>
      </c>
      <c r="L51" s="51" t="n">
        <f aca="false">IF(I$6=0,"",I51/I$6)</f>
        <v>0.000848027515362453</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33080</v>
      </c>
      <c r="X51" s="8" t="n">
        <f aca="false">W51-V51</f>
        <v>-8454</v>
      </c>
      <c r="Y51" s="9" t="n">
        <f aca="false">IF(V51&gt;0,X51/V51,"")</f>
        <v>-0.203544084364617</v>
      </c>
      <c r="Z51" s="9" t="n">
        <f aca="false">IF(W$6=0,"",W51/W$6)</f>
        <v>0.00814933453526985</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29.15</v>
      </c>
      <c r="D52" s="46" t="str">
        <f aca="false">IFERROR(INDEX(Prices!$D$6:$D$300,MATCH($B52,Prices!$A$6:$A$300,0)),"")</f>
        <v>Close 29.10.2026 live (~11:20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31248.8</v>
      </c>
      <c r="J52" s="48" t="n">
        <f aca="false">I52-H52</f>
        <v>-14899.2</v>
      </c>
      <c r="K52" s="50" t="n">
        <f aca="false">IF(H52&gt;0,J52/H52,"")</f>
        <v>-0.322856895206726</v>
      </c>
      <c r="L52" s="51" t="n">
        <f aca="false">IF(I$6=0,"",I52/I$6)</f>
        <v>0.00080108350127141</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31248.8</v>
      </c>
      <c r="X52" s="8" t="n">
        <f aca="false">W52-V52</f>
        <v>-14899.2</v>
      </c>
      <c r="Y52" s="9" t="n">
        <f aca="false">IF(V52&gt;0,X52/V52,"")</f>
        <v>-0.322856895206726</v>
      </c>
      <c r="Z52" s="9" t="n">
        <f aca="false">IF(W$6=0,"",W52/W$6)</f>
        <v>0.00769821417852903</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23.10 + trades 29.10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0.000764429639679353</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0.00252261386897278</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212.75</v>
      </c>
      <c r="D54" s="46" t="str">
        <f aca="false">IFERROR(INDEX(Prices!$D$6:$D$300,MATCH($B54,Prices!$A$6:$A$300,0)),"")</f>
        <v>Close 29.10.2026 live (~11:20 IST) (Screener.in)</v>
      </c>
      <c r="E54" s="6" t="n">
        <f aca="false">(M54&gt;0)+(T54&gt;0)+(AA54&gt;0)+(AH54&gt;0)+(AO54&gt;0)+(AV54&gt;0)</f>
        <v>1</v>
      </c>
      <c r="F54" s="47" t="n">
        <f aca="false">M54+T54+AA54+AH54+AO54+AV54</f>
        <v>110</v>
      </c>
      <c r="G54" s="48" t="n">
        <f aca="false">IF(AND(F54&gt;0,H54&gt;0),H54/F54,"")</f>
        <v>276.018181818182</v>
      </c>
      <c r="H54" s="48" t="n">
        <f aca="false">O54+V54+AC54+AJ54+AQ54+AX54</f>
        <v>30362</v>
      </c>
      <c r="I54" s="49" t="n">
        <f aca="false">P54+W54+AD54+AK54+AR54+AY54</f>
        <v>23402.5</v>
      </c>
      <c r="J54" s="48" t="n">
        <f aca="false">I54-H54</f>
        <v>-6959.5</v>
      </c>
      <c r="K54" s="50" t="n">
        <f aca="false">IF(H54&gt;0,J54/H54,"")</f>
        <v>-0.229217442856202</v>
      </c>
      <c r="L54" s="51" t="n">
        <f aca="false">IF(I$6=0,"",I54/I$6)</f>
        <v>0.000599938450068616</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110</v>
      </c>
      <c r="U54" s="8" t="n">
        <f aca="false">IF(AND(T54&gt;0,V54&gt;0),V54/T54,"")</f>
        <v>276.018181818182</v>
      </c>
      <c r="V54" s="8" t="n">
        <f aca="false">SUMIFS(DA!$E$7:$E$300,DA!$B$7:$B$300,$B54)</f>
        <v>30362</v>
      </c>
      <c r="W54" s="8" t="n">
        <f aca="false">SUMIFS(DA!$H$7:$H$300,DA!$B$7:$B$300,$B54)</f>
        <v>23402.5</v>
      </c>
      <c r="X54" s="8" t="n">
        <f aca="false">W54-V54</f>
        <v>-6959.5</v>
      </c>
      <c r="Y54" s="9" t="n">
        <f aca="false">IF(V54&gt;0,X54/V54,"")</f>
        <v>-0.229217442856202</v>
      </c>
      <c r="Z54" s="9" t="n">
        <f aca="false">IF(W$6=0,"",W54/W$6)</f>
        <v>0.00576526002000159</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140.18</v>
      </c>
      <c r="D55" s="46" t="str">
        <f aca="false">IFERROR(INDEX(Prices!$D$6:$D$300,MATCH($B55,Prices!$A$6:$A$300,0)),"")</f>
        <v>Close 29.10.2026 live (~11:20 IST) (Screener.in)</v>
      </c>
      <c r="E55" s="6" t="n">
        <f aca="false">(M55&gt;0)+(T55&gt;0)+(AA55&gt;0)+(AH55&gt;0)+(AO55&gt;0)+(AV55&gt;0)</f>
        <v>1</v>
      </c>
      <c r="F55" s="47" t="n">
        <f aca="false">M55+T55+AA55+AH55+AO55+AV55</f>
        <v>166</v>
      </c>
      <c r="G55" s="48" t="n">
        <f aca="false">IF(AND(F55&gt;0,H55&gt;0),H55/F55,"")</f>
        <v>204.451807228916</v>
      </c>
      <c r="H55" s="48" t="n">
        <f aca="false">O55+V55+AC55+AJ55+AQ55+AX55</f>
        <v>33939</v>
      </c>
      <c r="I55" s="49" t="n">
        <f aca="false">P55+W55+AD55+AK55+AR55+AY55</f>
        <v>23269.88</v>
      </c>
      <c r="J55" s="48" t="n">
        <f aca="false">I55-H55</f>
        <v>-10669.12</v>
      </c>
      <c r="K55" s="50" t="n">
        <f aca="false">IF(H55&gt;0,J55/H55,"")</f>
        <v>-0.314361648840567</v>
      </c>
      <c r="L55" s="51" t="n">
        <f aca="false">IF(I$6=0,"",I55/I$6)</f>
        <v>0.000596538649310231</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166</v>
      </c>
      <c r="U55" s="8" t="n">
        <f aca="false">IF(AND(T55&gt;0,V55&gt;0),V55/T55,"")</f>
        <v>204.451807228916</v>
      </c>
      <c r="V55" s="8" t="n">
        <f aca="false">SUMIFS(DA!$E$7:$E$300,DA!$B$7:$B$300,$B55)</f>
        <v>33939</v>
      </c>
      <c r="W55" s="8" t="n">
        <f aca="false">SUMIFS(DA!$H$7:$H$300,DA!$B$7:$B$300,$B55)</f>
        <v>23269.88</v>
      </c>
      <c r="X55" s="8" t="n">
        <f aca="false">W55-V55</f>
        <v>-10669.12</v>
      </c>
      <c r="Y55" s="9" t="n">
        <f aca="false">IF(V55&gt;0,X55/V55,"")</f>
        <v>-0.314361648840567</v>
      </c>
      <c r="Z55" s="9" t="n">
        <f aca="false">IF(W$6=0,"",W55/W$6)</f>
        <v>0.00573258877616642</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197.45</v>
      </c>
      <c r="D56" s="46" t="str">
        <f aca="false">IFERROR(INDEX(Prices!$D$6:$D$300,MATCH($B56,Prices!$A$6:$A$300,0)),"")</f>
        <v>Close 29.10.2026 live (~11:20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22904.2</v>
      </c>
      <c r="J56" s="48" t="n">
        <f aca="false">I56-H56</f>
        <v>-6810.8</v>
      </c>
      <c r="K56" s="50" t="n">
        <f aca="false">IF(H56&gt;0,J56/H56,"")</f>
        <v>-0.229204105670537</v>
      </c>
      <c r="L56" s="51" t="n">
        <f aca="false">IF(I$6=0,"",I56/I$6)</f>
        <v>0.000587164202459634</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22904.2</v>
      </c>
      <c r="X56" s="8" t="n">
        <f aca="false">W56-V56</f>
        <v>-6810.8</v>
      </c>
      <c r="Y56" s="9" t="n">
        <f aca="false">IF(V56&gt;0,X56/V56,"")</f>
        <v>-0.229204105670537</v>
      </c>
      <c r="Z56" s="9" t="n">
        <f aca="false">IF(W$6=0,"",W56/W$6)</f>
        <v>0.0056425026621139</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75.11</v>
      </c>
      <c r="D57" s="46" t="str">
        <f aca="false">IFERROR(INDEX(Prices!$D$6:$D$300,MATCH($B57,Prices!$A$6:$A$300,0)),"")</f>
        <v>Close 29.10.2026 live (~11:20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22683.22</v>
      </c>
      <c r="J57" s="48" t="n">
        <f aca="false">I57-H57</f>
        <v>-25198.78</v>
      </c>
      <c r="K57" s="50" t="n">
        <f aca="false">IF(H57&gt;0,J57/H57,"")</f>
        <v>-0.52626832630216</v>
      </c>
      <c r="L57" s="51" t="n">
        <f aca="false">IF(I$6=0,"",I57/I$6)</f>
        <v>0.000581499235097337</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22683.22</v>
      </c>
      <c r="X57" s="8" t="n">
        <f aca="false">W57-V57</f>
        <v>-25198.78</v>
      </c>
      <c r="Y57" s="9" t="n">
        <f aca="false">IF(V57&gt;0,X57/V57,"")</f>
        <v>-0.52626832630216</v>
      </c>
      <c r="Z57" s="9" t="n">
        <f aca="false">IF(W$6=0,"",W57/W$6)</f>
        <v>0.00558806372784534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408.05</v>
      </c>
      <c r="D58" s="46" t="str">
        <f aca="false">IFERROR(INDEX(Prices!$D$6:$D$300,MATCH($B58,Prices!$A$6:$A$300,0)),"")</f>
        <v>Close 29.10.2026 live (~11:20 IST) (Screener.in)</v>
      </c>
      <c r="E58" s="6" t="n">
        <f aca="false">(M58&gt;0)+(T58&gt;0)+(AA58&gt;0)+(AH58&gt;0)+(AO58&gt;0)+(AV58&gt;0)</f>
        <v>1</v>
      </c>
      <c r="F58" s="47" t="n">
        <f aca="false">M58+T58+AA58+AH58+AO58+AV58</f>
        <v>51</v>
      </c>
      <c r="G58" s="48" t="n">
        <f aca="false">IF(AND(F58&gt;0,H58&gt;0),H58/F58,"")</f>
        <v>604.392156862745</v>
      </c>
      <c r="H58" s="48" t="n">
        <f aca="false">O58+V58+AC58+AJ58+AQ58+AX58</f>
        <v>30824</v>
      </c>
      <c r="I58" s="49" t="n">
        <f aca="false">P58+W58+AD58+AK58+AR58+AY58</f>
        <v>20810.55</v>
      </c>
      <c r="J58" s="48" t="n">
        <f aca="false">I58-H58</f>
        <v>-10013.45</v>
      </c>
      <c r="K58" s="50" t="n">
        <f aca="false">IF(H58&gt;0,J58/H58,"")</f>
        <v>-0.324858876200363</v>
      </c>
      <c r="L58" s="51" t="n">
        <f aca="false">IF(I$6=0,"",I58/I$6)</f>
        <v>0.000533492110333316</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51</v>
      </c>
      <c r="U58" s="8" t="n">
        <f aca="false">IF(AND(T58&gt;0,V58&gt;0),V58/T58,"")</f>
        <v>604.392156862745</v>
      </c>
      <c r="V58" s="8" t="n">
        <f aca="false">SUMIFS(DA!$E$7:$E$300,DA!$B$7:$B$300,$B58)</f>
        <v>30824</v>
      </c>
      <c r="W58" s="8" t="n">
        <f aca="false">SUMIFS(DA!$H$7:$H$300,DA!$B$7:$B$300,$B58)</f>
        <v>20810.55</v>
      </c>
      <c r="X58" s="8" t="n">
        <f aca="false">W58-V58</f>
        <v>-10013.45</v>
      </c>
      <c r="Y58" s="9" t="n">
        <f aca="false">IF(V58&gt;0,X58/V58,"")</f>
        <v>-0.324858876200363</v>
      </c>
      <c r="Z58" s="9" t="n">
        <f aca="false">IF(W$6=0,"",W58/W$6)</f>
        <v>0.0051267271406578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622.65</v>
      </c>
      <c r="D59" s="46" t="str">
        <f aca="false">IFERROR(INDEX(Prices!$D$6:$D$300,MATCH($B59,Prices!$A$6:$A$300,0)),"")</f>
        <v>Close 29.10.2026 live (~11:20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20547.45</v>
      </c>
      <c r="J59" s="48" t="n">
        <f aca="false">I59-H59</f>
        <v>-20054.55</v>
      </c>
      <c r="K59" s="50" t="n">
        <f aca="false">IF(H59&gt;0,J59/H59,"")</f>
        <v>-0.49393010196542</v>
      </c>
      <c r="L59" s="51" t="n">
        <f aca="false">IF(I$6=0,"",I59/I$6)</f>
        <v>0.000526747369121349</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20547.45</v>
      </c>
      <c r="AE59" s="8" t="n">
        <f aca="false">AD59-AC59</f>
        <v>-20054.55</v>
      </c>
      <c r="AF59" s="9" t="n">
        <f aca="false">IF(AC59&gt;0,AE59/AC59,"")</f>
        <v>-0.49393010196542</v>
      </c>
      <c r="AG59" s="9" t="n">
        <f aca="false">IF(AD$6=0,"",AD59/AD$6)</f>
        <v>0.00173826360179834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83.81</v>
      </c>
      <c r="D60" s="46" t="str">
        <f aca="false">IFERROR(INDEX(Prices!$D$6:$D$300,MATCH($B60,Prices!$A$6:$A$300,0)),"")</f>
        <v>Close 29.10.2026 live (~11:20 IST) (Screener.in)</v>
      </c>
      <c r="E60" s="6" t="n">
        <f aca="false">(M60&gt;0)+(T60&gt;0)+(AA60&gt;0)+(AH60&gt;0)+(AO60&gt;0)+(AV60&gt;0)</f>
        <v>1</v>
      </c>
      <c r="F60" s="47" t="n">
        <f aca="false">M60+T60+AA60+AH60+AO60+AV60</f>
        <v>245</v>
      </c>
      <c r="G60" s="48" t="n">
        <f aca="false">IF(AND(F60&gt;0,H60&gt;0),H60/F60,"")</f>
        <v>110.734693877551</v>
      </c>
      <c r="H60" s="48" t="n">
        <f aca="false">O60+V60+AC60+AJ60+AQ60+AX60</f>
        <v>27130</v>
      </c>
      <c r="I60" s="49" t="n">
        <f aca="false">P60+W60+AD60+AK60+AR60+AY60</f>
        <v>20533.45</v>
      </c>
      <c r="J60" s="48" t="n">
        <f aca="false">I60-H60</f>
        <v>-6596.55</v>
      </c>
      <c r="K60" s="50" t="n">
        <f aca="false">IF(H60&gt;0,J60/H60,"")</f>
        <v>-0.243145963877626</v>
      </c>
      <c r="L60" s="51" t="n">
        <f aca="false">IF(I$6=0,"",I60/I$6)</f>
        <v>0.000526388469931051</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245</v>
      </c>
      <c r="U60" s="8" t="n">
        <f aca="false">IF(AND(T60&gt;0,V60&gt;0),V60/T60,"")</f>
        <v>110.734693877551</v>
      </c>
      <c r="V60" s="8" t="n">
        <f aca="false">SUMIFS(DA!$E$7:$E$300,DA!$B$7:$B$300,$B60)</f>
        <v>27130</v>
      </c>
      <c r="W60" s="8" t="n">
        <f aca="false">SUMIFS(DA!$H$7:$H$300,DA!$B$7:$B$300,$B60)</f>
        <v>20533.45</v>
      </c>
      <c r="X60" s="8" t="n">
        <f aca="false">W60-V60</f>
        <v>-6596.55</v>
      </c>
      <c r="Y60" s="9" t="n">
        <f aca="false">IF(V60&gt;0,X60/V60,"")</f>
        <v>-0.243145963877626</v>
      </c>
      <c r="Z60" s="9" t="n">
        <f aca="false">IF(W$6=0,"",W60/W$6)</f>
        <v>0.00505846291454766</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246.85</v>
      </c>
      <c r="D61" s="46" t="str">
        <f aca="false">IFERROR(INDEX(Prices!$D$6:$D$300,MATCH($B61,Prices!$A$6:$A$300,0)),"")</f>
        <v>Close 29.10.2026 live (~11:20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19254.3</v>
      </c>
      <c r="J61" s="48" t="n">
        <f aca="false">I61-H61</f>
        <v>-10757.7</v>
      </c>
      <c r="K61" s="50" t="n">
        <f aca="false">IF(H61&gt;0,J61/H61,"")</f>
        <v>-0.358446621351459</v>
      </c>
      <c r="L61" s="51" t="n">
        <f aca="false">IF(I$6=0,"",I61/I$6)</f>
        <v>0.000493596619983171</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19254.3</v>
      </c>
      <c r="X61" s="8" t="n">
        <f aca="false">W61-V61</f>
        <v>-10757.7</v>
      </c>
      <c r="Y61" s="9" t="n">
        <f aca="false">IF(V61&gt;0,X61/V61,"")</f>
        <v>-0.358446621351459</v>
      </c>
      <c r="Z61" s="9" t="n">
        <f aca="false">IF(W$6=0,"",W61/W$6)</f>
        <v>0.00474334135255279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148.47</v>
      </c>
      <c r="D62" s="46" t="str">
        <f aca="false">IFERROR(INDEX(Prices!$D$6:$D$300,MATCH($B62,Prices!$A$6:$A$300,0)),"")</f>
        <v>Close 29.10.2026 live (~11:20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18410.28</v>
      </c>
      <c r="J62" s="48" t="n">
        <f aca="false">I62-H62</f>
        <v>-9630.72</v>
      </c>
      <c r="K62" s="50" t="n">
        <f aca="false">IF(H62&gt;0,J62/H62,"")</f>
        <v>-0.343451374772654</v>
      </c>
      <c r="L62" s="51" t="n">
        <f aca="false">IF(I$6=0,"",I62/I$6)</f>
        <v>0.000471959613226332</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18410.28</v>
      </c>
      <c r="X62" s="8" t="n">
        <f aca="false">W62-V62</f>
        <v>-9630.72</v>
      </c>
      <c r="Y62" s="9" t="n">
        <f aca="false">IF(V62&gt;0,X62/V62,"")</f>
        <v>-0.343451374772654</v>
      </c>
      <c r="Z62" s="9" t="n">
        <f aca="false">IF(W$6=0,"",W62/W$6)</f>
        <v>0.00453541507279286</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229.4</v>
      </c>
      <c r="D63" s="46" t="str">
        <f aca="false">IFERROR(INDEX(Prices!$D$6:$D$300,MATCH($B63,Prices!$A$6:$A$300,0)),"")</f>
        <v>Close 29.10.2026 live (~11:20 IST) (Screener.in)</v>
      </c>
      <c r="E63" s="6" t="n">
        <f aca="false">(M63&gt;0)+(T63&gt;0)+(AA63&gt;0)+(AH63&gt;0)+(AO63&gt;0)+(AV63&gt;0)</f>
        <v>1</v>
      </c>
      <c r="F63" s="47" t="n">
        <f aca="false">M63+T63+AA63+AH63+AO63+AV63</f>
        <v>76</v>
      </c>
      <c r="G63" s="48" t="n">
        <f aca="false">IF(AND(F63&gt;0,H63&gt;0),H63/F63,"")</f>
        <v>409.197368421053</v>
      </c>
      <c r="H63" s="48" t="n">
        <f aca="false">O63+V63+AC63+AJ63+AQ63+AX63</f>
        <v>31099</v>
      </c>
      <c r="I63" s="49" t="n">
        <f aca="false">P63+W63+AD63+AK63+AR63+AY63</f>
        <v>17434.4</v>
      </c>
      <c r="J63" s="48" t="n">
        <f aca="false">I63-H63</f>
        <v>-13664.6</v>
      </c>
      <c r="K63" s="50" t="n">
        <f aca="false">IF(H63&gt;0,J63/H63,"")</f>
        <v>-0.439390334094344</v>
      </c>
      <c r="L63" s="51" t="n">
        <f aca="false">IF(I$6=0,"",I63/I$6)</f>
        <v>0.000446942288810011</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76</v>
      </c>
      <c r="U63" s="8" t="n">
        <f aca="false">IF(AND(T63&gt;0,V63&gt;0),V63/T63,"")</f>
        <v>409.197368421053</v>
      </c>
      <c r="V63" s="8" t="n">
        <f aca="false">SUMIFS(DA!$E$7:$E$300,DA!$B$7:$B$300,$B63)</f>
        <v>31099</v>
      </c>
      <c r="W63" s="8" t="n">
        <f aca="false">SUMIFS(DA!$H$7:$H$300,DA!$B$7:$B$300,$B63)</f>
        <v>17434.4</v>
      </c>
      <c r="X63" s="8" t="n">
        <f aca="false">W63-V63</f>
        <v>-13664.6</v>
      </c>
      <c r="Y63" s="9" t="n">
        <f aca="false">IF(V63&gt;0,X63/V63,"")</f>
        <v>-0.439390334094344</v>
      </c>
      <c r="Z63" s="9" t="n">
        <f aca="false">IF(W$6=0,"",W63/W$6)</f>
        <v>0.00429500477695613</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351.75</v>
      </c>
      <c r="D64" s="46" t="str">
        <f aca="false">IFERROR(INDEX(Prices!$D$6:$D$300,MATCH($B64,Prices!$A$6:$A$300,0)),"")</f>
        <v>Close 29.10.2026 live (~11:20 IST) (Screener.in)</v>
      </c>
      <c r="E64" s="6" t="n">
        <f aca="false">(M64&gt;0)+(T64&gt;0)+(AA64&gt;0)+(AH64&gt;0)+(AO64&gt;0)+(AV64&gt;0)</f>
        <v>1</v>
      </c>
      <c r="F64" s="47" t="n">
        <f aca="false">M64+T64+AA64+AH64+AO64+AV64</f>
        <v>49</v>
      </c>
      <c r="G64" s="48" t="n">
        <f aca="false">IF(AND(F64&gt;0,H64&gt;0),H64/F64,"")</f>
        <v>526.816326530612</v>
      </c>
      <c r="H64" s="48" t="n">
        <f aca="false">O64+V64+AC64+AJ64+AQ64+AX64</f>
        <v>25814</v>
      </c>
      <c r="I64" s="49" t="n">
        <f aca="false">P64+W64+AD64+AK64+AR64+AY64</f>
        <v>17235.75</v>
      </c>
      <c r="J64" s="48" t="n">
        <f aca="false">I64-H64</f>
        <v>-8578.25</v>
      </c>
      <c r="K64" s="50" t="n">
        <f aca="false">IF(H64&gt;0,J64/H64,"")</f>
        <v>-0.332309986828853</v>
      </c>
      <c r="L64" s="51" t="n">
        <f aca="false">IF(I$6=0,"",I64/I$6)</f>
        <v>0.00044184976565624</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49</v>
      </c>
      <c r="U64" s="8" t="n">
        <f aca="false">IF(AND(T64&gt;0,V64&gt;0),V64/T64,"")</f>
        <v>526.816326530612</v>
      </c>
      <c r="V64" s="8" t="n">
        <f aca="false">SUMIFS(DA!$E$7:$E$300,DA!$B$7:$B$300,$B64)</f>
        <v>25814</v>
      </c>
      <c r="W64" s="8" t="n">
        <f aca="false">SUMIFS(DA!$H$7:$H$300,DA!$B$7:$B$300,$B64)</f>
        <v>17235.75</v>
      </c>
      <c r="X64" s="8" t="n">
        <f aca="false">W64-V64</f>
        <v>-8578.25</v>
      </c>
      <c r="Y64" s="9" t="n">
        <f aca="false">IF(V64&gt;0,X64/V64,"")</f>
        <v>-0.332309986828853</v>
      </c>
      <c r="Z64" s="9" t="n">
        <f aca="false">IF(W$6=0,"",W64/W$6)</f>
        <v>0.00424606688985119</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103.62</v>
      </c>
      <c r="D65" s="46" t="str">
        <f aca="false">IFERROR(INDEX(Prices!$D$6:$D$300,MATCH($B65,Prices!$A$6:$A$300,0)),"")</f>
        <v>Close 29.10.2026 live (~11:20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16786.44</v>
      </c>
      <c r="J65" s="48" t="n">
        <f aca="false">I65-H65</f>
        <v>-9545.56</v>
      </c>
      <c r="K65" s="50" t="n">
        <f aca="false">IF(H65&gt;0,J65/H65,"")</f>
        <v>-0.362507975087346</v>
      </c>
      <c r="L65" s="51" t="n">
        <f aca="false">IF(I$6=0,"",I65/I$6)</f>
        <v>0.000430331408856738</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15543</v>
      </c>
      <c r="X65" s="8" t="n">
        <f aca="false">W65-V65</f>
        <v>-8527</v>
      </c>
      <c r="Y65" s="9" t="n">
        <f aca="false">IF(V65&gt;0,X65/V65,"")</f>
        <v>-0.354258412962194</v>
      </c>
      <c r="Z65" s="9" t="n">
        <f aca="false">IF(W$6=0,"",W65/W$6)</f>
        <v>0.00382905401093408</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1243.44</v>
      </c>
      <c r="AE65" s="8" t="n">
        <f aca="false">AD65-AC65</f>
        <v>-1018.56</v>
      </c>
      <c r="AF65" s="9" t="n">
        <f aca="false">IF(AC65&gt;0,AE65/AC65,"")</f>
        <v>-0.450291777188329</v>
      </c>
      <c r="AG65" s="9" t="n">
        <f aca="false">IF(AD$6=0,"",AD65/AD$6)</f>
        <v>0.000105191957786496</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64.25</v>
      </c>
      <c r="D66" s="46" t="str">
        <f aca="false">IFERROR(INDEX(Prices!$D$6:$D$300,MATCH($B66,Prices!$A$6:$A$300,0)),"")</f>
        <v>Close 29.10.2026 live (~11:20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16062.5</v>
      </c>
      <c r="J66" s="48" t="n">
        <f aca="false">I66-H66</f>
        <v>-3187.5</v>
      </c>
      <c r="K66" s="50" t="n">
        <f aca="false">IF(H66&gt;0,J66/H66,"")</f>
        <v>-0.165584415584416</v>
      </c>
      <c r="L66" s="51" t="n">
        <f aca="false">IF(I$6=0,"",I66/I$6)</f>
        <v>0.000411772731726403</v>
      </c>
      <c r="M66" s="52" t="n">
        <f aca="false">SUMIFS(Gautam!$D$7:$D$300,Gautam!$B$7:$B$300,$B66)</f>
        <v>250</v>
      </c>
      <c r="N66" s="8" t="n">
        <f aca="false">IF(AND(M66&gt;0,O66&gt;0),O66/M66,"")</f>
        <v>77</v>
      </c>
      <c r="O66" s="8" t="n">
        <f aca="false">SUMIFS(Gautam!$E$7:$E$300,Gautam!$B$7:$B$300,$B66)</f>
        <v>19250</v>
      </c>
      <c r="P66" s="8" t="n">
        <f aca="false">SUMIFS(Gautam!$H$7:$H$300,Gautam!$B$7:$B$300,$B66)</f>
        <v>16062.5</v>
      </c>
      <c r="Q66" s="8" t="n">
        <f aca="false">P66-O66</f>
        <v>-3187.5</v>
      </c>
      <c r="R66" s="9" t="n">
        <f aca="false">IF(O66&gt;0,Q66/O66,"")</f>
        <v>-0.165584415584416</v>
      </c>
      <c r="S66" s="9" t="n">
        <f aca="false">IF(P$6=0,"",P66/P$6)</f>
        <v>0.00281398408264695</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296.65</v>
      </c>
      <c r="D67" s="46" t="str">
        <f aca="false">IFERROR(INDEX(Prices!$D$6:$D$300,MATCH($B67,Prices!$A$6:$A$300,0)),"")</f>
        <v>Close 29.10.2026 live (~11:20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16019.1</v>
      </c>
      <c r="J67" s="48" t="n">
        <f aca="false">I67-H67</f>
        <v>-11424.9</v>
      </c>
      <c r="K67" s="50" t="n">
        <f aca="false">IF(H67&gt;0,J67/H67,"")</f>
        <v>-0.416298644512462</v>
      </c>
      <c r="L67" s="51" t="n">
        <f aca="false">IF(I$6=0,"",I67/I$6)</f>
        <v>0.000410660144236477</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16019.1</v>
      </c>
      <c r="X67" s="8" t="n">
        <f aca="false">W67-V67</f>
        <v>-11424.9</v>
      </c>
      <c r="Y67" s="9" t="n">
        <f aca="false">IF(V67&gt;0,X67/V67,"")</f>
        <v>-0.416298644512462</v>
      </c>
      <c r="Z67" s="9" t="n">
        <f aca="false">IF(W$6=0,"",W67/W$6)</f>
        <v>0.00394634234745892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104.96</v>
      </c>
      <c r="D68" s="46" t="str">
        <f aca="false">IFERROR(INDEX(Prices!$D$6:$D$300,MATCH($B68,Prices!$A$6:$A$300,0)),"")</f>
        <v>Close 29.10.2026 live (~11:20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15744</v>
      </c>
      <c r="J68" s="48" t="n">
        <f aca="false">I68-H68</f>
        <v>-306.000000000002</v>
      </c>
      <c r="K68" s="50" t="n">
        <f aca="false">IF(H68&gt;0,J68/H68,"")</f>
        <v>-0.0190654205607478</v>
      </c>
      <c r="L68" s="51" t="n">
        <f aca="false">IF(I$6=0,"",I68/I$6)</f>
        <v>0.000403607775147112</v>
      </c>
      <c r="M68" s="52" t="n">
        <f aca="false">SUMIFS(Gautam!$D$7:$D$300,Gautam!$B$7:$B$300,$B68)</f>
        <v>150</v>
      </c>
      <c r="N68" s="8" t="n">
        <f aca="false">IF(AND(M68&gt;0,O68&gt;0),O68/M68,"")</f>
        <v>107</v>
      </c>
      <c r="O68" s="8" t="n">
        <f aca="false">SUMIFS(Gautam!$E$7:$E$300,Gautam!$B$7:$B$300,$B68)</f>
        <v>16050</v>
      </c>
      <c r="P68" s="8" t="n">
        <f aca="false">SUMIFS(Gautam!$H$7:$H$300,Gautam!$B$7:$B$300,$B68)</f>
        <v>15744</v>
      </c>
      <c r="Q68" s="8" t="n">
        <f aca="false">P68-O68</f>
        <v>-306.000000000002</v>
      </c>
      <c r="R68" s="9" t="n">
        <f aca="false">IF(O68&gt;0,Q68/O68,"")</f>
        <v>-0.0190654205607478</v>
      </c>
      <c r="S68" s="9" t="n">
        <f aca="false">IF(P$6=0,"",P68/P$6)</f>
        <v>0.00275818617258793</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0.000384688660687091</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0.00260734786627452</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0.000548808990316146</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306</v>
      </c>
      <c r="D70" s="46" t="str">
        <f aca="false">IFERROR(INDEX(Prices!$D$6:$D$300,MATCH($B70,Prices!$A$6:$A$300,0)),"")</f>
        <v>Close 29.10.2026 live (~11:20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14688</v>
      </c>
      <c r="J70" s="48" t="n">
        <f aca="false">I70-H70</f>
        <v>-4721</v>
      </c>
      <c r="K70" s="50" t="n">
        <f aca="false">IF(H70&gt;0,J70/H70,"")</f>
        <v>-0.243237673244371</v>
      </c>
      <c r="L70" s="51" t="n">
        <f aca="false">IF(I$6=0,"",I70/I$6)</f>
        <v>0.000376536521936025</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14688</v>
      </c>
      <c r="X70" s="8" t="n">
        <f aca="false">W70-V70</f>
        <v>-4721</v>
      </c>
      <c r="Y70" s="9" t="n">
        <f aca="false">IF(V70&gt;0,X70/V70,"")</f>
        <v>-0.243237673244371</v>
      </c>
      <c r="Z70" s="9" t="n">
        <f aca="false">IF(W$6=0,"",W70/W$6)</f>
        <v>0.00361842278277036</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266.85</v>
      </c>
      <c r="D71" s="46" t="str">
        <f aca="false">IFERROR(INDEX(Prices!$D$6:$D$300,MATCH($B71,Prices!$A$6:$A$300,0)),"")</f>
        <v>Close 29.10.2026 live (~11:20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13342.5</v>
      </c>
      <c r="J71" s="48" t="n">
        <f aca="false">I71-H71</f>
        <v>-619.499999999998</v>
      </c>
      <c r="K71" s="50" t="n">
        <f aca="false">IF(H71&gt;0,J71/H71,"")</f>
        <v>-0.0443704340352384</v>
      </c>
      <c r="L71" s="51" t="n">
        <f aca="false">IF(I$6=0,"",I71/I$6)</f>
        <v>0.000342043746182694</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13342.5</v>
      </c>
      <c r="AE71" s="8" t="n">
        <f aca="false">AD71-AC71</f>
        <v>-619.499999999998</v>
      </c>
      <c r="AF71" s="9" t="n">
        <f aca="false">IF(AC71&gt;0,AE71/AC71,"")</f>
        <v>-0.0443704340352384</v>
      </c>
      <c r="AG71" s="9" t="n">
        <f aca="false">IF(AD$6=0,"",AD71/AD$6)</f>
        <v>0.00112874259857035</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98.2</v>
      </c>
      <c r="D72" s="46" t="str">
        <f aca="false">IFERROR(INDEX(Prices!$D$6:$D$300,MATCH($B72,Prices!$A$6:$A$300,0)),"")</f>
        <v>Close 29.10.2026 live (~11:20 IST) (Screener.in)</v>
      </c>
      <c r="E72" s="6" t="n">
        <f aca="false">(M72&gt;0)+(T72&gt;0)+(AA72&gt;0)+(AH72&gt;0)+(AO72&gt;0)+(AV72&gt;0)</f>
        <v>1</v>
      </c>
      <c r="F72" s="47" t="n">
        <f aca="false">M72+T72+AA72+AH72+AO72+AV72</f>
        <v>132</v>
      </c>
      <c r="G72" s="48" t="n">
        <f aca="false">IF(AND(F72&gt;0,H72&gt;0),H72/F72,"")</f>
        <v>177.545454545455</v>
      </c>
      <c r="H72" s="48" t="n">
        <f aca="false">O72+V72+AC72+AJ72+AQ72+AX72</f>
        <v>23436</v>
      </c>
      <c r="I72" s="49" t="n">
        <f aca="false">P72+W72+AD72+AK72+AR72+AY72</f>
        <v>12962.4</v>
      </c>
      <c r="J72" s="48" t="n">
        <f aca="false">I72-H72</f>
        <v>-10473.6</v>
      </c>
      <c r="K72" s="50" t="n">
        <f aca="false">IF(H72&gt;0,J72/H72,"")</f>
        <v>-0.446902201740911</v>
      </c>
      <c r="L72" s="51" t="n">
        <f aca="false">IF(I$6=0,"",I72/I$6)</f>
        <v>0.00033229963316609</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132</v>
      </c>
      <c r="U72" s="8" t="n">
        <f aca="false">IF(AND(T72&gt;0,V72&gt;0),V72/T72,"")</f>
        <v>177.545454545455</v>
      </c>
      <c r="V72" s="8" t="n">
        <f aca="false">SUMIFS(DA!$E$7:$E$300,DA!$B$7:$B$300,$B72)</f>
        <v>23436</v>
      </c>
      <c r="W72" s="8" t="n">
        <f aca="false">SUMIFS(DA!$H$7:$H$300,DA!$B$7:$B$300,$B72)</f>
        <v>12962.4</v>
      </c>
      <c r="X72" s="8" t="n">
        <f aca="false">W72-V72</f>
        <v>-10473.6</v>
      </c>
      <c r="Y72" s="9" t="n">
        <f aca="false">IF(V72&gt;0,X72/V72,"")</f>
        <v>-0.446902201740911</v>
      </c>
      <c r="Z72" s="9" t="n">
        <f aca="false">IF(W$6=0,"",W72/W$6)</f>
        <v>0.00319331723035012</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362.4</v>
      </c>
      <c r="D73" s="46" t="str">
        <f aca="false">IFERROR(INDEX(Prices!$D$6:$D$300,MATCH($B73,Prices!$A$6:$A$300,0)),"")</f>
        <v>Close 29.10.2026 live (~11:20 IST) (Screener.in)</v>
      </c>
      <c r="E73" s="6" t="n">
        <f aca="false">(M73&gt;0)+(T73&gt;0)+(AA73&gt;0)+(AH73&gt;0)+(AO73&gt;0)+(AV73&gt;0)</f>
        <v>1</v>
      </c>
      <c r="F73" s="47" t="n">
        <f aca="false">M73+T73+AA73+AH73+AO73+AV73</f>
        <v>35</v>
      </c>
      <c r="G73" s="48" t="n">
        <f aca="false">IF(AND(F73&gt;0,H73&gt;0),H73/F73,"")</f>
        <v>540.057142857143</v>
      </c>
      <c r="H73" s="48" t="n">
        <f aca="false">O73+V73+AC73+AJ73+AQ73+AX73</f>
        <v>18902</v>
      </c>
      <c r="I73" s="49" t="n">
        <f aca="false">P73+W73+AD73+AK73+AR73+AY73</f>
        <v>12684</v>
      </c>
      <c r="J73" s="48" t="n">
        <f aca="false">I73-H73</f>
        <v>-6218</v>
      </c>
      <c r="K73" s="50" t="n">
        <f aca="false">IF(H73&gt;0,J73/H73,"")</f>
        <v>-0.328959898423447</v>
      </c>
      <c r="L73" s="51" t="n">
        <f aca="false">IF(I$6=0,"",I73/I$6)</f>
        <v>0.00032516266641044</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35</v>
      </c>
      <c r="U73" s="8" t="n">
        <f aca="false">IF(AND(T73&gt;0,V73&gt;0),V73/T73,"")</f>
        <v>540.057142857143</v>
      </c>
      <c r="V73" s="8" t="n">
        <f aca="false">SUMIFS(DA!$E$7:$E$300,DA!$B$7:$B$300,$B73)</f>
        <v>18902</v>
      </c>
      <c r="W73" s="8" t="n">
        <f aca="false">SUMIFS(DA!$H$7:$H$300,DA!$B$7:$B$300,$B73)</f>
        <v>12684</v>
      </c>
      <c r="X73" s="8" t="n">
        <f aca="false">W73-V73</f>
        <v>-6218</v>
      </c>
      <c r="Y73" s="9" t="n">
        <f aca="false">IF(V73&gt;0,X73/V73,"")</f>
        <v>-0.328959898423447</v>
      </c>
      <c r="Z73" s="9" t="n">
        <f aca="false">IF(W$6=0,"",W73/W$6)</f>
        <v>0.00312473274623225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322.2</v>
      </c>
      <c r="D74" s="46" t="str">
        <f aca="false">IFERROR(INDEX(Prices!$D$6:$D$300,MATCH($B74,Prices!$A$6:$A$300,0)),"")</f>
        <v>Close 29.10.2026 live (~11:20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11277</v>
      </c>
      <c r="J74" s="48" t="n">
        <f aca="false">I74-H74</f>
        <v>-8544</v>
      </c>
      <c r="K74" s="50" t="n">
        <f aca="false">IF(H74&gt;0,J74/H74,"")</f>
        <v>-0.431057968820948</v>
      </c>
      <c r="L74" s="51" t="n">
        <f aca="false">IF(I$6=0,"",I74/I$6)</f>
        <v>0.000289093297785441</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11277</v>
      </c>
      <c r="AE74" s="8" t="n">
        <f aca="false">AD74-AC74</f>
        <v>-8544</v>
      </c>
      <c r="AF74" s="9" t="n">
        <f aca="false">IF(AC74&gt;0,AE74/AC74,"")</f>
        <v>-0.431057968820948</v>
      </c>
      <c r="AG74" s="9" t="n">
        <f aca="false">IF(AD$6=0,"",AD74/AD$6)</f>
        <v>0.000954006391911402</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331</v>
      </c>
      <c r="D75" s="46" t="str">
        <f aca="false">IFERROR(INDEX(Prices!$D$6:$D$300,MATCH($B75,Prices!$A$6:$A$300,0)),"")</f>
        <v>Close 29.10.2026 live (~11:20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11254</v>
      </c>
      <c r="J75" s="48" t="n">
        <f aca="false">I75-H75</f>
        <v>918</v>
      </c>
      <c r="K75" s="50" t="n">
        <f aca="false">IF(H75&gt;0,J75/H75,"")</f>
        <v>0.0888157894736842</v>
      </c>
      <c r="L75" s="51" t="n">
        <f aca="false">IF(I$6=0,"",I75/I$6)</f>
        <v>0.000288503677687093</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0.000952060648627376</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1160</v>
      </c>
      <c r="D76" s="46" t="str">
        <f aca="false">IFERROR(INDEX(Prices!$D$6:$D$300,MATCH($B76,Prices!$A$6:$A$300,0)),"")</f>
        <v>Close 29.10.2026 live (~11:20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10440</v>
      </c>
      <c r="J76" s="48" t="n">
        <f aca="false">I76-H76</f>
        <v>-1675</v>
      </c>
      <c r="K76" s="50" t="n">
        <f aca="false">IF(H76&gt;0,J76/H76,"")</f>
        <v>-0.138258357408172</v>
      </c>
      <c r="L76" s="51" t="n">
        <f aca="false">IF(I$6=0,"",I76/I$6)</f>
        <v>0.000267636253336881</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10440</v>
      </c>
      <c r="X76" s="8" t="n">
        <f aca="false">W76-V76</f>
        <v>-1675</v>
      </c>
      <c r="Y76" s="9" t="n">
        <f aca="false">IF(V76&gt;0,X76/V76,"")</f>
        <v>-0.138258357408172</v>
      </c>
      <c r="Z76" s="9" t="n">
        <f aca="false">IF(W$6=0,"",W76/W$6)</f>
        <v>0.00257191815442011</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740.3</v>
      </c>
      <c r="D77" s="46" t="str">
        <f aca="false">IFERROR(INDEX(Prices!$D$6:$D$300,MATCH($B77,Prices!$A$6:$A$300,0)),"")</f>
        <v>Close 29.10.2026 live (~11:20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10364.2</v>
      </c>
      <c r="J77" s="48" t="n">
        <f aca="false">I77-H77</f>
        <v>-11725.8</v>
      </c>
      <c r="K77" s="50" t="n">
        <f aca="false">IF(H77&gt;0,J77/H77,"")</f>
        <v>-0.530819375282934</v>
      </c>
      <c r="L77" s="51" t="n">
        <f aca="false">IF(I$6=0,"",I77/I$6)</f>
        <v>0.000265693070577979</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10364.2</v>
      </c>
      <c r="AE77" s="8" t="n">
        <f aca="false">AD77-AC77</f>
        <v>-11725.8</v>
      </c>
      <c r="AF77" s="9" t="n">
        <f aca="false">IF(AC77&gt;0,AE77/AC77,"")</f>
        <v>-0.530819375282934</v>
      </c>
      <c r="AG77" s="9" t="n">
        <f aca="false">IF(AD$6=0,"",AD77/AD$6)</f>
        <v>0.000876785762795792</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1961.4</v>
      </c>
      <c r="D78" s="46" t="str">
        <f aca="false">IFERROR(INDEX(Prices!$D$6:$D$300,MATCH($B78,Prices!$A$6:$A$300,0)),"")</f>
        <v>Close 29.10.2026 live (~11:20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9807</v>
      </c>
      <c r="J78" s="48" t="n">
        <f aca="false">I78-H78</f>
        <v>197</v>
      </c>
      <c r="K78" s="50" t="n">
        <f aca="false">IF(H78&gt;0,J78/H78,"")</f>
        <v>0.0204994797086368</v>
      </c>
      <c r="L78" s="51" t="n">
        <f aca="false">IF(I$6=0,"",I78/I$6)</f>
        <v>0.000251408882804099</v>
      </c>
      <c r="M78" s="52" t="n">
        <f aca="false">SUMIFS(Gautam!$D$7:$D$300,Gautam!$B$7:$B$300,$B78)</f>
        <v>5</v>
      </c>
      <c r="N78" s="8" t="n">
        <f aca="false">IF(AND(M78&gt;0,O78&gt;0),O78/M78,"")</f>
        <v>1922</v>
      </c>
      <c r="O78" s="8" t="n">
        <f aca="false">SUMIFS(Gautam!$E$7:$E$300,Gautam!$B$7:$B$300,$B78)</f>
        <v>9610</v>
      </c>
      <c r="P78" s="8" t="n">
        <f aca="false">SUMIFS(Gautam!$H$7:$H$300,Gautam!$B$7:$B$300,$B78)</f>
        <v>9807</v>
      </c>
      <c r="Q78" s="8" t="n">
        <f aca="false">P78-O78</f>
        <v>197</v>
      </c>
      <c r="R78" s="9" t="n">
        <f aca="false">IF(O78&gt;0,Q78/O78,"")</f>
        <v>0.0204994797086368</v>
      </c>
      <c r="S78" s="9" t="n">
        <f aca="false">IF(P$6=0,"",P78/P$6)</f>
        <v>0.00171808509874046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679.75</v>
      </c>
      <c r="D79" s="46" t="str">
        <f aca="false">IFERROR(INDEX(Prices!$D$6:$D$300,MATCH($B79,Prices!$A$6:$A$300,0)),"")</f>
        <v>Close 29.10.2026 live (~11:20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6797.5</v>
      </c>
      <c r="J79" s="48" t="n">
        <f aca="false">I79-H79</f>
        <v>-2588.5</v>
      </c>
      <c r="K79" s="50" t="n">
        <f aca="false">IF(H79&gt;0,J79/H79,"")</f>
        <v>-0.275783081184743</v>
      </c>
      <c r="L79" s="51" t="n">
        <f aca="false">IF(I$6=0,"",I79/I$6)</f>
        <v>0.000174258374718146</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3398.75</v>
      </c>
      <c r="AE79" s="8" t="n">
        <f aca="false">AD79-AC79</f>
        <v>-1706.25</v>
      </c>
      <c r="AF79" s="9" t="n">
        <f aca="false">IF(AC79&gt;0,AE79/AC79,"")</f>
        <v>-0.334231145935357</v>
      </c>
      <c r="AG79" s="9" t="n">
        <f aca="false">IF(AD$6=0,"",AD79/AD$6)</f>
        <v>0.000287525868981899</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3398.75</v>
      </c>
      <c r="AL79" s="8" t="n">
        <f aca="false">AK79-AJ79</f>
        <v>-882.25</v>
      </c>
      <c r="AM79" s="9" t="n">
        <f aca="false">IF(AJ79&gt;0,AL79/AJ79,"")</f>
        <v>-0.206085026862883</v>
      </c>
      <c r="AN79" s="9" t="n">
        <f aca="false">IF(AK$6=0,"",AK79/AK$6)</f>
        <v>0.0002874947929487</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11.84</v>
      </c>
      <c r="D80" s="46" t="str">
        <f aca="false">IFERROR(INDEX(Prices!$D$6:$D$300,MATCH($B80,Prices!$A$6:$A$300,0)),"")</f>
        <v>Close 29.10.2026 live (~11:20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6630.4</v>
      </c>
      <c r="J80" s="48" t="n">
        <f aca="false">I80-H80</f>
        <v>-24321.6</v>
      </c>
      <c r="K80" s="50" t="n">
        <f aca="false">IF(H80&gt;0,J80/H80,"")</f>
        <v>-0.785784440423882</v>
      </c>
      <c r="L80" s="51" t="n">
        <f aca="false">IF(I$6=0,"",I80/I$6)</f>
        <v>0.000169974656525369</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6630.4</v>
      </c>
      <c r="X80" s="8" t="n">
        <f aca="false">W80-V80</f>
        <v>-24321.6</v>
      </c>
      <c r="Y80" s="9" t="n">
        <f aca="false">IF(V80&gt;0,X80/V80,"")</f>
        <v>-0.785784440423882</v>
      </c>
      <c r="Z80" s="9" t="n">
        <f aca="false">IF(W$6=0,"",W80/W$6)</f>
        <v>0.00163341438037041</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23.10 + trades 29.10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0.000142508614204954</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0.000470277691995698</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1656.3</v>
      </c>
      <c r="D82" s="46" t="str">
        <f aca="false">IFERROR(INDEX(Prices!$D$6:$D$300,MATCH($B82,Prices!$A$6:$A$300,0)),"")</f>
        <v>Close 29.10.2026 live (~11:20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4968.9</v>
      </c>
      <c r="J82" s="48" t="n">
        <f aca="false">I82-H82</f>
        <v>-7358.1</v>
      </c>
      <c r="K82" s="50" t="n">
        <f aca="false">IF(H82&gt;0,J82/H82,"")</f>
        <v>-0.596909223655391</v>
      </c>
      <c r="L82" s="51" t="n">
        <f aca="false">IF(I$6=0,"",I82/I$6)</f>
        <v>0.000127381013333872</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4968.9</v>
      </c>
      <c r="AE82" s="8" t="n">
        <f aca="false">AD82-AC82</f>
        <v>-7358.1</v>
      </c>
      <c r="AF82" s="9" t="n">
        <f aca="false">IF(AC82&gt;0,AE82/AC82,"")</f>
        <v>-0.596909223655391</v>
      </c>
      <c r="AG82" s="9" t="n">
        <f aca="false">IF(AD$6=0,"",AD82/AD$6)</f>
        <v>0.000420356687130315</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183.38</v>
      </c>
      <c r="D83" s="46" t="str">
        <f aca="false">IFERROR(INDEX(Prices!$D$6:$D$300,MATCH($B83,Prices!$A$6:$A$300,0)),"")</f>
        <v>Close 29.10.2026 live (~11:20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4584.5</v>
      </c>
      <c r="J83" s="48" t="n">
        <f aca="false">I83-H83</f>
        <v>84.5</v>
      </c>
      <c r="K83" s="50" t="n">
        <f aca="false">IF(H83&gt;0,J83/H83,"")</f>
        <v>0.0187777777777778</v>
      </c>
      <c r="L83" s="51" t="n">
        <f aca="false">IF(I$6=0,"",I83/I$6)</f>
        <v>0.000117526666994533</v>
      </c>
      <c r="M83" s="52" t="n">
        <f aca="false">SUMIFS(Gautam!$D$7:$D$300,Gautam!$B$7:$B$300,$B83)</f>
        <v>25</v>
      </c>
      <c r="N83" s="8" t="n">
        <f aca="false">IF(AND(M83&gt;0,O83&gt;0),O83/M83,"")</f>
        <v>180</v>
      </c>
      <c r="O83" s="8" t="n">
        <f aca="false">SUMIFS(Gautam!$E$7:$E$300,Gautam!$B$7:$B$300,$B83)</f>
        <v>4500</v>
      </c>
      <c r="P83" s="8" t="n">
        <f aca="false">SUMIFS(Gautam!$H$7:$H$300,Gautam!$B$7:$B$300,$B83)</f>
        <v>4584.5</v>
      </c>
      <c r="Q83" s="8" t="n">
        <f aca="false">P83-O83</f>
        <v>84.5</v>
      </c>
      <c r="R83" s="9" t="n">
        <f aca="false">IF(O83&gt;0,Q83/O83,"")</f>
        <v>0.0187777777777778</v>
      </c>
      <c r="S83" s="9" t="n">
        <f aca="false">IF(P$6=0,"",P83/P$6)</f>
        <v>0.000803157044475949</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119.18</v>
      </c>
      <c r="D84" s="46" t="str">
        <f aca="false">IFERROR(INDEX(Prices!$D$6:$D$300,MATCH($B84,Prices!$A$6:$A$300,0)),"")</f>
        <v>Close 29.10.2026 live (~11:20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4290.48</v>
      </c>
      <c r="J84" s="48" t="n">
        <f aca="false">I84-H84</f>
        <v>-1128.52</v>
      </c>
      <c r="K84" s="50" t="n">
        <f aca="false">IF(H84&gt;0,J84/H84,"")</f>
        <v>-0.208252445100572</v>
      </c>
      <c r="L84" s="51" t="n">
        <f aca="false">IF(I$6=0,"",I84/I$6)</f>
        <v>0.000109989271285136</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4290.48</v>
      </c>
      <c r="X84" s="8" t="n">
        <f aca="false">W84-V84</f>
        <v>-1128.52</v>
      </c>
      <c r="Y84" s="9" t="n">
        <f aca="false">IF(V84&gt;0,X84/V84,"")</f>
        <v>-0.208252445100572</v>
      </c>
      <c r="Z84" s="9" t="n">
        <f aca="false">IF(W$6=0,"",W84/W$6)</f>
        <v>0.00105696967463375</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3768.9</v>
      </c>
      <c r="D85" s="46" t="str">
        <f aca="false">IFERROR(INDEX(Prices!$D$6:$D$300,MATCH($B85,Prices!$A$6:$A$300,0)),"")</f>
        <v>Close 29.10.2026 live (~11:20 IST) (Screener.in)</v>
      </c>
      <c r="E85" s="6" t="n">
        <f aca="false">(M85&gt;0)+(T85&gt;0)+(AA85&gt;0)+(AH85&gt;0)+(AO85&gt;0)+(AV85&gt;0)</f>
        <v>1</v>
      </c>
      <c r="F85" s="47" t="n">
        <f aca="false">M85+T85+AA85+AH85+AO85+AV85</f>
        <v>1</v>
      </c>
      <c r="G85" s="48" t="n">
        <f aca="false">IF(AND(F85&gt;0,H85&gt;0),H85/F85,"")</f>
        <v>6103</v>
      </c>
      <c r="H85" s="48" t="n">
        <f aca="false">O85+V85+AC85+AJ85+AQ85+AX85</f>
        <v>6103</v>
      </c>
      <c r="I85" s="49" t="n">
        <f aca="false">P85+W85+AD85+AK85+AR85+AY85</f>
        <v>3768.9</v>
      </c>
      <c r="J85" s="48" t="n">
        <f aca="false">I85-H85</f>
        <v>-2334.1</v>
      </c>
      <c r="K85" s="50" t="n">
        <f aca="false">IF(H85&gt;0,J85/H85,"")</f>
        <v>-0.382451253481894</v>
      </c>
      <c r="L85" s="51" t="n">
        <f aca="false">IF(I$6=0,"",I85/I$6)</f>
        <v>9.66182255940009E-005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1</v>
      </c>
      <c r="AB85" s="8" t="n">
        <f aca="false">IF(AND(AA85&gt;0,AC85&gt;0),AC85/AA85,"")</f>
        <v>6103</v>
      </c>
      <c r="AC85" s="8" t="n">
        <f aca="false">SUMIFS('Manish Shilpa'!$E$7:$E$300,'Manish Shilpa'!$B$7:$B$300,$B85)</f>
        <v>6103</v>
      </c>
      <c r="AD85" s="8" t="n">
        <f aca="false">SUMIFS('Manish Shilpa'!$H$7:$H$300,'Manish Shilpa'!$B$7:$B$300,$B85)</f>
        <v>3768.9</v>
      </c>
      <c r="AE85" s="8" t="n">
        <f aca="false">AD85-AC85</f>
        <v>-2334.1</v>
      </c>
      <c r="AF85" s="9" t="n">
        <f aca="false">IF(AC85&gt;0,AE85/AC85,"")</f>
        <v>-0.382451253481894</v>
      </c>
      <c r="AG85" s="9" t="n">
        <f aca="false">IF(AD$6=0,"",AD85/AD$6)</f>
        <v>0.000318839646224606</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744.1</v>
      </c>
      <c r="D86" s="46" t="str">
        <f aca="false">IFERROR(INDEX(Prices!$D$6:$D$300,MATCH($B86,Prices!$A$6:$A$300,0)),"")</f>
        <v>Close 29.10.2026 live (~11:20 IST) (Screener.in)</v>
      </c>
      <c r="E86" s="6" t="n">
        <f aca="false">(M86&gt;0)+(T86&gt;0)+(AA86&gt;0)+(AH86&gt;0)+(AO86&gt;0)+(AV86&gt;0)</f>
        <v>1</v>
      </c>
      <c r="F86" s="47" t="n">
        <f aca="false">M86+T86+AA86+AH86+AO86+AV86</f>
        <v>5</v>
      </c>
      <c r="G86" s="48" t="n">
        <f aca="false">IF(AND(F86&gt;0,H86&gt;0),H86/F86,"")</f>
        <v>676</v>
      </c>
      <c r="H86" s="48" t="n">
        <f aca="false">O86+V86+AC86+AJ86+AQ86+AX86</f>
        <v>3380</v>
      </c>
      <c r="I86" s="49" t="n">
        <f aca="false">P86+W86+AD86+AK86+AR86+AY86</f>
        <v>3720.5</v>
      </c>
      <c r="J86" s="48" t="n">
        <f aca="false">I86-H86</f>
        <v>340.5</v>
      </c>
      <c r="K86" s="50" t="n">
        <f aca="false">IF(H86&gt;0,J86/H86,"")</f>
        <v>0.100739644970414</v>
      </c>
      <c r="L86" s="51" t="n">
        <f aca="false">IF(I$6=0,"",I86/I$6)</f>
        <v>9.53774598218261E-005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5</v>
      </c>
      <c r="AB86" s="8" t="n">
        <f aca="false">IF(AND(AA86&gt;0,AC86&gt;0),AC86/AA86,"")</f>
        <v>676</v>
      </c>
      <c r="AC86" s="8" t="n">
        <f aca="false">SUMIFS('Manish Shilpa'!$E$7:$E$300,'Manish Shilpa'!$B$7:$B$300,$B86)</f>
        <v>3380</v>
      </c>
      <c r="AD86" s="8" t="n">
        <f aca="false">SUMIFS('Manish Shilpa'!$H$7:$H$300,'Manish Shilpa'!$B$7:$B$300,$B86)</f>
        <v>3720.5</v>
      </c>
      <c r="AE86" s="8" t="n">
        <f aca="false">AD86-AC86</f>
        <v>340.5</v>
      </c>
      <c r="AF86" s="9" t="n">
        <f aca="false">IF(AC86&gt;0,AE86/AC86,"")</f>
        <v>0.100739644970414</v>
      </c>
      <c r="AG86" s="9" t="n">
        <f aca="false">IF(AD$6=0,"",AD86/AD$6)</f>
        <v>0.000314745125574742</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449.35</v>
      </c>
      <c r="D87" s="46" t="str">
        <f aca="false">IFERROR(INDEX(Prices!$D$6:$D$300,MATCH($B87,Prices!$A$6:$A$300,0)),"")</f>
        <v>Close 29.10.2026 live (~11:20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2696.1</v>
      </c>
      <c r="J87" s="48" t="n">
        <f aca="false">I87-H87</f>
        <v>-1071.9</v>
      </c>
      <c r="K87" s="50" t="n">
        <f aca="false">IF(H87&gt;0,J87/H87,"")</f>
        <v>-0.284474522292994</v>
      </c>
      <c r="L87" s="51" t="n">
        <f aca="false">IF(I$6=0,"",I87/I$6)</f>
        <v>6.91162933545559E-005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2696.1</v>
      </c>
      <c r="AE87" s="8" t="n">
        <f aca="false">AD87-AC87</f>
        <v>-1071.9</v>
      </c>
      <c r="AF87" s="9" t="n">
        <f aca="false">IF(AC87&gt;0,AE87/AC87,"")</f>
        <v>-0.284474522292994</v>
      </c>
      <c r="AG87" s="9" t="n">
        <f aca="false">IF(AD$6=0,"",AD87/AD$6)</f>
        <v>0.000228083411654902</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113.45</v>
      </c>
      <c r="D88" s="46" t="str">
        <f aca="false">IFERROR(INDEX(Prices!$D$6:$D$300,MATCH($B88,Prices!$A$6:$A$300,0)),"")</f>
        <v>Close 29.10.2026 live (~11:20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2269</v>
      </c>
      <c r="J88" s="48" t="n">
        <f aca="false">I88-H88</f>
        <v>-4052</v>
      </c>
      <c r="K88" s="50" t="n">
        <f aca="false">IF(H88&gt;0,J88/H88,"")</f>
        <v>-0.641037810473026</v>
      </c>
      <c r="L88" s="51" t="n">
        <f aca="false">IF(I$6=0,"",I88/I$6)</f>
        <v>5.81673044848067E-005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2269</v>
      </c>
      <c r="X88" s="8" t="n">
        <f aca="false">W88-V88</f>
        <v>-4052</v>
      </c>
      <c r="Y88" s="9" t="n">
        <f aca="false">IF(V88&gt;0,X88/V88,"")</f>
        <v>-0.641037810473026</v>
      </c>
      <c r="Z88" s="9" t="n">
        <f aca="false">IF(W$6=0,"",W88/W$6)</f>
        <v>0.000558973399653183</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1489.8</v>
      </c>
      <c r="D89" s="46" t="str">
        <f aca="false">IFERROR(INDEX(Prices!$D$6:$D$300,MATCH($B89,Prices!$A$6:$A$300,0)),"")</f>
        <v>Close 29.10.2026 live (~11:20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1489.8</v>
      </c>
      <c r="J89" s="48" t="n">
        <f aca="false">I89-H89</f>
        <v>-903.2</v>
      </c>
      <c r="K89" s="50" t="n">
        <f aca="false">IF(H89&gt;0,J89/H89,"")</f>
        <v>-0.377434183033849</v>
      </c>
      <c r="L89" s="51" t="n">
        <f aca="false">IF(I$6=0,"",I89/I$6)</f>
        <v>3.81920009790503E-005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1489.8</v>
      </c>
      <c r="AE89" s="8" t="n">
        <f aca="false">AD89-AC89</f>
        <v>-903.2</v>
      </c>
      <c r="AF89" s="9" t="n">
        <f aca="false">IF(AC89&gt;0,AE89/AC89,"")</f>
        <v>-0.377434183033849</v>
      </c>
      <c r="AG89" s="9" t="n">
        <f aca="false">IF(AD$6=0,"",AD89/AD$6)</f>
        <v>0.000126033406284438</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3.16600357156176E-005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0.00030424510734759</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158.91</v>
      </c>
      <c r="D91" s="46" t="str">
        <f aca="false">IFERROR(INDEX(Prices!$D$6:$D$300,MATCH($B91,Prices!$A$6:$A$300,0)),"")</f>
        <v>Close 29.10.2026 live (~11:20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794.55</v>
      </c>
      <c r="J91" s="48" t="n">
        <f aca="false">I91-H91</f>
        <v>-885.45</v>
      </c>
      <c r="K91" s="50" t="n">
        <f aca="false">IF(H91&gt;0,J91/H91,"")</f>
        <v>-0.527053571428572</v>
      </c>
      <c r="L91" s="51" t="n">
        <f aca="false">IF(I$6=0,"",I91/I$6)</f>
        <v>2.03688108322623E-005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794.55</v>
      </c>
      <c r="AE91" s="8" t="n">
        <f aca="false">AD91-AC91</f>
        <v>-885.45</v>
      </c>
      <c r="AF91" s="9" t="n">
        <f aca="false">IF(AC91&gt;0,AE91/AC91,"")</f>
        <v>-0.527053571428572</v>
      </c>
      <c r="AG91" s="9" t="n">
        <f aca="false">IF(AD$6=0,"",AD91/AD$6)</f>
        <v>6.72169707096927E-005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94.14</v>
      </c>
      <c r="D92" s="46" t="str">
        <f aca="false">IFERROR(INDEX(Prices!$D$6:$D$300,MATCH($B92,Prices!$A$6:$A$300,0)),"")</f>
        <v>Close 29.10.2026 live (~11:20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564.84</v>
      </c>
      <c r="J92" s="48" t="n">
        <f aca="false">I92-H92</f>
        <v>-28.16</v>
      </c>
      <c r="K92" s="50" t="n">
        <f aca="false">IF(H92&gt;0,J92/H92,"")</f>
        <v>-0.0474873524451939</v>
      </c>
      <c r="L92" s="51" t="n">
        <f aca="false">IF(I$6=0,"",I92/I$6)</f>
        <v>1.44800441891574E-005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564.84</v>
      </c>
      <c r="X92" s="8" t="n">
        <f aca="false">W92-V92</f>
        <v>-28.16</v>
      </c>
      <c r="Y92" s="9" t="n">
        <f aca="false">IF(V92&gt;0,X92/V92,"")</f>
        <v>-0.0474873524451939</v>
      </c>
      <c r="Z92" s="9" t="n">
        <f aca="false">IF(W$6=0,"",W92/W$6)</f>
        <v>0.000139149640837419</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421.2</v>
      </c>
      <c r="D93" s="46" t="str">
        <f aca="false">IFERROR(INDEX(Prices!$D$6:$D$300,MATCH($B93,Prices!$A$6:$A$300,0)),"")</f>
        <v>Close 29.10.2026 live (~11:20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421.2</v>
      </c>
      <c r="J93" s="48" t="n">
        <f aca="false">I93-H93</f>
        <v>-93.8</v>
      </c>
      <c r="K93" s="50" t="n">
        <f aca="false">IF(H93&gt;0,J93/H93,"")</f>
        <v>-0.182135922330097</v>
      </c>
      <c r="L93" s="51" t="n">
        <f aca="false">IF(I$6=0,"",I93/I$6)</f>
        <v>1.07977384966948E-005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421.2</v>
      </c>
      <c r="X93" s="8" t="n">
        <f aca="false">W93-V93</f>
        <v>-93.8</v>
      </c>
      <c r="Y93" s="9" t="n">
        <f aca="false">IF(V93&gt;0,X93/V93,"")</f>
        <v>-0.182135922330097</v>
      </c>
      <c r="Z93" s="9" t="n">
        <f aca="false">IF(W$6=0,"",W93/W$6)</f>
        <v>0.000103763594505915</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449.35</v>
      </c>
      <c r="C6" s="55" t="n">
        <f aca="false">IF(ISNUMBER(B6),B6,IF(ISNUMBER(E6),E6,IF(ISNUMBER(F6),F6,IF(ISNUMBER(G6),G6,IF(ISNUMBER(H6),H6,IF(ISNUMBER(I6),I6,IF(ISNUMBER(J6),J6,"")))))))</f>
        <v>449.35</v>
      </c>
      <c r="D6" s="56" t="str">
        <f aca="false">IF(ISNUMBER(B6),IF(K6&lt;&gt;"",K6,"Manual override"),IF(ISNUMBER(E6),"Gautam stmt – 23.10 + trades",IF(ISNUMBER(F6),"DA stmt – 23.10",IF(ISNUMBER(G6),"Manish Shilpa stmt – 23.10 + trades 29.10",IF(ISNUMBER(H6),"Saloni stmt – 20.10 (stale)",IF(ISNUMBER(I6),"Vidushi stmt – LTP 05.10",IF(ISNUMBER(J6),"Umesh stmt – NSE live 09.10","No price on any statement")))))))</f>
        <v>Close 29.10.2026 live (~11:20 IST) (Screener.in)</v>
      </c>
      <c r="E6" s="57"/>
      <c r="F6" s="57"/>
      <c r="G6" s="57" t="n">
        <v>373.5</v>
      </c>
      <c r="H6" s="57"/>
      <c r="I6" s="57"/>
      <c r="J6" s="57"/>
      <c r="K6" s="58" t="s">
        <v>182</v>
      </c>
      <c r="L6" s="57" t="n">
        <v>447.9</v>
      </c>
      <c r="M6" s="9" t="n">
        <f aca="false">IF(AND(ISNUMBER(B6),ISNUMBER(L6),N(L6)&gt;0),B6/L6-1,"")</f>
        <v>0.00323732976110747</v>
      </c>
    </row>
    <row r="7" customFormat="false" ht="15" hidden="false" customHeight="false" outlineLevel="0" collapsed="false">
      <c r="A7" s="5" t="s">
        <v>110</v>
      </c>
      <c r="B7" s="54" t="n">
        <v>26415</v>
      </c>
      <c r="C7" s="55" t="n">
        <f aca="false">IF(ISNUMBER(B7),B7,IF(ISNUMBER(E7),E7,IF(ISNUMBER(F7),F7,IF(ISNUMBER(G7),G7,IF(ISNUMBER(H7),H7,IF(ISNUMBER(I7),I7,IF(ISNUMBER(J7),J7,"")))))))</f>
        <v>26415</v>
      </c>
      <c r="D7" s="56" t="str">
        <f aca="false">IF(ISNUMBER(B7),IF(K7&lt;&gt;"",K7,"Manual override"),IF(ISNUMBER(E7),"Gautam stmt – 23.10 + trades",IF(ISNUMBER(F7),"DA stmt – 23.10",IF(ISNUMBER(G7),"Manish Shilpa stmt – 23.10 + trades 29.10",IF(ISNUMBER(H7),"Saloni stmt – 20.10 (stale)",IF(ISNUMBER(I7),"Vidushi stmt – LTP 05.10",IF(ISNUMBER(J7),"Umesh stmt – NSE live 09.10","No price on any statement")))))))</f>
        <v>Close 29.10.2026 live (~11:20 IST) (Screener.in)</v>
      </c>
      <c r="E7" s="57"/>
      <c r="F7" s="57"/>
      <c r="G7" s="57" t="n">
        <v>24800</v>
      </c>
      <c r="H7" s="57"/>
      <c r="I7" s="57"/>
      <c r="J7" s="57"/>
      <c r="K7" s="58" t="s">
        <v>182</v>
      </c>
      <c r="L7" s="57" t="n">
        <v>26275</v>
      </c>
      <c r="M7" s="9" t="n">
        <f aca="false">IF(AND(ISNUMBER(B7),ISNUMBER(L7),N(L7)&gt;0),B7/L7-1,"")</f>
        <v>0.00532825880114185</v>
      </c>
    </row>
    <row r="8" customFormat="false" ht="15" hidden="false" customHeight="false" outlineLevel="0" collapsed="false">
      <c r="A8" s="5" t="s">
        <v>84</v>
      </c>
      <c r="B8" s="54" t="n">
        <v>1329</v>
      </c>
      <c r="C8" s="55" t="n">
        <f aca="false">IF(ISNUMBER(B8),B8,IF(ISNUMBER(E8),E8,IF(ISNUMBER(F8),F8,IF(ISNUMBER(G8),G8,IF(ISNUMBER(H8),H8,IF(ISNUMBER(I8),I8,IF(ISNUMBER(J8),J8,"")))))))</f>
        <v>1329</v>
      </c>
      <c r="D8" s="56" t="str">
        <f aca="false">IF(ISNUMBER(B8),IF(K8&lt;&gt;"",K8,"Manual override"),IF(ISNUMBER(E8),"Gautam stmt – 23.10 + trades",IF(ISNUMBER(F8),"DA stmt – 23.10",IF(ISNUMBER(G8),"Manish Shilpa stmt – 23.10 + trades 29.10",IF(ISNUMBER(H8),"Saloni stmt – 20.10 (stale)",IF(ISNUMBER(I8),"Vidushi stmt – LTP 05.10",IF(ISNUMBER(J8),"Umesh stmt – NSE live 09.10","No price on any statement")))))))</f>
        <v>Close 29.10.2026 live (~11:20 IST) (Screener.in)</v>
      </c>
      <c r="E8" s="57" t="n">
        <v>1377</v>
      </c>
      <c r="F8" s="57" t="n">
        <v>1315.55</v>
      </c>
      <c r="G8" s="57" t="n">
        <v>1270</v>
      </c>
      <c r="H8" s="57" t="n">
        <v>1490.95</v>
      </c>
      <c r="I8" s="57"/>
      <c r="J8" s="57" t="n">
        <v>1425</v>
      </c>
      <c r="K8" s="58" t="s">
        <v>182</v>
      </c>
      <c r="L8" s="57" t="n">
        <v>1302.7</v>
      </c>
      <c r="M8" s="9" t="n">
        <f aca="false">IF(AND(ISNUMBER(B8),ISNUMBER(L8),N(L8)&gt;0),B8/L8-1,"")</f>
        <v>0.0201888385660551</v>
      </c>
    </row>
    <row r="9" customFormat="false" ht="15" hidden="false" customHeight="false" outlineLevel="0" collapsed="false">
      <c r="A9" s="5" t="s">
        <v>94</v>
      </c>
      <c r="B9" s="54" t="n">
        <v>1395.7</v>
      </c>
      <c r="C9" s="55" t="n">
        <f aca="false">IF(ISNUMBER(B9),B9,IF(ISNUMBER(E9),E9,IF(ISNUMBER(F9),F9,IF(ISNUMBER(G9),G9,IF(ISNUMBER(H9),H9,IF(ISNUMBER(I9),I9,IF(ISNUMBER(J9),J9,"")))))))</f>
        <v>1395.7</v>
      </c>
      <c r="D9" s="56" t="str">
        <f aca="false">IF(ISNUMBER(B9),IF(K9&lt;&gt;"",K9,"Manual override"),IF(ISNUMBER(E9),"Gautam stmt – 23.10 + trades",IF(ISNUMBER(F9),"DA stmt – 23.10",IF(ISNUMBER(G9),"Manish Shilpa stmt – 23.10 + trades 29.10",IF(ISNUMBER(H9),"Saloni stmt – 20.10 (stale)",IF(ISNUMBER(I9),"Vidushi stmt – LTP 05.10",IF(ISNUMBER(J9),"Umesh stmt – NSE live 09.10","No price on any statement")))))))</f>
        <v>Close 29.10.2026 live (~11:20 IST) (Screener.in)</v>
      </c>
      <c r="E9" s="57"/>
      <c r="F9" s="57" t="n">
        <v>1326.19565217391</v>
      </c>
      <c r="G9" s="57" t="n">
        <v>1324.55319148936</v>
      </c>
      <c r="H9" s="57"/>
      <c r="I9" s="57" t="n">
        <v>1456.66666666667</v>
      </c>
      <c r="J9" s="57" t="n">
        <v>1422.89361702128</v>
      </c>
      <c r="K9" s="58" t="s">
        <v>182</v>
      </c>
      <c r="L9" s="57" t="n">
        <v>1411</v>
      </c>
      <c r="M9" s="9" t="n">
        <f aca="false">IF(AND(ISNUMBER(B9),ISNUMBER(L9),N(L9)&gt;0),B9/L9-1,"")</f>
        <v>-0.0108433734939759</v>
      </c>
    </row>
    <row r="10" customFormat="false" ht="15" hidden="false" customHeight="false" outlineLevel="0" collapsed="false">
      <c r="A10" s="5" t="s">
        <v>154</v>
      </c>
      <c r="B10" s="54" t="n">
        <v>1656.3</v>
      </c>
      <c r="C10" s="55" t="n">
        <f aca="false">IF(ISNUMBER(B10),B10,IF(ISNUMBER(E10),E10,IF(ISNUMBER(F10),F10,IF(ISNUMBER(G10),G10,IF(ISNUMBER(H10),H10,IF(ISNUMBER(I10),I10,IF(ISNUMBER(J10),J10,"")))))))</f>
        <v>1656.3</v>
      </c>
      <c r="D10" s="56" t="str">
        <f aca="false">IF(ISNUMBER(B10),IF(K10&lt;&gt;"",K10,"Manual override"),IF(ISNUMBER(E10),"Gautam stmt – 23.10 + trades",IF(ISNUMBER(F10),"DA stmt – 23.10",IF(ISNUMBER(G10),"Manish Shilpa stmt – 23.10 + trades 29.10",IF(ISNUMBER(H10),"Saloni stmt – 20.10 (stale)",IF(ISNUMBER(I10),"Vidushi stmt – LTP 05.10",IF(ISNUMBER(J10),"Umesh stmt – NSE live 09.10","No price on any statement")))))))</f>
        <v>Close 29.10.2026 live (~11:20 IST) (Screener.in)</v>
      </c>
      <c r="E10" s="57"/>
      <c r="F10" s="57"/>
      <c r="G10" s="57" t="n">
        <v>1621.66666666667</v>
      </c>
      <c r="H10" s="57"/>
      <c r="I10" s="57"/>
      <c r="J10" s="57"/>
      <c r="K10" s="58" t="s">
        <v>182</v>
      </c>
      <c r="L10" s="57" t="n">
        <v>1651.9</v>
      </c>
      <c r="M10" s="9" t="n">
        <f aca="false">IF(AND(ISNUMBER(B10),ISNUMBER(L10),N(L10)&gt;0),B10/L10-1,"")</f>
        <v>0.00266359949149453</v>
      </c>
    </row>
    <row r="11" customFormat="false" ht="15" hidden="false" customHeight="false" outlineLevel="0" collapsed="false">
      <c r="A11" s="5" t="s">
        <v>136</v>
      </c>
      <c r="B11" s="54" t="n">
        <v>351.75</v>
      </c>
      <c r="C11" s="55" t="n">
        <f aca="false">IF(ISNUMBER(B11),B11,IF(ISNUMBER(E11),E11,IF(ISNUMBER(F11),F11,IF(ISNUMBER(G11),G11,IF(ISNUMBER(H11),H11,IF(ISNUMBER(I11),I11,IF(ISNUMBER(J11),J11,"")))))))</f>
        <v>351.75</v>
      </c>
      <c r="D11" s="56" t="str">
        <f aca="false">IF(ISNUMBER(B11),IF(K11&lt;&gt;"",K11,"Manual override"),IF(ISNUMBER(E11),"Gautam stmt – 23.10 + trades",IF(ISNUMBER(F11),"DA stmt – 23.10",IF(ISNUMBER(G11),"Manish Shilpa stmt – 23.10 + trades 29.10",IF(ISNUMBER(H11),"Saloni stmt – 20.10 (stale)",IF(ISNUMBER(I11),"Vidushi stmt – LTP 05.10",IF(ISNUMBER(J11),"Umesh stmt – NSE live 09.10","No price on any statement")))))))</f>
        <v>Close 29.10.2026 live (~11:20 IST) (Screener.in)</v>
      </c>
      <c r="E11" s="57"/>
      <c r="F11" s="57" t="n">
        <v>358.897959183674</v>
      </c>
      <c r="G11" s="57"/>
      <c r="H11" s="57"/>
      <c r="I11" s="57"/>
      <c r="J11" s="57"/>
      <c r="K11" s="58" t="s">
        <v>182</v>
      </c>
      <c r="L11" s="57" t="n">
        <v>351.2</v>
      </c>
      <c r="M11" s="9" t="n">
        <f aca="false">IF(AND(ISNUMBER(B11),ISNUMBER(L11),N(L11)&gt;0),B11/L11-1,"")</f>
        <v>0.00156605922551245</v>
      </c>
    </row>
    <row r="12" customFormat="false" ht="15" hidden="false" customHeight="false" outlineLevel="0" collapsed="false">
      <c r="A12" s="5" t="s">
        <v>144</v>
      </c>
      <c r="B12" s="54" t="n">
        <v>98.2</v>
      </c>
      <c r="C12" s="55" t="n">
        <f aca="false">IF(ISNUMBER(B12),B12,IF(ISNUMBER(E12),E12,IF(ISNUMBER(F12),F12,IF(ISNUMBER(G12),G12,IF(ISNUMBER(H12),H12,IF(ISNUMBER(I12),I12,IF(ISNUMBER(J12),J12,"")))))))</f>
        <v>98.2</v>
      </c>
      <c r="D12" s="56" t="str">
        <f aca="false">IF(ISNUMBER(B12),IF(K12&lt;&gt;"",K12,"Manual override"),IF(ISNUMBER(E12),"Gautam stmt – 23.10 + trades",IF(ISNUMBER(F12),"DA stmt – 23.10",IF(ISNUMBER(G12),"Manish Shilpa stmt – 23.10 + trades 29.10",IF(ISNUMBER(H12),"Saloni stmt – 20.10 (stale)",IF(ISNUMBER(I12),"Vidushi stmt – LTP 05.10",IF(ISNUMBER(J12),"Umesh stmt – NSE live 09.10","No price on any statement")))))))</f>
        <v>Close 29.10.2026 live (~11:20 IST) (Screener.in)</v>
      </c>
      <c r="E12" s="57"/>
      <c r="F12" s="57" t="n">
        <v>98.4924242424243</v>
      </c>
      <c r="G12" s="57"/>
      <c r="H12" s="57"/>
      <c r="I12" s="57"/>
      <c r="J12" s="57"/>
      <c r="K12" s="58" t="s">
        <v>182</v>
      </c>
      <c r="L12" s="57" t="n">
        <v>96.22</v>
      </c>
      <c r="M12" s="9" t="n">
        <f aca="false">IF(AND(ISNUMBER(B12),ISNUMBER(L12),N(L12)&gt;0),B12/L12-1,"")</f>
        <v>0.0205778424443983</v>
      </c>
    </row>
    <row r="13" customFormat="false" ht="15" hidden="false" customHeight="false" outlineLevel="0" collapsed="false">
      <c r="A13" s="5" t="s">
        <v>116</v>
      </c>
      <c r="B13" s="54" t="n">
        <v>2279.9</v>
      </c>
      <c r="C13" s="55" t="n">
        <f aca="false">IF(ISNUMBER(B13),B13,IF(ISNUMBER(E13),E13,IF(ISNUMBER(F13),F13,IF(ISNUMBER(G13),G13,IF(ISNUMBER(H13),H13,IF(ISNUMBER(I13),I13,IF(ISNUMBER(J13),J13,"")))))))</f>
        <v>2279.9</v>
      </c>
      <c r="D13" s="56" t="str">
        <f aca="false">IF(ISNUMBER(B13),IF(K13&lt;&gt;"",K13,"Manual override"),IF(ISNUMBER(E13),"Gautam stmt – 23.10 + trades",IF(ISNUMBER(F13),"DA stmt – 23.10",IF(ISNUMBER(G13),"Manish Shilpa stmt – 23.10 + trades 29.10",IF(ISNUMBER(H13),"Saloni stmt – 20.10 (stale)",IF(ISNUMBER(I13),"Vidushi stmt – LTP 05.10",IF(ISNUMBER(J13),"Umesh stmt – NSE live 09.10","No price on any statement")))))))</f>
        <v>Close 29.10.2026 live (~11:20 IST) (Screener.in)</v>
      </c>
      <c r="E13" s="57"/>
      <c r="F13" s="57"/>
      <c r="G13" s="57" t="n">
        <v>2274.81818181818</v>
      </c>
      <c r="H13" s="57"/>
      <c r="I13" s="57"/>
      <c r="J13" s="57"/>
      <c r="K13" s="58" t="s">
        <v>182</v>
      </c>
      <c r="L13" s="57" t="n">
        <v>2284.6</v>
      </c>
      <c r="M13" s="9" t="n">
        <f aca="false">IF(AND(ISNUMBER(B13),ISNUMBER(L13),N(L13)&gt;0),B13/L13-1,"")</f>
        <v>-0.00205725291079395</v>
      </c>
    </row>
    <row r="14" customFormat="false" ht="15" hidden="false" customHeight="false" outlineLevel="0" collapsed="false">
      <c r="A14" s="5" t="s">
        <v>101</v>
      </c>
      <c r="B14" s="54" t="n">
        <v>3153.9</v>
      </c>
      <c r="C14" s="55" t="n">
        <f aca="false">IF(ISNUMBER(B14),B14,IF(ISNUMBER(E14),E14,IF(ISNUMBER(F14),F14,IF(ISNUMBER(G14),G14,IF(ISNUMBER(H14),H14,IF(ISNUMBER(I14),I14,IF(ISNUMBER(J14),J14,"")))))))</f>
        <v>3153.9</v>
      </c>
      <c r="D14" s="56" t="str">
        <f aca="false">IF(ISNUMBER(B14),IF(K14&lt;&gt;"",K14,"Manual override"),IF(ISNUMBER(E14),"Gautam stmt – 23.10 + trades",IF(ISNUMBER(F14),"DA stmt – 23.10",IF(ISNUMBER(G14),"Manish Shilpa stmt – 23.10 + trades 29.10",IF(ISNUMBER(H14),"Saloni stmt – 20.10 (stale)",IF(ISNUMBER(I14),"Vidushi stmt – LTP 05.10",IF(ISNUMBER(J14),"Umesh stmt – NSE live 09.10","No price on any statement")))))))</f>
        <v>Close 29.10.2026 live (~11:20 IST) (Screener.in)</v>
      </c>
      <c r="E14" s="57"/>
      <c r="F14" s="57" t="n">
        <v>3157.71428571429</v>
      </c>
      <c r="G14" s="57" t="n">
        <v>3126.33333333333</v>
      </c>
      <c r="H14" s="57"/>
      <c r="I14" s="57"/>
      <c r="J14" s="57" t="n">
        <v>3567.5</v>
      </c>
      <c r="K14" s="58" t="s">
        <v>182</v>
      </c>
      <c r="L14" s="57" t="n">
        <v>3133.9</v>
      </c>
      <c r="M14" s="9" t="n">
        <f aca="false">IF(AND(ISNUMBER(B14),ISNUMBER(L14),N(L14)&gt;0),B14/L14-1,"")</f>
        <v>0.00638182456364267</v>
      </c>
    </row>
    <row r="15" customFormat="false" ht="15" hidden="false" customHeight="false" outlineLevel="0" collapsed="false">
      <c r="A15" s="5" t="s">
        <v>140</v>
      </c>
      <c r="B15" s="54" t="n">
        <v>104.96</v>
      </c>
      <c r="C15" s="55" t="n">
        <f aca="false">IF(ISNUMBER(B15),B15,IF(ISNUMBER(E15),E15,IF(ISNUMBER(F15),F15,IF(ISNUMBER(G15),G15,IF(ISNUMBER(H15),H15,IF(ISNUMBER(I15),I15,IF(ISNUMBER(J15),J15,"")))))))</f>
        <v>104.96</v>
      </c>
      <c r="D15" s="56" t="str">
        <f aca="false">IF(ISNUMBER(B15),IF(K15&lt;&gt;"",K15,"Manual override"),IF(ISNUMBER(E15),"Gautam stmt – 23.10 + trades",IF(ISNUMBER(F15),"DA stmt – 23.10",IF(ISNUMBER(G15),"Manish Shilpa stmt – 23.10 + trades 29.10",IF(ISNUMBER(H15),"Saloni stmt – 20.10 (stale)",IF(ISNUMBER(I15),"Vidushi stmt – LTP 05.10",IF(ISNUMBER(J15),"Umesh stmt – NSE live 09.10","No price on any statement")))))))</f>
        <v>Close 29.10.2026 live (~11:20 IST) (Screener.in)</v>
      </c>
      <c r="E15" s="57" t="n">
        <v>106</v>
      </c>
      <c r="F15" s="57"/>
      <c r="G15" s="57"/>
      <c r="H15" s="57"/>
      <c r="I15" s="57"/>
      <c r="J15" s="57"/>
      <c r="K15" s="58" t="s">
        <v>182</v>
      </c>
      <c r="L15" s="57" t="n">
        <v>104.85</v>
      </c>
      <c r="M15" s="9" t="n">
        <f aca="false">IF(AND(ISNUMBER(B15),ISNUMBER(L15),N(L15)&gt;0),B15/L15-1,"")</f>
        <v>0.00104911778731531</v>
      </c>
    </row>
    <row r="16" customFormat="false" ht="15" hidden="false" customHeight="false" outlineLevel="0" collapsed="false">
      <c r="A16" s="5" t="s">
        <v>79</v>
      </c>
      <c r="B16" s="54" t="n">
        <v>925.8</v>
      </c>
      <c r="C16" s="55" t="n">
        <f aca="false">IF(ISNUMBER(B16),B16,IF(ISNUMBER(E16),E16,IF(ISNUMBER(F16),F16,IF(ISNUMBER(G16),G16,IF(ISNUMBER(H16),H16,IF(ISNUMBER(I16),I16,IF(ISNUMBER(J16),J16,"")))))))</f>
        <v>925.8</v>
      </c>
      <c r="D16" s="56" t="str">
        <f aca="false">IF(ISNUMBER(B16),IF(K16&lt;&gt;"",K16,"Manual override"),IF(ISNUMBER(E16),"Gautam stmt – 23.10 + trades",IF(ISNUMBER(F16),"DA stmt – 23.10",IF(ISNUMBER(G16),"Manish Shilpa stmt – 23.10 + trades 29.10",IF(ISNUMBER(H16),"Saloni stmt – 20.10 (stale)",IF(ISNUMBER(I16),"Vidushi stmt – LTP 05.10",IF(ISNUMBER(J16),"Umesh stmt – NSE live 09.10","No price on any statement")))))))</f>
        <v>Close 29.10.2026 live (~11:20 IST) (Screener.in)</v>
      </c>
      <c r="E16" s="57"/>
      <c r="F16" s="57" t="n">
        <v>928.949945593036</v>
      </c>
      <c r="G16" s="57"/>
      <c r="H16" s="57"/>
      <c r="I16" s="57" t="n">
        <v>973.900826446281</v>
      </c>
      <c r="J16" s="57" t="n">
        <v>961.34991708126</v>
      </c>
      <c r="K16" s="58" t="s">
        <v>182</v>
      </c>
      <c r="L16" s="57" t="n">
        <v>917.25</v>
      </c>
      <c r="M16" s="9" t="n">
        <f aca="false">IF(AND(ISNUMBER(B16),ISNUMBER(L16),N(L16)&gt;0),B16/L16-1,"")</f>
        <v>0.0093213409648405</v>
      </c>
    </row>
    <row r="17" customFormat="false" ht="15" hidden="false" customHeight="false" outlineLevel="0" collapsed="false">
      <c r="A17" s="5" t="s">
        <v>86</v>
      </c>
      <c r="B17" s="54" t="n">
        <v>78.1</v>
      </c>
      <c r="C17" s="55" t="n">
        <f aca="false">IF(ISNUMBER(B17),B17,IF(ISNUMBER(E17),E17,IF(ISNUMBER(F17),F17,IF(ISNUMBER(G17),G17,IF(ISNUMBER(H17),H17,IF(ISNUMBER(I17),I17,IF(ISNUMBER(J17),J17,"")))))))</f>
        <v>78.1</v>
      </c>
      <c r="D17" s="56" t="str">
        <f aca="false">IF(ISNUMBER(B17),IF(K17&lt;&gt;"",K17,"Manual override"),IF(ISNUMBER(E17),"Gautam stmt – 23.10 + trades",IF(ISNUMBER(F17),"DA stmt – 23.10",IF(ISNUMBER(G17),"Manish Shilpa stmt – 23.10 + trades 29.10",IF(ISNUMBER(H17),"Saloni stmt – 20.10 (stale)",IF(ISNUMBER(I17),"Vidushi stmt – LTP 05.10",IF(ISNUMBER(J17),"Umesh stmt – NSE live 09.10","No price on any statement")))))))</f>
        <v>Close 29.10.2026 live (~11:20 IST) (Screener.in)</v>
      </c>
      <c r="E17" s="57"/>
      <c r="F17" s="57" t="n">
        <v>77.4497607655502</v>
      </c>
      <c r="G17" s="57"/>
      <c r="H17" s="57"/>
      <c r="I17" s="57" t="n">
        <v>81.801652892562</v>
      </c>
      <c r="J17" s="57" t="n">
        <v>82.2101910828026</v>
      </c>
      <c r="K17" s="58" t="s">
        <v>182</v>
      </c>
      <c r="L17" s="57" t="n">
        <v>77.48</v>
      </c>
      <c r="M17" s="9" t="n">
        <f aca="false">IF(AND(ISNUMBER(B17),ISNUMBER(L17),N(L17)&gt;0),B17/L17-1,"")</f>
        <v>0.00800206504904488</v>
      </c>
    </row>
    <row r="18" customFormat="false" ht="15" hidden="false" customHeight="false" outlineLevel="0" collapsed="false">
      <c r="A18" s="5" t="s">
        <v>150</v>
      </c>
      <c r="B18" s="54" t="n">
        <v>1961.4</v>
      </c>
      <c r="C18" s="55" t="n">
        <f aca="false">IF(ISNUMBER(B18),B18,IF(ISNUMBER(E18),E18,IF(ISNUMBER(F18),F18,IF(ISNUMBER(G18),G18,IF(ISNUMBER(H18),H18,IF(ISNUMBER(I18),I18,IF(ISNUMBER(J18),J18,"")))))))</f>
        <v>1961.4</v>
      </c>
      <c r="D18" s="56" t="str">
        <f aca="false">IF(ISNUMBER(B18),IF(K18&lt;&gt;"",K18,"Manual override"),IF(ISNUMBER(E18),"Gautam stmt – 23.10 + trades",IF(ISNUMBER(F18),"DA stmt – 23.10",IF(ISNUMBER(G18),"Manish Shilpa stmt – 23.10 + trades 29.10",IF(ISNUMBER(H18),"Saloni stmt – 20.10 (stale)",IF(ISNUMBER(I18),"Vidushi stmt – LTP 05.10",IF(ISNUMBER(J18),"Umesh stmt – NSE live 09.10","No price on any statement")))))))</f>
        <v>Close 29.10.2026 live (~11:20 IST) (Screener.in)</v>
      </c>
      <c r="E18" s="57" t="n">
        <v>1895</v>
      </c>
      <c r="F18" s="57"/>
      <c r="G18" s="57"/>
      <c r="H18" s="57"/>
      <c r="I18" s="57"/>
      <c r="J18" s="57"/>
      <c r="K18" s="58" t="s">
        <v>182</v>
      </c>
      <c r="L18" s="57" t="n">
        <v>1948.1</v>
      </c>
      <c r="M18" s="9" t="n">
        <f aca="false">IF(AND(ISNUMBER(B18),ISNUMBER(L18),N(L18)&gt;0),B18/L18-1,"")</f>
        <v>0.00682716492993185</v>
      </c>
    </row>
    <row r="19" customFormat="false" ht="15" hidden="false" customHeight="false" outlineLevel="0" collapsed="false">
      <c r="A19" s="5" t="s">
        <v>118</v>
      </c>
      <c r="B19" s="54" t="n">
        <v>532.2</v>
      </c>
      <c r="C19" s="55" t="n">
        <f aca="false">IF(ISNUMBER(B19),B19,IF(ISNUMBER(E19),E19,IF(ISNUMBER(F19),F19,IF(ISNUMBER(G19),G19,IF(ISNUMBER(H19),H19,IF(ISNUMBER(I19),I19,IF(ISNUMBER(J19),J19,"")))))))</f>
        <v>532.2</v>
      </c>
      <c r="D19" s="56" t="str">
        <f aca="false">IF(ISNUMBER(B19),IF(K19&lt;&gt;"",K19,"Manual override"),IF(ISNUMBER(E19),"Gautam stmt – 23.10 + trades",IF(ISNUMBER(F19),"DA stmt – 23.10",IF(ISNUMBER(G19),"Manish Shilpa stmt – 23.10 + trades 29.10",IF(ISNUMBER(H19),"Saloni stmt – 20.10 (stale)",IF(ISNUMBER(I19),"Vidushi stmt – LTP 05.10",IF(ISNUMBER(J19),"Umesh stmt – NSE live 09.10","No price on any statement")))))))</f>
        <v>Close 29.10.2026 live (~11:20 IST) (Screener.in)</v>
      </c>
      <c r="E19" s="57"/>
      <c r="F19" s="57" t="n">
        <v>547.6</v>
      </c>
      <c r="G19" s="57"/>
      <c r="H19" s="57"/>
      <c r="I19" s="57"/>
      <c r="J19" s="57"/>
      <c r="K19" s="58" t="s">
        <v>182</v>
      </c>
      <c r="L19" s="57" t="n">
        <v>538.35</v>
      </c>
      <c r="M19" s="9" t="n">
        <f aca="false">IF(AND(ISNUMBER(B19),ISNUMBER(L19),N(L19)&gt;0),B19/L19-1,"")</f>
        <v>-0.0114237949289495</v>
      </c>
    </row>
    <row r="20" customFormat="false" ht="15" hidden="false" customHeight="false" outlineLevel="0" collapsed="false">
      <c r="A20" s="5" t="s">
        <v>122</v>
      </c>
      <c r="B20" s="54" t="n">
        <v>153.24</v>
      </c>
      <c r="C20" s="55" t="n">
        <f aca="false">IF(ISNUMBER(B20),B20,IF(ISNUMBER(E20),E20,IF(ISNUMBER(F20),F20,IF(ISNUMBER(G20),G20,IF(ISNUMBER(H20),H20,IF(ISNUMBER(I20),I20,IF(ISNUMBER(J20),J20,"")))))))</f>
        <v>153.24</v>
      </c>
      <c r="D20" s="56" t="str">
        <f aca="false">IF(ISNUMBER(B20),IF(K20&lt;&gt;"",K20,"Manual override"),IF(ISNUMBER(E20),"Gautam stmt – 23.10 + trades",IF(ISNUMBER(F20),"DA stmt – 23.10",IF(ISNUMBER(G20),"Manish Shilpa stmt – 23.10 + trades 29.10",IF(ISNUMBER(H20),"Saloni stmt – 20.10 (stale)",IF(ISNUMBER(I20),"Vidushi stmt – LTP 05.10",IF(ISNUMBER(J20),"Umesh stmt – NSE live 09.10","No price on any statement")))))))</f>
        <v>Close 29.10.2026 live (~11:20 IST) (Screener.in)</v>
      </c>
      <c r="E20" s="57"/>
      <c r="F20" s="57" t="n">
        <v>149.221739130435</v>
      </c>
      <c r="G20" s="57"/>
      <c r="H20" s="57"/>
      <c r="I20" s="57"/>
      <c r="J20" s="57"/>
      <c r="K20" s="58" t="s">
        <v>182</v>
      </c>
      <c r="L20" s="57" t="n">
        <v>149.05</v>
      </c>
      <c r="M20" s="9" t="n">
        <f aca="false">IF(AND(ISNUMBER(B20),ISNUMBER(L20),N(L20)&gt;0),B20/L20-1,"")</f>
        <v>0.0281113720228112</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23.10 + trades 29.10",IF(ISNUMBER(H21),"Saloni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1273</v>
      </c>
      <c r="C22" s="55" t="n">
        <f aca="false">IF(ISNUMBER(B22),B22,IF(ISNUMBER(E22),E22,IF(ISNUMBER(F22),F22,IF(ISNUMBER(G22),G22,IF(ISNUMBER(H22),H22,IF(ISNUMBER(I22),I22,IF(ISNUMBER(J22),J22,"")))))))</f>
        <v>1273</v>
      </c>
      <c r="D22" s="56" t="str">
        <f aca="false">IF(ISNUMBER(B22),IF(K22&lt;&gt;"",K22,"Manual override"),IF(ISNUMBER(E22),"Gautam stmt – 23.10 + trades",IF(ISNUMBER(F22),"DA stmt – 23.10",IF(ISNUMBER(G22),"Manish Shilpa stmt – 23.10 + trades 29.10",IF(ISNUMBER(H22),"Saloni stmt – 20.10 (stale)",IF(ISNUMBER(I22),"Vidushi stmt – LTP 05.10",IF(ISNUMBER(J22),"Umesh stmt – NSE live 09.10","No price on any statement")))))))</f>
        <v>Close 29.10.2026 live (~11:20 IST) (Screener.in)</v>
      </c>
      <c r="E22" s="57"/>
      <c r="F22" s="57"/>
      <c r="G22" s="57" t="n">
        <v>1183.90298507463</v>
      </c>
      <c r="H22" s="57"/>
      <c r="I22" s="57"/>
      <c r="J22" s="57"/>
      <c r="K22" s="58" t="s">
        <v>182</v>
      </c>
      <c r="L22" s="57" t="n">
        <v>1232</v>
      </c>
      <c r="M22" s="9" t="n">
        <f aca="false">IF(AND(ISNUMBER(B22),ISNUMBER(L22),N(L22)&gt;0),B22/L22-1,"")</f>
        <v>0.0332792207792207</v>
      </c>
    </row>
    <row r="23" customFormat="false" ht="15" hidden="false" customHeight="false" outlineLevel="0" collapsed="false">
      <c r="A23" s="5" t="s">
        <v>149</v>
      </c>
      <c r="B23" s="54" t="n">
        <v>740.3</v>
      </c>
      <c r="C23" s="55" t="n">
        <f aca="false">IF(ISNUMBER(B23),B23,IF(ISNUMBER(E23),E23,IF(ISNUMBER(F23),F23,IF(ISNUMBER(G23),G23,IF(ISNUMBER(H23),H23,IF(ISNUMBER(I23),I23,IF(ISNUMBER(J23),J23,"")))))))</f>
        <v>740.3</v>
      </c>
      <c r="D23" s="56" t="str">
        <f aca="false">IF(ISNUMBER(B23),IF(K23&lt;&gt;"",K23,"Manual override"),IF(ISNUMBER(E23),"Gautam stmt – 23.10 + trades",IF(ISNUMBER(F23),"DA stmt – 23.10",IF(ISNUMBER(G23),"Manish Shilpa stmt – 23.10 + trades 29.10",IF(ISNUMBER(H23),"Saloni stmt – 20.10 (stale)",IF(ISNUMBER(I23),"Vidushi stmt – LTP 05.10",IF(ISNUMBER(J23),"Umesh stmt – NSE live 09.10","No price on any statement")))))))</f>
        <v>Close 29.10.2026 live (~11:20 IST) (Screener.in)</v>
      </c>
      <c r="E23" s="57"/>
      <c r="F23" s="57"/>
      <c r="G23" s="57" t="n">
        <v>726.285714285714</v>
      </c>
      <c r="H23" s="57"/>
      <c r="I23" s="57"/>
      <c r="J23" s="57"/>
      <c r="K23" s="58" t="s">
        <v>182</v>
      </c>
      <c r="L23" s="57" t="n">
        <v>738.25</v>
      </c>
      <c r="M23" s="9" t="n">
        <f aca="false">IF(AND(ISNUMBER(B23),ISNUMBER(L23),N(L23)&gt;0),B23/L23-1,"")</f>
        <v>0.00277683711479848</v>
      </c>
    </row>
    <row r="24" customFormat="false" ht="15" hidden="false" customHeight="false" outlineLevel="0" collapsed="false">
      <c r="A24" s="5" t="s">
        <v>89</v>
      </c>
      <c r="B24" s="54" t="n">
        <v>240</v>
      </c>
      <c r="C24" s="55" t="n">
        <f aca="false">IF(ISNUMBER(B24),B24,IF(ISNUMBER(E24),E24,IF(ISNUMBER(F24),F24,IF(ISNUMBER(G24),G24,IF(ISNUMBER(H24),H24,IF(ISNUMBER(I24),I24,IF(ISNUMBER(J24),J24,"")))))))</f>
        <v>240</v>
      </c>
      <c r="D24" s="56" t="str">
        <f aca="false">IF(ISNUMBER(B24),IF(K24&lt;&gt;"",K24,"Manual override"),IF(ISNUMBER(E24),"Gautam stmt – 23.10 + trades",IF(ISNUMBER(F24),"DA stmt – 23.10",IF(ISNUMBER(G24),"Manish Shilpa stmt – 23.10 + trades 29.10",IF(ISNUMBER(H24),"Saloni stmt – 20.10 (stale)",IF(ISNUMBER(I24),"Vidushi stmt – LTP 05.10",IF(ISNUMBER(J24),"Umesh stmt – NSE live 09.10","No price on any statement")))))))</f>
        <v>Close 29.10.2026 live (~11:20 IST) (Screener.in)</v>
      </c>
      <c r="E24" s="57" t="n">
        <v>240</v>
      </c>
      <c r="F24" s="57" t="n">
        <v>218.45</v>
      </c>
      <c r="G24" s="57" t="n">
        <v>219</v>
      </c>
      <c r="H24" s="57" t="n">
        <v>248</v>
      </c>
      <c r="I24" s="57"/>
      <c r="J24" s="57" t="n">
        <v>245</v>
      </c>
      <c r="K24" s="58" t="s">
        <v>182</v>
      </c>
      <c r="L24" s="57" t="n">
        <v>236.9</v>
      </c>
      <c r="M24" s="9" t="n">
        <f aca="false">IF(AND(ISNUMBER(B24),ISNUMBER(L24),N(L24)&gt;0),B24/L24-1,"")</f>
        <v>0.0130856901646264</v>
      </c>
    </row>
    <row r="25" customFormat="false" ht="15" hidden="false" customHeight="false" outlineLevel="0" collapsed="false">
      <c r="A25" s="5" t="s">
        <v>165</v>
      </c>
      <c r="B25" s="54" t="n">
        <v>421.2</v>
      </c>
      <c r="C25" s="55" t="n">
        <f aca="false">IF(ISNUMBER(B25),B25,IF(ISNUMBER(E25),E25,IF(ISNUMBER(F25),F25,IF(ISNUMBER(G25),G25,IF(ISNUMBER(H25),H25,IF(ISNUMBER(I25),I25,IF(ISNUMBER(J25),J25,"")))))))</f>
        <v>421.2</v>
      </c>
      <c r="D25" s="56" t="str">
        <f aca="false">IF(ISNUMBER(B25),IF(K25&lt;&gt;"",K25,"Manual override"),IF(ISNUMBER(E25),"Gautam stmt – 23.10 + trades",IF(ISNUMBER(F25),"DA stmt – 23.10",IF(ISNUMBER(G25),"Manish Shilpa stmt – 23.10 + trades 29.10",IF(ISNUMBER(H25),"Saloni stmt – 20.10 (stale)",IF(ISNUMBER(I25),"Vidushi stmt – LTP 05.10",IF(ISNUMBER(J25),"Umesh stmt – NSE live 09.10","No price on any statement")))))))</f>
        <v>Close 29.10.2026 live (~11:20 IST) (Screener.in)</v>
      </c>
      <c r="E25" s="57"/>
      <c r="F25" s="57" t="n">
        <v>410</v>
      </c>
      <c r="G25" s="57"/>
      <c r="H25" s="57"/>
      <c r="I25" s="57"/>
      <c r="J25" s="57"/>
      <c r="K25" s="58" t="s">
        <v>182</v>
      </c>
      <c r="L25" s="57" t="n">
        <v>418</v>
      </c>
      <c r="M25" s="9" t="n">
        <f aca="false">IF(AND(ISNUMBER(B25),ISNUMBER(L25),N(L25)&gt;0),B25/L25-1,"")</f>
        <v>0.00765550239234436</v>
      </c>
    </row>
    <row r="26" customFormat="false" ht="15" hidden="false" customHeight="false" outlineLevel="0" collapsed="false">
      <c r="A26" s="5" t="s">
        <v>148</v>
      </c>
      <c r="B26" s="54" t="n">
        <v>1160</v>
      </c>
      <c r="C26" s="55" t="n">
        <f aca="false">IF(ISNUMBER(B26),B26,IF(ISNUMBER(E26),E26,IF(ISNUMBER(F26),F26,IF(ISNUMBER(G26),G26,IF(ISNUMBER(H26),H26,IF(ISNUMBER(I26),I26,IF(ISNUMBER(J26),J26,"")))))))</f>
        <v>1160</v>
      </c>
      <c r="D26" s="56" t="str">
        <f aca="false">IF(ISNUMBER(B26),IF(K26&lt;&gt;"",K26,"Manual override"),IF(ISNUMBER(E26),"Gautam stmt – 23.10 + trades",IF(ISNUMBER(F26),"DA stmt – 23.10",IF(ISNUMBER(G26),"Manish Shilpa stmt – 23.10 + trades 29.10",IF(ISNUMBER(H26),"Saloni stmt – 20.10 (stale)",IF(ISNUMBER(I26),"Vidushi stmt – LTP 05.10",IF(ISNUMBER(J26),"Umesh stmt – NSE live 09.10","No price on any statement")))))))</f>
        <v>Close 29.10.2026 live (~11:20 IST) (Screener.in)</v>
      </c>
      <c r="E26" s="57"/>
      <c r="F26" s="57" t="n">
        <v>1233</v>
      </c>
      <c r="G26" s="57"/>
      <c r="H26" s="57"/>
      <c r="I26" s="57"/>
      <c r="J26" s="57"/>
      <c r="K26" s="58" t="s">
        <v>182</v>
      </c>
      <c r="L26" s="57" t="n">
        <v>1156.7</v>
      </c>
      <c r="M26" s="9" t="n">
        <f aca="false">IF(AND(ISNUMBER(B26),ISNUMBER(L26),N(L26)&gt;0),B26/L26-1,"")</f>
        <v>0.00285294371920108</v>
      </c>
    </row>
    <row r="27" customFormat="false" ht="15" hidden="false" customHeight="false" outlineLevel="0" collapsed="false">
      <c r="A27" s="5" t="s">
        <v>161</v>
      </c>
      <c r="B27" s="54" t="n">
        <v>1489.8</v>
      </c>
      <c r="C27" s="55" t="n">
        <f aca="false">IF(ISNUMBER(B27),B27,IF(ISNUMBER(E27),E27,IF(ISNUMBER(F27),F27,IF(ISNUMBER(G27),G27,IF(ISNUMBER(H27),H27,IF(ISNUMBER(I27),I27,IF(ISNUMBER(J27),J27,"")))))))</f>
        <v>1489.8</v>
      </c>
      <c r="D27" s="56" t="str">
        <f aca="false">IF(ISNUMBER(B27),IF(K27&lt;&gt;"",K27,"Manual override"),IF(ISNUMBER(E27),"Gautam stmt – 23.10 + trades",IF(ISNUMBER(F27),"DA stmt – 23.10",IF(ISNUMBER(G27),"Manish Shilpa stmt – 23.10 + trades 29.10",IF(ISNUMBER(H27),"Saloni stmt – 20.10 (stale)",IF(ISNUMBER(I27),"Vidushi stmt – LTP 05.10",IF(ISNUMBER(J27),"Umesh stmt – NSE live 09.10","No price on any statement")))))))</f>
        <v>Close 29.10.2026 live (~11:20 IST) (Screener.in)</v>
      </c>
      <c r="E27" s="57"/>
      <c r="F27" s="57"/>
      <c r="G27" s="57" t="n">
        <v>1427</v>
      </c>
      <c r="H27" s="57"/>
      <c r="I27" s="57"/>
      <c r="J27" s="57"/>
      <c r="K27" s="58" t="s">
        <v>182</v>
      </c>
      <c r="L27" s="57" t="n">
        <v>1488.4</v>
      </c>
      <c r="M27" s="9" t="n">
        <f aca="false">IF(AND(ISNUMBER(B27),ISNUMBER(L27),N(L27)&gt;0),B27/L27-1,"")</f>
        <v>0.00094060736361179</v>
      </c>
    </row>
    <row r="28" customFormat="false" ht="15" hidden="false" customHeight="false" outlineLevel="0" collapsed="false">
      <c r="A28" s="5" t="s">
        <v>108</v>
      </c>
      <c r="B28" s="54" t="n">
        <v>1906.1</v>
      </c>
      <c r="C28" s="55" t="n">
        <f aca="false">IF(ISNUMBER(B28),B28,IF(ISNUMBER(E28),E28,IF(ISNUMBER(F28),F28,IF(ISNUMBER(G28),G28,IF(ISNUMBER(H28),H28,IF(ISNUMBER(I28),I28,IF(ISNUMBER(J28),J28,"")))))))</f>
        <v>1906.1</v>
      </c>
      <c r="D28" s="56" t="str">
        <f aca="false">IF(ISNUMBER(B28),IF(K28&lt;&gt;"",K28,"Manual override"),IF(ISNUMBER(E28),"Gautam stmt – 23.10 + trades",IF(ISNUMBER(F28),"DA stmt – 23.10",IF(ISNUMBER(G28),"Manish Shilpa stmt – 23.10 + trades 29.10",IF(ISNUMBER(H28),"Saloni stmt – 20.10 (stale)",IF(ISNUMBER(I28),"Vidushi stmt – LTP 05.10",IF(ISNUMBER(J28),"Umesh stmt – NSE live 09.10","No price on any statement")))))))</f>
        <v>Close 29.10.2026 live (~11:20 IST) (Screener.in)</v>
      </c>
      <c r="E28" s="57"/>
      <c r="F28" s="57"/>
      <c r="G28" s="57" t="n">
        <v>1825.29545454546</v>
      </c>
      <c r="H28" s="57"/>
      <c r="I28" s="57"/>
      <c r="J28" s="57"/>
      <c r="K28" s="58" t="s">
        <v>182</v>
      </c>
      <c r="L28" s="57" t="n">
        <v>1922.3</v>
      </c>
      <c r="M28" s="9" t="n">
        <f aca="false">IF(AND(ISNUMBER(B28),ISNUMBER(L28),N(L28)&gt;0),B28/L28-1,"")</f>
        <v>-0.00842740467148728</v>
      </c>
    </row>
    <row r="29" customFormat="false" ht="15" hidden="false" customHeight="false" outlineLevel="0" collapsed="false">
      <c r="A29" s="5" t="s">
        <v>95</v>
      </c>
      <c r="B29" s="54" t="n">
        <v>7244</v>
      </c>
      <c r="C29" s="55" t="n">
        <f aca="false">IF(ISNUMBER(B29),B29,IF(ISNUMBER(E29),E29,IF(ISNUMBER(F29),F29,IF(ISNUMBER(G29),G29,IF(ISNUMBER(H29),H29,IF(ISNUMBER(I29),I29,IF(ISNUMBER(J29),J29,"")))))))</f>
        <v>7244</v>
      </c>
      <c r="D29" s="56" t="str">
        <f aca="false">IF(ISNUMBER(B29),IF(K29&lt;&gt;"",K29,"Manual override"),IF(ISNUMBER(E29),"Gautam stmt – 23.10 + trades",IF(ISNUMBER(F29),"DA stmt – 23.10",IF(ISNUMBER(G29),"Manish Shilpa stmt – 23.10 + trades 29.10",IF(ISNUMBER(H29),"Saloni stmt – 20.10 (stale)",IF(ISNUMBER(I29),"Vidushi stmt – LTP 05.10",IF(ISNUMBER(J29),"Umesh stmt – NSE live 09.10","No price on any statement")))))))</f>
        <v>Close 29.10.2026 live (~11:20 IST) (Screener.in)</v>
      </c>
      <c r="E29" s="57"/>
      <c r="F29" s="57" t="n">
        <v>7066</v>
      </c>
      <c r="G29" s="57" t="n">
        <v>6960</v>
      </c>
      <c r="H29" s="57"/>
      <c r="I29" s="57"/>
      <c r="J29" s="57" t="n">
        <v>6935</v>
      </c>
      <c r="K29" s="58" t="s">
        <v>182</v>
      </c>
      <c r="L29" s="57" t="n">
        <v>7300</v>
      </c>
      <c r="M29" s="9" t="n">
        <f aca="false">IF(AND(ISNUMBER(B29),ISNUMBER(L29),N(L29)&gt;0),B29/L29-1,"")</f>
        <v>-0.00767123287671234</v>
      </c>
    </row>
    <row r="30" customFormat="false" ht="15" hidden="false" customHeight="false" outlineLevel="0" collapsed="false">
      <c r="A30" s="5" t="s">
        <v>147</v>
      </c>
      <c r="B30" s="54" t="n">
        <v>331</v>
      </c>
      <c r="C30" s="55" t="n">
        <f aca="false">IF(ISNUMBER(B30),B30,IF(ISNUMBER(E30),E30,IF(ISNUMBER(F30),F30,IF(ISNUMBER(G30),G30,IF(ISNUMBER(H30),H30,IF(ISNUMBER(I30),I30,IF(ISNUMBER(J30),J30,"")))))))</f>
        <v>331</v>
      </c>
      <c r="D30" s="56" t="str">
        <f aca="false">IF(ISNUMBER(B30),IF(K30&lt;&gt;"",K30,"Manual override"),IF(ISNUMBER(E30),"Gautam stmt – 23.10 + trades",IF(ISNUMBER(F30),"DA stmt – 23.10",IF(ISNUMBER(G30),"Manish Shilpa stmt – 23.10 + trades 29.10",IF(ISNUMBER(H30),"Saloni stmt – 20.10 (stale)",IF(ISNUMBER(I30),"Vidushi stmt – LTP 05.10",IF(ISNUMBER(J30),"Umesh stmt – NSE live 09.10","No price on any statement")))))))</f>
        <v>Close 29.10.2026 live (~11:20 IST) (Screener.in)</v>
      </c>
      <c r="E30" s="57"/>
      <c r="F30" s="57"/>
      <c r="G30" s="57" t="n">
        <v>306.205882352941</v>
      </c>
      <c r="H30" s="57"/>
      <c r="I30" s="57"/>
      <c r="J30" s="57"/>
      <c r="K30" s="58" t="s">
        <v>182</v>
      </c>
      <c r="L30" s="57" t="n">
        <v>326</v>
      </c>
      <c r="M30" s="9" t="n">
        <f aca="false">IF(AND(ISNUMBER(B30),ISNUMBER(L30),N(L30)&gt;0),B30/L30-1,"")</f>
        <v>0.0153374233128833</v>
      </c>
    </row>
    <row r="31" customFormat="false" ht="15" hidden="false" customHeight="false" outlineLevel="0" collapsed="false">
      <c r="A31" s="5" t="s">
        <v>146</v>
      </c>
      <c r="B31" s="54" t="n">
        <v>322.2</v>
      </c>
      <c r="C31" s="55" t="n">
        <f aca="false">IF(ISNUMBER(B31),B31,IF(ISNUMBER(E31),E31,IF(ISNUMBER(F31),F31,IF(ISNUMBER(G31),G31,IF(ISNUMBER(H31),H31,IF(ISNUMBER(I31),I31,IF(ISNUMBER(J31),J31,"")))))))</f>
        <v>322.2</v>
      </c>
      <c r="D31" s="56" t="str">
        <f aca="false">IF(ISNUMBER(B31),IF(K31&lt;&gt;"",K31,"Manual override"),IF(ISNUMBER(E31),"Gautam stmt – 23.10 + trades",IF(ISNUMBER(F31),"DA stmt – 23.10",IF(ISNUMBER(G31),"Manish Shilpa stmt – 23.10 + trades 29.10",IF(ISNUMBER(H31),"Saloni stmt – 20.10 (stale)",IF(ISNUMBER(I31),"Vidushi stmt – LTP 05.10",IF(ISNUMBER(J31),"Umesh stmt – NSE live 09.10","No price on any statement")))))))</f>
        <v>Close 29.10.2026 live (~11:20 IST) (Screener.in)</v>
      </c>
      <c r="E31" s="57"/>
      <c r="F31" s="57"/>
      <c r="G31" s="57" t="n">
        <v>307.057142857143</v>
      </c>
      <c r="H31" s="57"/>
      <c r="I31" s="57"/>
      <c r="J31" s="57"/>
      <c r="K31" s="58" t="s">
        <v>182</v>
      </c>
      <c r="L31" s="57" t="n">
        <v>320.65</v>
      </c>
      <c r="M31" s="9" t="n">
        <f aca="false">IF(AND(ISNUMBER(B31),ISNUMBER(L31),N(L31)&gt;0),B31/L31-1,"")</f>
        <v>0.00483393107749897</v>
      </c>
    </row>
    <row r="32" customFormat="false" ht="15" hidden="false" customHeight="false" outlineLevel="0" collapsed="false">
      <c r="A32" s="5" t="s">
        <v>92</v>
      </c>
      <c r="B32" s="54" t="n">
        <v>51.15</v>
      </c>
      <c r="C32" s="55" t="n">
        <f aca="false">IF(ISNUMBER(B32),B32,IF(ISNUMBER(E32),E32,IF(ISNUMBER(F32),F32,IF(ISNUMBER(G32),G32,IF(ISNUMBER(H32),H32,IF(ISNUMBER(I32),I32,IF(ISNUMBER(J32),J32,"")))))))</f>
        <v>51.15</v>
      </c>
      <c r="D32" s="56" t="str">
        <f aca="false">IF(ISNUMBER(B32),IF(K32&lt;&gt;"",K32,"Manual override"),IF(ISNUMBER(E32),"Gautam stmt – 23.10 + trades",IF(ISNUMBER(F32),"DA stmt – 23.10",IF(ISNUMBER(G32),"Manish Shilpa stmt – 23.10 + trades 29.10",IF(ISNUMBER(H32),"Saloni stmt – 20.10 (stale)",IF(ISNUMBER(I32),"Vidushi stmt – LTP 05.10",IF(ISNUMBER(J32),"Umesh stmt – NSE live 09.10","No price on any statement")))))))</f>
        <v>Close 29.10.2026 live (~11:20 IST) (Screener.in)</v>
      </c>
      <c r="E32" s="57"/>
      <c r="F32" s="57" t="n">
        <v>49.120197044335</v>
      </c>
      <c r="G32" s="57" t="n">
        <v>47.93</v>
      </c>
      <c r="H32" s="57"/>
      <c r="I32" s="57" t="n">
        <v>54.22</v>
      </c>
      <c r="J32" s="57" t="n">
        <v>56.3299578059072</v>
      </c>
      <c r="K32" s="58" t="s">
        <v>182</v>
      </c>
      <c r="L32" s="57" t="n">
        <v>50.01</v>
      </c>
      <c r="M32" s="9" t="n">
        <f aca="false">IF(AND(ISNUMBER(B32),ISNUMBER(L32),N(L32)&gt;0),B32/L32-1,"")</f>
        <v>0.0227954409118176</v>
      </c>
    </row>
    <row r="33" customFormat="false" ht="15" hidden="false" customHeight="false" outlineLevel="0" collapsed="false">
      <c r="A33" s="5" t="s">
        <v>158</v>
      </c>
      <c r="B33" s="54" t="n">
        <v>744.1</v>
      </c>
      <c r="C33" s="55" t="n">
        <f aca="false">IF(ISNUMBER(B33),B33,IF(ISNUMBER(E33),E33,IF(ISNUMBER(F33),F33,IF(ISNUMBER(G33),G33,IF(ISNUMBER(H33),H33,IF(ISNUMBER(I33),I33,IF(ISNUMBER(J33),J33,"")))))))</f>
        <v>744.1</v>
      </c>
      <c r="D33" s="56" t="str">
        <f aca="false">IF(ISNUMBER(B33),IF(K33&lt;&gt;"",K33,"Manual override"),IF(ISNUMBER(E33),"Gautam stmt – 23.10 + trades",IF(ISNUMBER(F33),"DA stmt – 23.10",IF(ISNUMBER(G33),"Manish Shilpa stmt – 23.10 + trades 29.10",IF(ISNUMBER(H33),"Saloni stmt – 20.10 (stale)",IF(ISNUMBER(I33),"Vidushi stmt – LTP 05.10",IF(ISNUMBER(J33),"Umesh stmt – NSE live 09.10","No price on any statement")))))))</f>
        <v>Close 29.10.2026 live (~11:20 IST) (Screener.in)</v>
      </c>
      <c r="E33" s="57"/>
      <c r="F33" s="57"/>
      <c r="G33" s="57" t="n">
        <v>721.2</v>
      </c>
      <c r="H33" s="57"/>
      <c r="I33" s="57"/>
      <c r="J33" s="57"/>
      <c r="K33" s="58" t="s">
        <v>182</v>
      </c>
      <c r="L33" s="57" t="n">
        <v>751.7</v>
      </c>
      <c r="M33" s="9" t="n">
        <f aca="false">IF(AND(ISNUMBER(B33),ISNUMBER(L33),N(L33)&gt;0),B33/L33-1,"")</f>
        <v>-0.0101104163895172</v>
      </c>
    </row>
    <row r="34" customFormat="false" ht="15" hidden="false" customHeight="false" outlineLevel="0" collapsed="false">
      <c r="A34" s="5" t="s">
        <v>123</v>
      </c>
      <c r="B34" s="54" t="n">
        <v>827</v>
      </c>
      <c r="C34" s="55" t="n">
        <f aca="false">IF(ISNUMBER(B34),B34,IF(ISNUMBER(E34),E34,IF(ISNUMBER(F34),F34,IF(ISNUMBER(G34),G34,IF(ISNUMBER(H34),H34,IF(ISNUMBER(I34),I34,IF(ISNUMBER(J34),J34,"")))))))</f>
        <v>827</v>
      </c>
      <c r="D34" s="56" t="str">
        <f aca="false">IF(ISNUMBER(B34),IF(K34&lt;&gt;"",K34,"Manual override"),IF(ISNUMBER(E34),"Gautam stmt – 23.10 + trades",IF(ISNUMBER(F34),"DA stmt – 23.10",IF(ISNUMBER(G34),"Manish Shilpa stmt – 23.10 + trades 29.10",IF(ISNUMBER(H34),"Saloni stmt – 20.10 (stale)",IF(ISNUMBER(I34),"Vidushi stmt – LTP 05.10",IF(ISNUMBER(J34),"Umesh stmt – NSE live 09.10","No price on any statement")))))))</f>
        <v>Close 29.10.2026 live (~11:20 IST) (Screener.in)</v>
      </c>
      <c r="E34" s="57"/>
      <c r="F34" s="57" t="n">
        <v>856.35</v>
      </c>
      <c r="G34" s="57"/>
      <c r="H34" s="57"/>
      <c r="I34" s="57"/>
      <c r="J34" s="57"/>
      <c r="K34" s="58" t="s">
        <v>182</v>
      </c>
      <c r="L34" s="57" t="n">
        <v>822</v>
      </c>
      <c r="M34" s="9" t="n">
        <f aca="false">IF(AND(ISNUMBER(B34),ISNUMBER(L34),N(L34)&gt;0),B34/L34-1,"")</f>
        <v>0.0060827250608273</v>
      </c>
    </row>
    <row r="35" customFormat="false" ht="15" hidden="false" customHeight="false" outlineLevel="0" collapsed="false">
      <c r="A35" s="5" t="s">
        <v>120</v>
      </c>
      <c r="B35" s="54" t="n">
        <v>1620.2</v>
      </c>
      <c r="C35" s="55" t="n">
        <f aca="false">IF(ISNUMBER(B35),B35,IF(ISNUMBER(E35),E35,IF(ISNUMBER(F35),F35,IF(ISNUMBER(G35),G35,IF(ISNUMBER(H35),H35,IF(ISNUMBER(I35),I35,IF(ISNUMBER(J35),J35,"")))))))</f>
        <v>1620.2</v>
      </c>
      <c r="D35" s="56" t="str">
        <f aca="false">IF(ISNUMBER(B35),IF(K35&lt;&gt;"",K35,"Manual override"),IF(ISNUMBER(E35),"Gautam stmt – 23.10 + trades",IF(ISNUMBER(F35),"DA stmt – 23.10",IF(ISNUMBER(G35),"Manish Shilpa stmt – 23.10 + trades 29.10",IF(ISNUMBER(H35),"Saloni stmt – 20.10 (stale)",IF(ISNUMBER(I35),"Vidushi stmt – LTP 05.10",IF(ISNUMBER(J35),"Umesh stmt – NSE live 09.10","No price on any statement")))))))</f>
        <v>Close 29.10.2026 live (~11:20 IST) (Screener.in)</v>
      </c>
      <c r="E35" s="57"/>
      <c r="F35" s="57" t="n">
        <v>1496.6</v>
      </c>
      <c r="G35" s="57"/>
      <c r="H35" s="57"/>
      <c r="I35" s="57"/>
      <c r="J35" s="57"/>
      <c r="K35" s="58" t="s">
        <v>182</v>
      </c>
      <c r="L35" s="57" t="n">
        <v>1559.9</v>
      </c>
      <c r="M35" s="9" t="n">
        <f aca="false">IF(AND(ISNUMBER(B35),ISNUMBER(L35),N(L35)&gt;0),B35/L35-1,"")</f>
        <v>0.0386563241233413</v>
      </c>
    </row>
    <row r="36" customFormat="false" ht="15" hidden="false" customHeight="false" outlineLevel="0" collapsed="false">
      <c r="A36" s="5" t="s">
        <v>156</v>
      </c>
      <c r="B36" s="54" t="n">
        <v>119.18</v>
      </c>
      <c r="C36" s="55" t="n">
        <f aca="false">IF(ISNUMBER(B36),B36,IF(ISNUMBER(E36),E36,IF(ISNUMBER(F36),F36,IF(ISNUMBER(G36),G36,IF(ISNUMBER(H36),H36,IF(ISNUMBER(I36),I36,IF(ISNUMBER(J36),J36,"")))))))</f>
        <v>119.18</v>
      </c>
      <c r="D36" s="56" t="str">
        <f aca="false">IF(ISNUMBER(B36),IF(K36&lt;&gt;"",K36,"Manual override"),IF(ISNUMBER(E36),"Gautam stmt – 23.10 + trades",IF(ISNUMBER(F36),"DA stmt – 23.10",IF(ISNUMBER(G36),"Manish Shilpa stmt – 23.10 + trades 29.10",IF(ISNUMBER(H36),"Saloni stmt – 20.10 (stale)",IF(ISNUMBER(I36),"Vidushi stmt – LTP 05.10",IF(ISNUMBER(J36),"Umesh stmt – NSE live 09.10","No price on any statement")))))))</f>
        <v>Close 29.10.2026 live (~11:20 IST) (Screener.in)</v>
      </c>
      <c r="E36" s="57"/>
      <c r="F36" s="57" t="n">
        <v>114.333333333333</v>
      </c>
      <c r="G36" s="57"/>
      <c r="H36" s="57"/>
      <c r="I36" s="57"/>
      <c r="J36" s="57"/>
      <c r="K36" s="58" t="s">
        <v>182</v>
      </c>
      <c r="L36" s="57" t="n">
        <v>117.64</v>
      </c>
      <c r="M36" s="9" t="n">
        <f aca="false">IF(AND(ISNUMBER(B36),ISNUMBER(L36),N(L36)&gt;0),B36/L36-1,"")</f>
        <v>0.0130907854471269</v>
      </c>
    </row>
    <row r="37" customFormat="false" ht="15" hidden="false" customHeight="false" outlineLevel="0" collapsed="false">
      <c r="A37" s="5" t="s">
        <v>126</v>
      </c>
      <c r="B37" s="54" t="n">
        <v>212.75</v>
      </c>
      <c r="C37" s="55" t="n">
        <f aca="false">IF(ISNUMBER(B37),B37,IF(ISNUMBER(E37),E37,IF(ISNUMBER(F37),F37,IF(ISNUMBER(G37),G37,IF(ISNUMBER(H37),H37,IF(ISNUMBER(I37),I37,IF(ISNUMBER(J37),J37,"")))))))</f>
        <v>212.75</v>
      </c>
      <c r="D37" s="56" t="str">
        <f aca="false">IF(ISNUMBER(B37),IF(K37&lt;&gt;"",K37,"Manual override"),IF(ISNUMBER(E37),"Gautam stmt – 23.10 + trades",IF(ISNUMBER(F37),"DA stmt – 23.10",IF(ISNUMBER(G37),"Manish Shilpa stmt – 23.10 + trades 29.10",IF(ISNUMBER(H37),"Saloni stmt – 20.10 (stale)",IF(ISNUMBER(I37),"Vidushi stmt – LTP 05.10",IF(ISNUMBER(J37),"Umesh stmt – NSE live 09.10","No price on any statement")))))))</f>
        <v>Close 29.10.2026 live (~11:20 IST) (Screener.in)</v>
      </c>
      <c r="E37" s="57"/>
      <c r="F37" s="57" t="n">
        <v>214.281818181818</v>
      </c>
      <c r="G37" s="57"/>
      <c r="H37" s="57"/>
      <c r="I37" s="57"/>
      <c r="J37" s="57"/>
      <c r="K37" s="58" t="s">
        <v>182</v>
      </c>
      <c r="L37" s="57" t="n">
        <v>212.2</v>
      </c>
      <c r="M37" s="9" t="n">
        <f aca="false">IF(AND(ISNUMBER(B37),ISNUMBER(L37),N(L37)&gt;0),B37/L37-1,"")</f>
        <v>0.00259189443920826</v>
      </c>
    </row>
    <row r="38" customFormat="false" ht="15" hidden="false" customHeight="false" outlineLevel="0" collapsed="false">
      <c r="A38" s="5" t="s">
        <v>109</v>
      </c>
      <c r="B38" s="54" t="n">
        <v>1409.3</v>
      </c>
      <c r="C38" s="55" t="n">
        <f aca="false">IF(ISNUMBER(B38),B38,IF(ISNUMBER(E38),E38,IF(ISNUMBER(F38),F38,IF(ISNUMBER(G38),G38,IF(ISNUMBER(H38),H38,IF(ISNUMBER(I38),I38,IF(ISNUMBER(J38),J38,"")))))))</f>
        <v>1409.3</v>
      </c>
      <c r="D38" s="56" t="str">
        <f aca="false">IF(ISNUMBER(B38),IF(K38&lt;&gt;"",K38,"Manual override"),IF(ISNUMBER(E38),"Gautam stmt – 23.10 + trades",IF(ISNUMBER(F38),"DA stmt – 23.10",IF(ISNUMBER(G38),"Manish Shilpa stmt – 23.10 + trades 29.10",IF(ISNUMBER(H38),"Saloni stmt – 20.10 (stale)",IF(ISNUMBER(I38),"Vidushi stmt – LTP 05.10",IF(ISNUMBER(J38),"Umesh stmt – NSE live 09.10","No price on any statement")))))))</f>
        <v>Close 29.10.2026 live (~11:20 IST) (Screener.in)</v>
      </c>
      <c r="E38" s="57"/>
      <c r="F38" s="57" t="n">
        <v>1422.2</v>
      </c>
      <c r="G38" s="57"/>
      <c r="H38" s="57"/>
      <c r="I38" s="57" t="n">
        <v>1201.66666666667</v>
      </c>
      <c r="J38" s="57"/>
      <c r="K38" s="58" t="s">
        <v>182</v>
      </c>
      <c r="L38" s="57" t="n">
        <v>1400.5</v>
      </c>
      <c r="M38" s="9" t="n">
        <f aca="false">IF(AND(ISNUMBER(B38),ISNUMBER(L38),N(L38)&gt;0),B38/L38-1,"")</f>
        <v>0.00628347018921804</v>
      </c>
    </row>
    <row r="39" customFormat="false" ht="15" hidden="false" customHeight="false" outlineLevel="0" collapsed="false">
      <c r="A39" s="5" t="s">
        <v>83</v>
      </c>
      <c r="B39" s="54" t="n">
        <v>684.6</v>
      </c>
      <c r="C39" s="55" t="n">
        <f aca="false">IF(ISNUMBER(B39),B39,IF(ISNUMBER(E39),E39,IF(ISNUMBER(F39),F39,IF(ISNUMBER(G39),G39,IF(ISNUMBER(H39),H39,IF(ISNUMBER(I39),I39,IF(ISNUMBER(J39),J39,"")))))))</f>
        <v>684.6</v>
      </c>
      <c r="D39" s="56" t="str">
        <f aca="false">IF(ISNUMBER(B39),IF(K39&lt;&gt;"",K39,"Manual override"),IF(ISNUMBER(E39),"Gautam stmt – 23.10 + trades",IF(ISNUMBER(F39),"DA stmt – 23.10",IF(ISNUMBER(G39),"Manish Shilpa stmt – 23.10 + trades 29.10",IF(ISNUMBER(H39),"Saloni stmt – 20.10 (stale)",IF(ISNUMBER(I39),"Vidushi stmt – LTP 05.10",IF(ISNUMBER(J39),"Umesh stmt – NSE live 09.10","No price on any statement")))))))</f>
        <v>Close 29.10.2026 live (~11:20 IST) (Screener.in)</v>
      </c>
      <c r="E39" s="57"/>
      <c r="F39" s="57" t="n">
        <v>692.799472295515</v>
      </c>
      <c r="G39" s="57"/>
      <c r="H39" s="57"/>
      <c r="I39" s="57" t="n">
        <v>707.761904761905</v>
      </c>
      <c r="J39" s="57" t="n">
        <v>702.150074294205</v>
      </c>
      <c r="K39" s="58" t="s">
        <v>182</v>
      </c>
      <c r="L39" s="57" t="n">
        <v>685.3</v>
      </c>
      <c r="M39" s="9" t="n">
        <f aca="false">IF(AND(ISNUMBER(B39),ISNUMBER(L39),N(L39)&gt;0),B39/L39-1,"")</f>
        <v>-0.00102145045965263</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23.10 + trades 29.10",IF(ISNUMBER(H40),"Saloni stmt – 20.10 (stale)",IF(ISNUMBER(I40),"Vidushi stmt – LTP 05.10",IF(ISNUMBER(J40),"Umesh stmt – NSE live 09.10","No price on any statement")))))))</f>
        <v>DA stmt – 23.10</v>
      </c>
      <c r="E40" s="57"/>
      <c r="F40" s="57" t="n">
        <v>119.758503401361</v>
      </c>
      <c r="G40" s="57"/>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148.47</v>
      </c>
      <c r="C41" s="55" t="n">
        <f aca="false">IF(ISNUMBER(B41),B41,IF(ISNUMBER(E41),E41,IF(ISNUMBER(F41),F41,IF(ISNUMBER(G41),G41,IF(ISNUMBER(H41),H41,IF(ISNUMBER(I41),I41,IF(ISNUMBER(J41),J41,"")))))))</f>
        <v>148.47</v>
      </c>
      <c r="D41" s="56" t="str">
        <f aca="false">IF(ISNUMBER(B41),IF(K41&lt;&gt;"",K41,"Manual override"),IF(ISNUMBER(E41),"Gautam stmt – 23.10 + trades",IF(ISNUMBER(F41),"DA stmt – 23.10",IF(ISNUMBER(G41),"Manish Shilpa stmt – 23.10 + trades 29.10",IF(ISNUMBER(H41),"Saloni stmt – 20.10 (stale)",IF(ISNUMBER(I41),"Vidushi stmt – LTP 05.10",IF(ISNUMBER(J41),"Umesh stmt – NSE live 09.10","No price on any statement")))))))</f>
        <v>Close 29.10.2026 live (~11:20 IST) (Screener.in)</v>
      </c>
      <c r="E41" s="57"/>
      <c r="F41" s="57" t="n">
        <v>146.016129032258</v>
      </c>
      <c r="G41" s="57"/>
      <c r="H41" s="57"/>
      <c r="I41" s="57"/>
      <c r="J41" s="57"/>
      <c r="K41" s="58" t="s">
        <v>182</v>
      </c>
      <c r="L41" s="57" t="n">
        <v>146.82</v>
      </c>
      <c r="M41" s="9" t="n">
        <f aca="false">IF(AND(ISNUMBER(B41),ISNUMBER(L41),N(L41)&gt;0),B41/L41-1,"")</f>
        <v>0.0112382509194933</v>
      </c>
    </row>
    <row r="42" customFormat="false" ht="15" hidden="false" customHeight="false" outlineLevel="0" collapsed="false">
      <c r="A42" s="5" t="s">
        <v>97</v>
      </c>
      <c r="B42" s="54" t="n">
        <v>408.9</v>
      </c>
      <c r="C42" s="55" t="n">
        <f aca="false">IF(ISNUMBER(B42),B42,IF(ISNUMBER(E42),E42,IF(ISNUMBER(F42),F42,IF(ISNUMBER(G42),G42,IF(ISNUMBER(H42),H42,IF(ISNUMBER(I42),I42,IF(ISNUMBER(J42),J42,"")))))))</f>
        <v>408.9</v>
      </c>
      <c r="D42" s="56" t="str">
        <f aca="false">IF(ISNUMBER(B42),IF(K42&lt;&gt;"",K42,"Manual override"),IF(ISNUMBER(E42),"Gautam stmt – 23.10 + trades",IF(ISNUMBER(F42),"DA stmt – 23.10",IF(ISNUMBER(G42),"Manish Shilpa stmt – 23.10 + trades 29.10",IF(ISNUMBER(H42),"Saloni stmt – 20.10 (stale)",IF(ISNUMBER(I42),"Vidushi stmt – LTP 05.10",IF(ISNUMBER(J42),"Umesh stmt – NSE live 09.10","No price on any statement")))))))</f>
        <v>Close 29.10.2026 live (~11:20 IST) (Screener.in)</v>
      </c>
      <c r="E42" s="57"/>
      <c r="F42" s="57"/>
      <c r="G42" s="57"/>
      <c r="H42" s="57" t="n">
        <v>438</v>
      </c>
      <c r="I42" s="57"/>
      <c r="J42" s="57"/>
      <c r="K42" s="58" t="s">
        <v>182</v>
      </c>
      <c r="L42" s="57" t="n">
        <v>412</v>
      </c>
      <c r="M42" s="9" t="n">
        <f aca="false">IF(AND(ISNUMBER(B42),ISNUMBER(L42),N(L42)&gt;0),B42/L42-1,"")</f>
        <v>-0.0075242718446602</v>
      </c>
    </row>
    <row r="43" customFormat="false" ht="15" hidden="false" customHeight="false" outlineLevel="0" collapsed="false">
      <c r="A43" s="5" t="s">
        <v>137</v>
      </c>
      <c r="B43" s="54" t="n">
        <v>103.62</v>
      </c>
      <c r="C43" s="55" t="n">
        <f aca="false">IF(ISNUMBER(B43),B43,IF(ISNUMBER(E43),E43,IF(ISNUMBER(F43),F43,IF(ISNUMBER(G43),G43,IF(ISNUMBER(H43),H43,IF(ISNUMBER(I43),I43,IF(ISNUMBER(J43),J43,"")))))))</f>
        <v>103.62</v>
      </c>
      <c r="D43" s="56" t="str">
        <f aca="false">IF(ISNUMBER(B43),IF(K43&lt;&gt;"",K43,"Manual override"),IF(ISNUMBER(E43),"Gautam stmt – 23.10 + trades",IF(ISNUMBER(F43),"DA stmt – 23.10",IF(ISNUMBER(G43),"Manish Shilpa stmt – 23.10 + trades 29.10",IF(ISNUMBER(H43),"Saloni stmt – 20.10 (stale)",IF(ISNUMBER(I43),"Vidushi stmt – LTP 05.10",IF(ISNUMBER(J43),"Umesh stmt – NSE live 09.10","No price on any statement")))))))</f>
        <v>Close 29.10.2026 live (~11:20 IST) (Screener.in)</v>
      </c>
      <c r="E43" s="57"/>
      <c r="F43" s="57" t="n">
        <v>101.2</v>
      </c>
      <c r="G43" s="57" t="n">
        <v>100.75</v>
      </c>
      <c r="H43" s="57"/>
      <c r="I43" s="57"/>
      <c r="J43" s="57"/>
      <c r="K43" s="58" t="s">
        <v>182</v>
      </c>
      <c r="L43" s="57" t="n">
        <v>102.71</v>
      </c>
      <c r="M43" s="9" t="n">
        <f aca="false">IF(AND(ISNUMBER(B43),ISNUMBER(L43),N(L43)&gt;0),B43/L43-1,"")</f>
        <v>0.00885989679680654</v>
      </c>
    </row>
    <row r="44" customFormat="false" ht="15" hidden="false" customHeight="false" outlineLevel="0" collapsed="false">
      <c r="A44" s="5" t="s">
        <v>129</v>
      </c>
      <c r="B44" s="54" t="n">
        <v>75.11</v>
      </c>
      <c r="C44" s="55" t="n">
        <f aca="false">IF(ISNUMBER(B44),B44,IF(ISNUMBER(E44),E44,IF(ISNUMBER(F44),F44,IF(ISNUMBER(G44),G44,IF(ISNUMBER(H44),H44,IF(ISNUMBER(I44),I44,IF(ISNUMBER(J44),J44,"")))))))</f>
        <v>75.11</v>
      </c>
      <c r="D44" s="56" t="str">
        <f aca="false">IF(ISNUMBER(B44),IF(K44&lt;&gt;"",K44,"Manual override"),IF(ISNUMBER(E44),"Gautam stmt – 23.10 + trades",IF(ISNUMBER(F44),"DA stmt – 23.10",IF(ISNUMBER(G44),"Manish Shilpa stmt – 23.10 + trades 29.10",IF(ISNUMBER(H44),"Saloni stmt – 20.10 (stale)",IF(ISNUMBER(I44),"Vidushi stmt – LTP 05.10",IF(ISNUMBER(J44),"Umesh stmt – NSE live 09.10","No price on any statement")))))))</f>
        <v>Close 29.10.2026 live (~11:20 IST) (Screener.in)</v>
      </c>
      <c r="E44" s="57"/>
      <c r="F44" s="57" t="n">
        <v>74.4503311258278</v>
      </c>
      <c r="G44" s="57"/>
      <c r="H44" s="57"/>
      <c r="I44" s="57"/>
      <c r="J44" s="57"/>
      <c r="K44" s="58" t="s">
        <v>182</v>
      </c>
      <c r="L44" s="57" t="n">
        <v>74.63</v>
      </c>
      <c r="M44" s="9" t="n">
        <f aca="false">IF(AND(ISNUMBER(B44),ISNUMBER(L44),N(L44)&gt;0),B44/L44-1,"")</f>
        <v>0.00643172986734553</v>
      </c>
    </row>
    <row r="45" customFormat="false" ht="15" hidden="false" customHeight="false" outlineLevel="0" collapsed="false">
      <c r="A45" s="5" t="s">
        <v>127</v>
      </c>
      <c r="B45" s="54" t="n">
        <v>140.18</v>
      </c>
      <c r="C45" s="55" t="n">
        <f aca="false">IF(ISNUMBER(B45),B45,IF(ISNUMBER(E45),E45,IF(ISNUMBER(F45),F45,IF(ISNUMBER(G45),G45,IF(ISNUMBER(H45),H45,IF(ISNUMBER(I45),I45,IF(ISNUMBER(J45),J45,"")))))))</f>
        <v>140.18</v>
      </c>
      <c r="D45" s="56" t="str">
        <f aca="false">IF(ISNUMBER(B45),IF(K45&lt;&gt;"",K45,"Manual override"),IF(ISNUMBER(E45),"Gautam stmt – 23.10 + trades",IF(ISNUMBER(F45),"DA stmt – 23.10",IF(ISNUMBER(G45),"Manish Shilpa stmt – 23.10 + trades 29.10",IF(ISNUMBER(H45),"Saloni stmt – 20.10 (stale)",IF(ISNUMBER(I45),"Vidushi stmt – LTP 05.10",IF(ISNUMBER(J45),"Umesh stmt – NSE live 09.10","No price on any statement")))))))</f>
        <v>Close 29.10.2026 live (~11:20 IST) (Screener.in)</v>
      </c>
      <c r="E45" s="57"/>
      <c r="F45" s="57" t="n">
        <v>141.710843373494</v>
      </c>
      <c r="G45" s="57"/>
      <c r="H45" s="57"/>
      <c r="I45" s="57"/>
      <c r="J45" s="57"/>
      <c r="K45" s="58" t="s">
        <v>182</v>
      </c>
      <c r="L45" s="57" t="n">
        <v>140.66</v>
      </c>
      <c r="M45" s="9" t="n">
        <f aca="false">IF(AND(ISNUMBER(B45),ISNUMBER(L45),N(L45)&gt;0),B45/L45-1,"")</f>
        <v>-0.0034124840039812</v>
      </c>
    </row>
    <row r="46" customFormat="false" ht="15" hidden="false" customHeight="false" outlineLevel="0" collapsed="false">
      <c r="A46" s="5" t="s">
        <v>119</v>
      </c>
      <c r="B46" s="54" t="n">
        <v>378.95</v>
      </c>
      <c r="C46" s="55" t="n">
        <f aca="false">IF(ISNUMBER(B46),B46,IF(ISNUMBER(E46),E46,IF(ISNUMBER(F46),F46,IF(ISNUMBER(G46),G46,IF(ISNUMBER(H46),H46,IF(ISNUMBER(I46),I46,IF(ISNUMBER(J46),J46,"")))))))</f>
        <v>378.95</v>
      </c>
      <c r="D46" s="56" t="str">
        <f aca="false">IF(ISNUMBER(B46),IF(K46&lt;&gt;"",K46,"Manual override"),IF(ISNUMBER(E46),"Gautam stmt – 23.10 + trades",IF(ISNUMBER(F46),"DA stmt – 23.10",IF(ISNUMBER(G46),"Manish Shilpa stmt – 23.10 + trades 29.10",IF(ISNUMBER(H46),"Saloni stmt – 20.10 (stale)",IF(ISNUMBER(I46),"Vidushi stmt – LTP 05.10",IF(ISNUMBER(J46),"Umesh stmt – NSE live 09.10","No price on any statement")))))))</f>
        <v>Close 29.10.2026 live (~11:20 IST) (Screener.in)</v>
      </c>
      <c r="E46" s="57"/>
      <c r="F46" s="57" t="n">
        <v>380</v>
      </c>
      <c r="G46" s="57"/>
      <c r="H46" s="57"/>
      <c r="I46" s="57"/>
      <c r="J46" s="57"/>
      <c r="K46" s="58" t="s">
        <v>182</v>
      </c>
      <c r="L46" s="57" t="n">
        <v>373</v>
      </c>
      <c r="M46" s="9" t="n">
        <f aca="false">IF(AND(ISNUMBER(B46),ISNUMBER(L46),N(L46)&gt;0),B46/L46-1,"")</f>
        <v>0.0159517426273459</v>
      </c>
    </row>
    <row r="47" customFormat="false" ht="15" hidden="false" customHeight="false" outlineLevel="0" collapsed="false">
      <c r="A47" s="5" t="s">
        <v>112</v>
      </c>
      <c r="B47" s="54" t="n">
        <v>1132.2</v>
      </c>
      <c r="C47" s="55" t="n">
        <f aca="false">IF(ISNUMBER(B47),B47,IF(ISNUMBER(E47),E47,IF(ISNUMBER(F47),F47,IF(ISNUMBER(G47),G47,IF(ISNUMBER(H47),H47,IF(ISNUMBER(I47),I47,IF(ISNUMBER(J47),J47,"")))))))</f>
        <v>1132.2</v>
      </c>
      <c r="D47" s="56" t="str">
        <f aca="false">IF(ISNUMBER(B47),IF(K47&lt;&gt;"",K47,"Manual override"),IF(ISNUMBER(E47),"Gautam stmt – 23.10 + trades",IF(ISNUMBER(F47),"DA stmt – 23.10",IF(ISNUMBER(G47),"Manish Shilpa stmt – 23.10 + trades 29.10",IF(ISNUMBER(H47),"Saloni stmt – 20.10 (stale)",IF(ISNUMBER(I47),"Vidushi stmt – LTP 05.10",IF(ISNUMBER(J47),"Umesh stmt – NSE live 09.10","No price on any statement")))))))</f>
        <v>Close 29.10.2026 live (~11:20 IST) (Screener.in)</v>
      </c>
      <c r="E47" s="57"/>
      <c r="F47" s="57"/>
      <c r="G47" s="57" t="n">
        <v>1160</v>
      </c>
      <c r="H47" s="57"/>
      <c r="I47" s="57"/>
      <c r="J47" s="57"/>
      <c r="K47" s="58" t="s">
        <v>182</v>
      </c>
      <c r="L47" s="57" t="n">
        <v>1123.15</v>
      </c>
      <c r="M47" s="9" t="n">
        <f aca="false">IF(AND(ISNUMBER(B47),ISNUMBER(L47),N(L47)&gt;0),B47/L47-1,"")</f>
        <v>0.00805769487601826</v>
      </c>
    </row>
    <row r="48" customFormat="false" ht="15" hidden="false" customHeight="false" outlineLevel="0" collapsed="false">
      <c r="A48" s="5" t="s">
        <v>106</v>
      </c>
      <c r="B48" s="54" t="n">
        <v>4671.6</v>
      </c>
      <c r="C48" s="55" t="n">
        <f aca="false">IF(ISNUMBER(B48),B48,IF(ISNUMBER(E48),E48,IF(ISNUMBER(F48),F48,IF(ISNUMBER(G48),G48,IF(ISNUMBER(H48),H48,IF(ISNUMBER(I48),I48,IF(ISNUMBER(J48),J48,"")))))))</f>
        <v>4671.6</v>
      </c>
      <c r="D48" s="56" t="str">
        <f aca="false">IF(ISNUMBER(B48),IF(K48&lt;&gt;"",K48,"Manual override"),IF(ISNUMBER(E48),"Gautam stmt – 23.10 + trades",IF(ISNUMBER(F48),"DA stmt – 23.10",IF(ISNUMBER(G48),"Manish Shilpa stmt – 23.10 + trades 29.10",IF(ISNUMBER(H48),"Saloni stmt – 20.10 (stale)",IF(ISNUMBER(I48),"Vidushi stmt – LTP 05.10",IF(ISNUMBER(J48),"Umesh stmt – NSE live 09.10","No price on any statement")))))))</f>
        <v>Close 29.10.2026 live (~11:20 IST) (Screener.in)</v>
      </c>
      <c r="E48" s="57" t="n">
        <v>4608</v>
      </c>
      <c r="F48" s="57"/>
      <c r="G48" s="57"/>
      <c r="H48" s="57"/>
      <c r="I48" s="57"/>
      <c r="J48" s="57"/>
      <c r="K48" s="58" t="s">
        <v>182</v>
      </c>
      <c r="L48" s="57" t="n">
        <v>4690</v>
      </c>
      <c r="M48" s="9" t="n">
        <f aca="false">IF(AND(ISNUMBER(B48),ISNUMBER(L48),N(L48)&gt;0),B48/L48-1,"")</f>
        <v>-0.00392324093816621</v>
      </c>
    </row>
    <row r="49" customFormat="false" ht="15" hidden="false" customHeight="false" outlineLevel="0" collapsed="false">
      <c r="A49" s="5" t="s">
        <v>107</v>
      </c>
      <c r="B49" s="54" t="n">
        <v>206.43</v>
      </c>
      <c r="C49" s="55" t="n">
        <f aca="false">IF(ISNUMBER(B49),B49,IF(ISNUMBER(E49),E49,IF(ISNUMBER(F49),F49,IF(ISNUMBER(G49),G49,IF(ISNUMBER(H49),H49,IF(ISNUMBER(I49),I49,IF(ISNUMBER(J49),J49,"")))))))</f>
        <v>206.43</v>
      </c>
      <c r="D49" s="56" t="str">
        <f aca="false">IF(ISNUMBER(B49),IF(K49&lt;&gt;"",K49,"Manual override"),IF(ISNUMBER(E49),"Gautam stmt – 23.10 + trades",IF(ISNUMBER(F49),"DA stmt – 23.10",IF(ISNUMBER(G49),"Manish Shilpa stmt – 23.10 + trades 29.10",IF(ISNUMBER(H49),"Saloni stmt – 20.10 (stale)",IF(ISNUMBER(I49),"Vidushi stmt – LTP 05.10",IF(ISNUMBER(J49),"Umesh stmt – NSE live 09.10","No price on any statement")))))))</f>
        <v>Close 29.10.2026 live (~11:20 IST) (Screener.in)</v>
      </c>
      <c r="E49" s="57"/>
      <c r="F49" s="57" t="n">
        <v>205.028846153846</v>
      </c>
      <c r="G49" s="57" t="n">
        <v>204.875</v>
      </c>
      <c r="H49" s="57"/>
      <c r="I49" s="57"/>
      <c r="J49" s="57"/>
      <c r="K49" s="58" t="s">
        <v>182</v>
      </c>
      <c r="L49" s="57" t="n">
        <v>205.15</v>
      </c>
      <c r="M49" s="9" t="n">
        <f aca="false">IF(AND(ISNUMBER(B49),ISNUMBER(L49),N(L49)&gt;0),B49/L49-1,"")</f>
        <v>0.00623933707043634</v>
      </c>
    </row>
    <row r="50" customFormat="false" ht="15" hidden="false" customHeight="false" outlineLevel="0" collapsed="false">
      <c r="A50" s="5" t="s">
        <v>142</v>
      </c>
      <c r="B50" s="54" t="n">
        <v>306</v>
      </c>
      <c r="C50" s="55" t="n">
        <f aca="false">IF(ISNUMBER(B50),B50,IF(ISNUMBER(E50),E50,IF(ISNUMBER(F50),F50,IF(ISNUMBER(G50),G50,IF(ISNUMBER(H50),H50,IF(ISNUMBER(I50),I50,IF(ISNUMBER(J50),J50,"")))))))</f>
        <v>306</v>
      </c>
      <c r="D50" s="56" t="str">
        <f aca="false">IF(ISNUMBER(B50),IF(K50&lt;&gt;"",K50,"Manual override"),IF(ISNUMBER(E50),"Gautam stmt – 23.10 + trades",IF(ISNUMBER(F50),"DA stmt – 23.10",IF(ISNUMBER(G50),"Manish Shilpa stmt – 23.10 + trades 29.10",IF(ISNUMBER(H50),"Saloni stmt – 20.10 (stale)",IF(ISNUMBER(I50),"Vidushi stmt – LTP 05.10",IF(ISNUMBER(J50),"Umesh stmt – NSE live 09.10","No price on any statement")))))))</f>
        <v>Close 29.10.2026 live (~11:20 IST) (Screener.in)</v>
      </c>
      <c r="E50" s="57"/>
      <c r="F50" s="57" t="n">
        <v>309.145833333333</v>
      </c>
      <c r="G50" s="57"/>
      <c r="H50" s="57"/>
      <c r="I50" s="57"/>
      <c r="J50" s="57"/>
      <c r="K50" s="58" t="s">
        <v>182</v>
      </c>
      <c r="L50" s="57" t="n">
        <v>304.55</v>
      </c>
      <c r="M50" s="9" t="n">
        <f aca="false">IF(AND(ISNUMBER(B50),ISNUMBER(L50),N(L50)&gt;0),B50/L50-1,"")</f>
        <v>0.00476112296831377</v>
      </c>
    </row>
    <row r="51" customFormat="false" ht="15" hidden="false" customHeight="false" outlineLevel="0" collapsed="false">
      <c r="A51" s="5" t="s">
        <v>90</v>
      </c>
      <c r="B51" s="54" t="n">
        <v>421.45</v>
      </c>
      <c r="C51" s="55" t="n">
        <f aca="false">IF(ISNUMBER(B51),B51,IF(ISNUMBER(E51),E51,IF(ISNUMBER(F51),F51,IF(ISNUMBER(G51),G51,IF(ISNUMBER(H51),H51,IF(ISNUMBER(I51),I51,IF(ISNUMBER(J51),J51,"")))))))</f>
        <v>421.45</v>
      </c>
      <c r="D51" s="56" t="str">
        <f aca="false">IF(ISNUMBER(B51),IF(K51&lt;&gt;"",K51,"Manual override"),IF(ISNUMBER(E51),"Gautam stmt – 23.10 + trades",IF(ISNUMBER(F51),"DA stmt – 23.10",IF(ISNUMBER(G51),"Manish Shilpa stmt – 23.10 + trades 29.10",IF(ISNUMBER(H51),"Saloni stmt – 20.10 (stale)",IF(ISNUMBER(I51),"Vidushi stmt – LTP 05.10",IF(ISNUMBER(J51),"Umesh stmt – NSE live 09.10","No price on any statement")))))))</f>
        <v>Close 29.10.2026 live (~11:20 IST) (Screener.in)</v>
      </c>
      <c r="E51" s="57"/>
      <c r="F51" s="57"/>
      <c r="G51" s="57"/>
      <c r="H51" s="57" t="n">
        <v>413.5</v>
      </c>
      <c r="I51" s="57"/>
      <c r="J51" s="57"/>
      <c r="K51" s="58" t="s">
        <v>182</v>
      </c>
      <c r="L51" s="57" t="n">
        <v>424</v>
      </c>
      <c r="M51" s="9" t="n">
        <f aca="false">IF(AND(ISNUMBER(B51),ISNUMBER(L51),N(L51)&gt;0),B51/L51-1,"")</f>
        <v>-0.0060141509433963</v>
      </c>
    </row>
    <row r="52" customFormat="false" ht="15" hidden="false" customHeight="false" outlineLevel="0" collapsed="false">
      <c r="A52" s="5" t="s">
        <v>111</v>
      </c>
      <c r="B52" s="54" t="n">
        <v>453.35</v>
      </c>
      <c r="C52" s="55" t="n">
        <f aca="false">IF(ISNUMBER(B52),B52,IF(ISNUMBER(E52),E52,IF(ISNUMBER(F52),F52,IF(ISNUMBER(G52),G52,IF(ISNUMBER(H52),H52,IF(ISNUMBER(I52),I52,IF(ISNUMBER(J52),J52,"")))))))</f>
        <v>453.35</v>
      </c>
      <c r="D52" s="56" t="str">
        <f aca="false">IF(ISNUMBER(B52),IF(K52&lt;&gt;"",K52,"Manual override"),IF(ISNUMBER(E52),"Gautam stmt – 23.10 + trades",IF(ISNUMBER(F52),"DA stmt – 23.10",IF(ISNUMBER(G52),"Manish Shilpa stmt – 23.10 + trades 29.10",IF(ISNUMBER(H52),"Saloni stmt – 20.10 (stale)",IF(ISNUMBER(I52),"Vidushi stmt – LTP 05.10",IF(ISNUMBER(J52),"Umesh stmt – NSE live 09.10","No price on any statement")))))))</f>
        <v>Close 29.10.2026 live (~11:20 IST) (Screener.in)</v>
      </c>
      <c r="E52" s="57"/>
      <c r="F52" s="57"/>
      <c r="G52" s="57" t="n">
        <v>433.1125</v>
      </c>
      <c r="H52" s="57"/>
      <c r="I52" s="57"/>
      <c r="J52" s="57"/>
      <c r="K52" s="58" t="s">
        <v>182</v>
      </c>
      <c r="L52" s="57" t="n">
        <v>440</v>
      </c>
      <c r="M52" s="9" t="n">
        <f aca="false">IF(AND(ISNUMBER(B52),ISNUMBER(L52),N(L52)&gt;0),B52/L52-1,"")</f>
        <v>0.0303409090909093</v>
      </c>
    </row>
    <row r="53" customFormat="false" ht="15" hidden="false" customHeight="false" outlineLevel="0" collapsed="false">
      <c r="A53" s="5" t="s">
        <v>88</v>
      </c>
      <c r="B53" s="54" t="n">
        <v>4199</v>
      </c>
      <c r="C53" s="55" t="n">
        <f aca="false">IF(ISNUMBER(B53),B53,IF(ISNUMBER(E53),E53,IF(ISNUMBER(F53),F53,IF(ISNUMBER(G53),G53,IF(ISNUMBER(H53),H53,IF(ISNUMBER(I53),I53,IF(ISNUMBER(J53),J53,"")))))))</f>
        <v>4199</v>
      </c>
      <c r="D53" s="56" t="str">
        <f aca="false">IF(ISNUMBER(B53),IF(K53&lt;&gt;"",K53,"Manual override"),IF(ISNUMBER(E53),"Gautam stmt – 23.10 + trades",IF(ISNUMBER(F53),"DA stmt – 23.10",IF(ISNUMBER(G53),"Manish Shilpa stmt – 23.10 + trades 29.10",IF(ISNUMBER(H53),"Saloni stmt – 20.10 (stale)",IF(ISNUMBER(I53),"Vidushi stmt – LTP 05.10",IF(ISNUMBER(J53),"Umesh stmt – NSE live 09.10","No price on any statement")))))))</f>
        <v>Close 29.10.2026 live (~11:20 IST) (Screener.in)</v>
      </c>
      <c r="E53" s="57"/>
      <c r="F53" s="57" t="n">
        <v>3910.2962962963</v>
      </c>
      <c r="G53" s="57" t="n">
        <v>3924.83333333333</v>
      </c>
      <c r="H53" s="57"/>
      <c r="I53" s="57" t="n">
        <v>3219</v>
      </c>
      <c r="J53" s="57" t="n">
        <v>3202.5</v>
      </c>
      <c r="K53" s="58" t="s">
        <v>182</v>
      </c>
      <c r="L53" s="57" t="n">
        <v>4088.1</v>
      </c>
      <c r="M53" s="9" t="n">
        <f aca="false">IF(AND(ISNUMBER(B53),ISNUMBER(L53),N(L53)&gt;0),B53/L53-1,"")</f>
        <v>0.0271275164501847</v>
      </c>
    </row>
    <row r="54" customFormat="false" ht="15" hidden="false" customHeight="false" outlineLevel="0" collapsed="false">
      <c r="A54" s="5" t="s">
        <v>87</v>
      </c>
      <c r="B54" s="54" t="n">
        <v>4089.2</v>
      </c>
      <c r="C54" s="55" t="n">
        <f aca="false">IF(ISNUMBER(B54),B54,IF(ISNUMBER(E54),E54,IF(ISNUMBER(F54),F54,IF(ISNUMBER(G54),G54,IF(ISNUMBER(H54),H54,IF(ISNUMBER(I54),I54,IF(ISNUMBER(J54),J54,"")))))))</f>
        <v>4089.2</v>
      </c>
      <c r="D54" s="56" t="str">
        <f aca="false">IF(ISNUMBER(B54),IF(K54&lt;&gt;"",K54,"Manual override"),IF(ISNUMBER(E54),"Gautam stmt – 23.10 + trades",IF(ISNUMBER(F54),"DA stmt – 23.10",IF(ISNUMBER(G54),"Manish Shilpa stmt – 23.10 + trades 29.10",IF(ISNUMBER(H54),"Saloni stmt – 20.10 (stale)",IF(ISNUMBER(I54),"Vidushi stmt – LTP 05.10",IF(ISNUMBER(J54),"Umesh stmt – NSE live 09.10","No price on any statement")))))))</f>
        <v>Close 29.10.2026 live (~11:20 IST) (Screener.in)</v>
      </c>
      <c r="E54" s="57" t="n">
        <v>4274</v>
      </c>
      <c r="F54" s="57" t="n">
        <v>4134</v>
      </c>
      <c r="G54" s="57" t="n">
        <v>4194.18181818182</v>
      </c>
      <c r="H54" s="57" t="n">
        <v>4264.90361445783</v>
      </c>
      <c r="I54" s="57" t="n">
        <v>3986</v>
      </c>
      <c r="J54" s="57" t="n">
        <v>4036.89189189189</v>
      </c>
      <c r="K54" s="58" t="s">
        <v>182</v>
      </c>
      <c r="L54" s="57" t="n">
        <v>4104</v>
      </c>
      <c r="M54" s="9" t="n">
        <f aca="false">IF(AND(ISNUMBER(B54),ISNUMBER(L54),N(L54)&gt;0),B54/L54-1,"")</f>
        <v>-0.00360623781676417</v>
      </c>
    </row>
    <row r="55" customFormat="false" ht="15" hidden="false" customHeight="false" outlineLevel="0" collapsed="false">
      <c r="A55" s="5" t="s">
        <v>164</v>
      </c>
      <c r="B55" s="54" t="n">
        <v>94.14</v>
      </c>
      <c r="C55" s="55" t="n">
        <f aca="false">IF(ISNUMBER(B55),B55,IF(ISNUMBER(E55),E55,IF(ISNUMBER(F55),F55,IF(ISNUMBER(G55),G55,IF(ISNUMBER(H55),H55,IF(ISNUMBER(I55),I55,IF(ISNUMBER(J55),J55,"")))))))</f>
        <v>94.14</v>
      </c>
      <c r="D55" s="56" t="str">
        <f aca="false">IF(ISNUMBER(B55),IF(K55&lt;&gt;"",K55,"Manual override"),IF(ISNUMBER(E55),"Gautam stmt – 23.10 + trades",IF(ISNUMBER(F55),"DA stmt – 23.10",IF(ISNUMBER(G55),"Manish Shilpa stmt – 23.10 + trades 29.10",IF(ISNUMBER(H55),"Saloni stmt – 20.10 (stale)",IF(ISNUMBER(I55),"Vidushi stmt – LTP 05.10",IF(ISNUMBER(J55),"Umesh stmt – NSE live 09.10","No price on any statement")))))))</f>
        <v>Close 29.10.2026 live (~11:20 IST) (Screener.in)</v>
      </c>
      <c r="E55" s="57"/>
      <c r="F55" s="57" t="n">
        <v>84.3333333333333</v>
      </c>
      <c r="G55" s="57"/>
      <c r="H55" s="57"/>
      <c r="I55" s="57"/>
      <c r="J55" s="57"/>
      <c r="K55" s="58" t="s">
        <v>182</v>
      </c>
      <c r="L55" s="57" t="n">
        <v>90.44</v>
      </c>
      <c r="M55" s="9" t="n">
        <f aca="false">IF(AND(ISNUMBER(B55),ISNUMBER(L55),N(L55)&gt;0),B55/L55-1,"")</f>
        <v>0.0409111012826184</v>
      </c>
    </row>
    <row r="56" customFormat="false" ht="15" hidden="false" customHeight="false" outlineLevel="0" collapsed="false">
      <c r="A56" s="5" t="s">
        <v>117</v>
      </c>
      <c r="B56" s="54" t="n">
        <v>117.77</v>
      </c>
      <c r="C56" s="55" t="n">
        <f aca="false">IF(ISNUMBER(B56),B56,IF(ISNUMBER(E56),E56,IF(ISNUMBER(F56),F56,IF(ISNUMBER(G56),G56,IF(ISNUMBER(H56),H56,IF(ISNUMBER(I56),I56,IF(ISNUMBER(J56),J56,"")))))))</f>
        <v>117.77</v>
      </c>
      <c r="D56" s="56" t="str">
        <f aca="false">IF(ISNUMBER(B56),IF(K56&lt;&gt;"",K56,"Manual override"),IF(ISNUMBER(E56),"Gautam stmt – 23.10 + trades",IF(ISNUMBER(F56),"DA stmt – 23.10",IF(ISNUMBER(G56),"Manish Shilpa stmt – 23.10 + trades 29.10",IF(ISNUMBER(H56),"Saloni stmt – 20.10 (stale)",IF(ISNUMBER(I56),"Vidushi stmt – LTP 05.10",IF(ISNUMBER(J56),"Umesh stmt – NSE live 09.10","No price on any statement")))))))</f>
        <v>Close 29.10.2026 live (~11:20 IST) (Screener.in)</v>
      </c>
      <c r="E56" s="57"/>
      <c r="F56" s="57" t="n">
        <v>116.180288461539</v>
      </c>
      <c r="G56" s="57"/>
      <c r="H56" s="57"/>
      <c r="I56" s="57"/>
      <c r="J56" s="57"/>
      <c r="K56" s="58" t="s">
        <v>182</v>
      </c>
      <c r="L56" s="57" t="n">
        <v>116.62</v>
      </c>
      <c r="M56" s="9" t="n">
        <f aca="false">IF(AND(ISNUMBER(B56),ISNUMBER(L56),N(L56)&gt;0),B56/L56-1,"")</f>
        <v>0.0098610872920597</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23.10 + trades 29.10",IF(ISNUMBER(H57),"Saloni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1178.4</v>
      </c>
      <c r="C58" s="55" t="n">
        <f aca="false">IF(ISNUMBER(B58),B58,IF(ISNUMBER(E58),E58,IF(ISNUMBER(F58),F58,IF(ISNUMBER(G58),G58,IF(ISNUMBER(H58),H58,IF(ISNUMBER(I58),I58,IF(ISNUMBER(J58),J58,"")))))))</f>
        <v>1178.4</v>
      </c>
      <c r="D58" s="56" t="str">
        <f aca="false">IF(ISNUMBER(B58),IF(K58&lt;&gt;"",K58,"Manual override"),IF(ISNUMBER(E58),"Gautam stmt – 23.10 + trades",IF(ISNUMBER(F58),"DA stmt – 23.10",IF(ISNUMBER(G58),"Manish Shilpa stmt – 23.10 + trades 29.10",IF(ISNUMBER(H58),"Saloni stmt – 20.10 (stale)",IF(ISNUMBER(I58),"Vidushi stmt – LTP 05.10",IF(ISNUMBER(J58),"Umesh stmt – NSE live 09.10","No price on any statement")))))))</f>
        <v>Close 29.10.2026 live (~11:20 IST) (Screener.in)</v>
      </c>
      <c r="E58" s="57" t="n">
        <v>1190</v>
      </c>
      <c r="F58" s="57" t="n">
        <v>1175</v>
      </c>
      <c r="G58" s="57"/>
      <c r="H58" s="57"/>
      <c r="I58" s="57"/>
      <c r="J58" s="57" t="n">
        <v>1325</v>
      </c>
      <c r="K58" s="58" t="s">
        <v>182</v>
      </c>
      <c r="L58" s="57" t="n">
        <v>1168</v>
      </c>
      <c r="M58" s="9" t="n">
        <f aca="false">IF(AND(ISNUMBER(B58),ISNUMBER(L58),N(L58)&gt;0),B58/L58-1,"")</f>
        <v>0.0089041095890412</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23.10 + trades 29.10",IF(ISNUMBER(H59),"Saloni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23.10 + trades 29.10",IF(ISNUMBER(H60),"Saloni stmt – 20.10 (stale)",IF(ISNUMBER(I60),"Vidushi stmt – LTP 05.10",IF(ISNUMBER(J60),"Umesh stmt – NSE live 09.10","No price on any statement")))))))</f>
        <v>Manish Shilpa stmt – 23.10 + trades 29.10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23.10 + trades 29.10",IF(ISNUMBER(H61),"Saloni stmt – 20.10 (stale)",IF(ISNUMBER(I61),"Vidushi stmt – LTP 05.10",IF(ISNUMBER(J61),"Umesh stmt – NSE live 09.10","No price on any statement")))))))</f>
        <v>Manish Shilpa stmt – 23.10 + trades 29.10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23.10 + trades 29.10",IF(ISNUMBER(H62),"Saloni stmt – 20.10 (stale)",IF(ISNUMBER(I62),"Vidushi stmt – LTP 05.10",IF(ISNUMBER(J62),"Umesh stmt – NSE live 09.10","No price on any statement")))))))</f>
        <v>Manish Shilpa stmt – 23.10 + trades 29.10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132</v>
      </c>
      <c r="B63" s="54" t="n">
        <v>83.81</v>
      </c>
      <c r="C63" s="55" t="n">
        <f aca="false">IF(ISNUMBER(B63),B63,IF(ISNUMBER(E63),E63,IF(ISNUMBER(F63),F63,IF(ISNUMBER(G63),G63,IF(ISNUMBER(H63),H63,IF(ISNUMBER(I63),I63,IF(ISNUMBER(J63),J63,"")))))))</f>
        <v>83.81</v>
      </c>
      <c r="D63" s="56" t="str">
        <f aca="false">IF(ISNUMBER(B63),IF(K63&lt;&gt;"",K63,"Manual override"),IF(ISNUMBER(E63),"Gautam stmt – 23.10 + trades",IF(ISNUMBER(F63),"DA stmt – 23.10",IF(ISNUMBER(G63),"Manish Shilpa stmt – 23.10 + trades 29.10",IF(ISNUMBER(H63),"Saloni stmt – 20.10 (stale)",IF(ISNUMBER(I63),"Vidushi stmt – LTP 05.10",IF(ISNUMBER(J63),"Umesh stmt – NSE live 09.10","No price on any statement")))))))</f>
        <v>Close 29.10.2026 live (~11:20 IST) (Screener.in)</v>
      </c>
      <c r="E63" s="57"/>
      <c r="F63" s="57" t="n">
        <v>81.2081632653061</v>
      </c>
      <c r="G63" s="57"/>
      <c r="H63" s="57"/>
      <c r="I63" s="57"/>
      <c r="J63" s="57"/>
      <c r="K63" s="58" t="s">
        <v>182</v>
      </c>
      <c r="L63" s="57" t="n">
        <v>83.22</v>
      </c>
      <c r="M63" s="9" t="n">
        <f aca="false">IF(AND(ISNUMBER(B63),ISNUMBER(L63),N(L63)&gt;0),B63/L63-1,"")</f>
        <v>0.00708964191300177</v>
      </c>
    </row>
    <row r="64" customFormat="false" ht="15" hidden="false" customHeight="false" outlineLevel="0" collapsed="false">
      <c r="A64" s="5" t="s">
        <v>160</v>
      </c>
      <c r="B64" s="54" t="n">
        <v>113.45</v>
      </c>
      <c r="C64" s="55" t="n">
        <f aca="false">IF(ISNUMBER(B64),B64,IF(ISNUMBER(E64),E64,IF(ISNUMBER(F64),F64,IF(ISNUMBER(G64),G64,IF(ISNUMBER(H64),H64,IF(ISNUMBER(I64),I64,IF(ISNUMBER(J64),J64,"")))))))</f>
        <v>113.45</v>
      </c>
      <c r="D64" s="56" t="str">
        <f aca="false">IF(ISNUMBER(B64),IF(K64&lt;&gt;"",K64,"Manual override"),IF(ISNUMBER(E64),"Gautam stmt – 23.10 + trades",IF(ISNUMBER(F64),"DA stmt – 23.10",IF(ISNUMBER(G64),"Manish Shilpa stmt – 23.10 + trades 29.10",IF(ISNUMBER(H64),"Saloni stmt – 20.10 (stale)",IF(ISNUMBER(I64),"Vidushi stmt – LTP 05.10",IF(ISNUMBER(J64),"Umesh stmt – NSE live 09.10","No price on any statement")))))))</f>
        <v>Close 29.10.2026 live (~11:20 IST) (Screener.in)</v>
      </c>
      <c r="E64" s="57"/>
      <c r="F64" s="57" t="n">
        <v>116</v>
      </c>
      <c r="G64" s="57"/>
      <c r="H64" s="57"/>
      <c r="I64" s="57"/>
      <c r="J64" s="57"/>
      <c r="K64" s="58" t="s">
        <v>182</v>
      </c>
      <c r="L64" s="57" t="n">
        <v>113.29</v>
      </c>
      <c r="M64" s="9" t="n">
        <f aca="false">IF(AND(ISNUMBER(B64),ISNUMBER(L64),N(L64)&gt;0),B64/L64-1,"")</f>
        <v>0.00141230470474008</v>
      </c>
    </row>
    <row r="65" customFormat="false" ht="15" hidden="false" customHeight="false" outlineLevel="0" collapsed="false">
      <c r="A65" s="5" t="s">
        <v>155</v>
      </c>
      <c r="B65" s="54" t="n">
        <v>183.38</v>
      </c>
      <c r="C65" s="55" t="n">
        <f aca="false">IF(ISNUMBER(B65),B65,IF(ISNUMBER(E65),E65,IF(ISNUMBER(F65),F65,IF(ISNUMBER(G65),G65,IF(ISNUMBER(H65),H65,IF(ISNUMBER(I65),I65,IF(ISNUMBER(J65),J65,"")))))))</f>
        <v>183.38</v>
      </c>
      <c r="D65" s="56" t="str">
        <f aca="false">IF(ISNUMBER(B65),IF(K65&lt;&gt;"",K65,"Manual override"),IF(ISNUMBER(E65),"Gautam stmt – 23.10 + trades",IF(ISNUMBER(F65),"DA stmt – 23.10",IF(ISNUMBER(G65),"Manish Shilpa stmt – 23.10 + trades 29.10",IF(ISNUMBER(H65),"Saloni stmt – 20.10 (stale)",IF(ISNUMBER(I65),"Vidushi stmt – LTP 05.10",IF(ISNUMBER(J65),"Umesh stmt – NSE live 09.10","No price on any statement")))))))</f>
        <v>Close 29.10.2026 live (~11:20 IST) (Screener.in)</v>
      </c>
      <c r="E65" s="57" t="n">
        <v>154</v>
      </c>
      <c r="F65" s="57"/>
      <c r="G65" s="57"/>
      <c r="H65" s="57"/>
      <c r="I65" s="57"/>
      <c r="J65" s="57"/>
      <c r="K65" s="58" t="s">
        <v>182</v>
      </c>
      <c r="L65" s="57" t="n">
        <v>187.27</v>
      </c>
      <c r="M65" s="9" t="n">
        <f aca="false">IF(AND(ISNUMBER(B65),ISNUMBER(L65),N(L65)&gt;0),B65/L65-1,"")</f>
        <v>-0.0207721471671918</v>
      </c>
    </row>
    <row r="66" customFormat="false" ht="15" hidden="false" customHeight="false" outlineLevel="0" collapsed="false">
      <c r="A66" s="5" t="s">
        <v>113</v>
      </c>
      <c r="B66" s="54" t="n">
        <v>33925</v>
      </c>
      <c r="C66" s="55" t="n">
        <f aca="false">IF(ISNUMBER(B66),B66,IF(ISNUMBER(E66),E66,IF(ISNUMBER(F66),F66,IF(ISNUMBER(G66),G66,IF(ISNUMBER(H66),H66,IF(ISNUMBER(I66),I66,IF(ISNUMBER(J66),J66,"")))))))</f>
        <v>33925</v>
      </c>
      <c r="D66" s="56" t="str">
        <f aca="false">IF(ISNUMBER(B66),IF(K66&lt;&gt;"",K66,"Manual override"),IF(ISNUMBER(E66),"Gautam stmt – 23.10 + trades",IF(ISNUMBER(F66),"DA stmt – 23.10",IF(ISNUMBER(G66),"Manish Shilpa stmt – 23.10 + trades 29.10",IF(ISNUMBER(H66),"Saloni stmt – 20.10 (stale)",IF(ISNUMBER(I66),"Vidushi stmt – LTP 05.10",IF(ISNUMBER(J66),"Umesh stmt – NSE live 09.10","No price on any statement")))))))</f>
        <v>Close 29.10.2026 live (~11:20 IST) (Screener.in)</v>
      </c>
      <c r="E66" s="57"/>
      <c r="F66" s="57"/>
      <c r="G66" s="57" t="n">
        <v>33825</v>
      </c>
      <c r="H66" s="57"/>
      <c r="I66" s="57"/>
      <c r="J66" s="57"/>
      <c r="K66" s="58" t="s">
        <v>182</v>
      </c>
      <c r="L66" s="57" t="n">
        <v>33845</v>
      </c>
      <c r="M66" s="9" t="n">
        <f aca="false">IF(AND(ISNUMBER(B66),ISNUMBER(L66),N(L66)&gt;0),B66/L66-1,"")</f>
        <v>0.00236371694489579</v>
      </c>
    </row>
    <row r="67" customFormat="false" ht="15" hidden="false" customHeight="false" outlineLevel="0" collapsed="false">
      <c r="A67" s="5" t="s">
        <v>93</v>
      </c>
      <c r="B67" s="54" t="n">
        <v>5883.5</v>
      </c>
      <c r="C67" s="55" t="n">
        <f aca="false">IF(ISNUMBER(B67),B67,IF(ISNUMBER(E67),E67,IF(ISNUMBER(F67),F67,IF(ISNUMBER(G67),G67,IF(ISNUMBER(H67),H67,IF(ISNUMBER(I67),I67,IF(ISNUMBER(J67),J67,"")))))))</f>
        <v>5883.5</v>
      </c>
      <c r="D67" s="56" t="str">
        <f aca="false">IF(ISNUMBER(B67),IF(K67&lt;&gt;"",K67,"Manual override"),IF(ISNUMBER(E67),"Gautam stmt – 23.10 + trades",IF(ISNUMBER(F67),"DA stmt – 23.10",IF(ISNUMBER(G67),"Manish Shilpa stmt – 23.10 + trades 29.10",IF(ISNUMBER(H67),"Saloni stmt – 20.10 (stale)",IF(ISNUMBER(I67),"Vidushi stmt – LTP 05.10",IF(ISNUMBER(J67),"Umesh stmt – NSE live 09.10","No price on any statement")))))))</f>
        <v>Close 29.10.2026 live (~11:20 IST) (Screener.in)</v>
      </c>
      <c r="E67" s="57"/>
      <c r="F67" s="57" t="n">
        <v>5727.5</v>
      </c>
      <c r="G67" s="57" t="n">
        <v>5786.18181818182</v>
      </c>
      <c r="H67" s="57"/>
      <c r="I67" s="57"/>
      <c r="J67" s="57" t="n">
        <v>5625.52941176471</v>
      </c>
      <c r="K67" s="58" t="s">
        <v>182</v>
      </c>
      <c r="L67" s="57" t="n">
        <v>5848</v>
      </c>
      <c r="M67" s="9" t="n">
        <f aca="false">IF(AND(ISNUMBER(B67),ISNUMBER(L67),N(L67)&gt;0),B67/L67-1,"")</f>
        <v>0.00607045143638851</v>
      </c>
    </row>
    <row r="68" customFormat="false" ht="15" hidden="false" customHeight="false" outlineLevel="0" collapsed="false">
      <c r="A68" s="5" t="s">
        <v>157</v>
      </c>
      <c r="B68" s="54" t="n">
        <v>3768.9</v>
      </c>
      <c r="C68" s="55" t="n">
        <f aca="false">IF(ISNUMBER(B68),B68,IF(ISNUMBER(E68),E68,IF(ISNUMBER(F68),F68,IF(ISNUMBER(G68),G68,IF(ISNUMBER(H68),H68,IF(ISNUMBER(I68),I68,IF(ISNUMBER(J68),J68,"")))))))</f>
        <v>3768.9</v>
      </c>
      <c r="D68" s="56" t="str">
        <f aca="false">IF(ISNUMBER(B68),IF(K68&lt;&gt;"",K68,"Manual override"),IF(ISNUMBER(E68),"Gautam stmt – 23.10 + trades",IF(ISNUMBER(F68),"DA stmt – 23.10",IF(ISNUMBER(G68),"Manish Shilpa stmt – 23.10 + trades 29.10",IF(ISNUMBER(H68),"Saloni stmt – 20.10 (stale)",IF(ISNUMBER(I68),"Vidushi stmt – LTP 05.10",IF(ISNUMBER(J68),"Umesh stmt – NSE live 09.10","No price on any statement")))))))</f>
        <v>Close 29.10.2026 live (~11:20 IST) (Screener.in)</v>
      </c>
      <c r="E68" s="57"/>
      <c r="F68" s="57"/>
      <c r="G68" s="57" t="n">
        <v>3601</v>
      </c>
      <c r="H68" s="57"/>
      <c r="I68" s="57"/>
      <c r="J68" s="57"/>
      <c r="K68" s="58" t="s">
        <v>182</v>
      </c>
      <c r="L68" s="57" t="n">
        <v>3734.4</v>
      </c>
      <c r="M68" s="9" t="n">
        <f aca="false">IF(AND(ISNUMBER(B68),ISNUMBER(L68),N(L68)&gt;0),B68/L68-1,"")</f>
        <v>0.00923843187660678</v>
      </c>
    </row>
    <row r="69" customFormat="false" ht="15" hidden="false" customHeight="false" outlineLevel="0" collapsed="false">
      <c r="A69" s="5" t="s">
        <v>82</v>
      </c>
      <c r="B69" s="54" t="n">
        <v>433.25</v>
      </c>
      <c r="C69" s="55" t="n">
        <f aca="false">IF(ISNUMBER(B69),B69,IF(ISNUMBER(E69),E69,IF(ISNUMBER(F69),F69,IF(ISNUMBER(G69),G69,IF(ISNUMBER(H69),H69,IF(ISNUMBER(I69),I69,IF(ISNUMBER(J69),J69,"")))))))</f>
        <v>433.25</v>
      </c>
      <c r="D69" s="56" t="str">
        <f aca="false">IF(ISNUMBER(B69),IF(K69&lt;&gt;"",K69,"Manual override"),IF(ISNUMBER(E69),"Gautam stmt – 23.10 + trades",IF(ISNUMBER(F69),"DA stmt – 23.10",IF(ISNUMBER(G69),"Manish Shilpa stmt – 23.10 + trades 29.10",IF(ISNUMBER(H69),"Saloni stmt – 20.10 (stale)",IF(ISNUMBER(I69),"Vidushi stmt – LTP 05.10",IF(ISNUMBER(J69),"Umesh stmt – NSE live 09.10","No price on any statement")))))))</f>
        <v>Close 29.10.2026 live (~11:20 IST) (Screener.in)</v>
      </c>
      <c r="E69" s="57"/>
      <c r="F69" s="57" t="n">
        <v>413</v>
      </c>
      <c r="G69" s="57"/>
      <c r="H69" s="57"/>
      <c r="I69" s="57" t="n">
        <v>450.605263157895</v>
      </c>
      <c r="J69" s="57" t="n">
        <v>442.799739921977</v>
      </c>
      <c r="K69" s="58" t="s">
        <v>182</v>
      </c>
      <c r="L69" s="57" t="n">
        <v>403.25</v>
      </c>
      <c r="M69" s="9" t="n">
        <f aca="false">IF(AND(ISNUMBER(B69),ISNUMBER(L69),N(L69)&gt;0),B69/L69-1,"")</f>
        <v>0.0743955362678239</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23.10 + trades 29.10",IF(ISNUMBER(H70),"Saloni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804.05</v>
      </c>
      <c r="C71" s="55" t="n">
        <f aca="false">IF(ISNUMBER(B71),B71,IF(ISNUMBER(E71),E71,IF(ISNUMBER(F71),F71,IF(ISNUMBER(G71),G71,IF(ISNUMBER(H71),H71,IF(ISNUMBER(I71),I71,IF(ISNUMBER(J71),J71,"")))))))</f>
        <v>804.05</v>
      </c>
      <c r="D71" s="56" t="str">
        <f aca="false">IF(ISNUMBER(B71),IF(K71&lt;&gt;"",K71,"Manual override"),IF(ISNUMBER(E71),"Gautam stmt – 23.10 + trades",IF(ISNUMBER(F71),"DA stmt – 23.10",IF(ISNUMBER(G71),"Manish Shilpa stmt – 23.10 + trades 29.10",IF(ISNUMBER(H71),"Saloni stmt – 20.10 (stale)",IF(ISNUMBER(I71),"Vidushi stmt – LTP 05.10",IF(ISNUMBER(J71),"Umesh stmt – NSE live 09.10","No price on any statement")))))))</f>
        <v>Close 29.10.2026 live (~11:20 IST) (Screener.in)</v>
      </c>
      <c r="E71" s="57"/>
      <c r="F71" s="57"/>
      <c r="G71" s="57" t="n">
        <v>763</v>
      </c>
      <c r="H71" s="57"/>
      <c r="I71" s="57"/>
      <c r="J71" s="57" t="n">
        <v>840.875</v>
      </c>
      <c r="K71" s="58" t="s">
        <v>182</v>
      </c>
      <c r="L71" s="57" t="n">
        <v>808.75</v>
      </c>
      <c r="M71" s="9" t="n">
        <f aca="false">IF(AND(ISNUMBER(B71),ISNUMBER(L71),N(L71)&gt;0),B71/L71-1,"")</f>
        <v>-0.0058114374034004</v>
      </c>
    </row>
    <row r="72" customFormat="false" ht="15" hidden="false" customHeight="false" outlineLevel="0" collapsed="false">
      <c r="A72" s="5" t="s">
        <v>139</v>
      </c>
      <c r="B72" s="54" t="n">
        <v>296.65</v>
      </c>
      <c r="C72" s="55" t="n">
        <f aca="false">IF(ISNUMBER(B72),B72,IF(ISNUMBER(E72),E72,IF(ISNUMBER(F72),F72,IF(ISNUMBER(G72),G72,IF(ISNUMBER(H72),H72,IF(ISNUMBER(I72),I72,IF(ISNUMBER(J72),J72,"")))))))</f>
        <v>296.65</v>
      </c>
      <c r="D72" s="56" t="str">
        <f aca="false">IF(ISNUMBER(B72),IF(K72&lt;&gt;"",K72,"Manual override"),IF(ISNUMBER(E72),"Gautam stmt – 23.10 + trades",IF(ISNUMBER(F72),"DA stmt – 23.10",IF(ISNUMBER(G72),"Manish Shilpa stmt – 23.10 + trades 29.10",IF(ISNUMBER(H72),"Saloni stmt – 20.10 (stale)",IF(ISNUMBER(I72),"Vidushi stmt – LTP 05.10",IF(ISNUMBER(J72),"Umesh stmt – NSE live 09.10","No price on any statement")))))))</f>
        <v>Close 29.10.2026 live (~11:20 IST) (Screener.in)</v>
      </c>
      <c r="E72" s="57"/>
      <c r="F72" s="57" t="n">
        <v>293.944444444445</v>
      </c>
      <c r="G72" s="57"/>
      <c r="H72" s="57"/>
      <c r="I72" s="57"/>
      <c r="J72" s="57"/>
      <c r="K72" s="58" t="s">
        <v>182</v>
      </c>
      <c r="L72" s="57" t="n">
        <v>290</v>
      </c>
      <c r="M72" s="9" t="n">
        <f aca="false">IF(AND(ISNUMBER(B72),ISNUMBER(L72),N(L72)&gt;0),B72/L72-1,"")</f>
        <v>0.0229310344827585</v>
      </c>
    </row>
    <row r="73" customFormat="false" ht="15" hidden="false" customHeight="false" outlineLevel="0" collapsed="false">
      <c r="A73" s="5" t="s">
        <v>99</v>
      </c>
      <c r="B73" s="54" t="n">
        <v>1175</v>
      </c>
      <c r="C73" s="55" t="n">
        <f aca="false">IF(ISNUMBER(B73),B73,IF(ISNUMBER(E73),E73,IF(ISNUMBER(F73),F73,IF(ISNUMBER(G73),G73,IF(ISNUMBER(H73),H73,IF(ISNUMBER(I73),I73,IF(ISNUMBER(J73),J73,"")))))))</f>
        <v>1175</v>
      </c>
      <c r="D73" s="56" t="str">
        <f aca="false">IF(ISNUMBER(B73),IF(K73&lt;&gt;"",K73,"Manual override"),IF(ISNUMBER(E73),"Gautam stmt – 23.10 + trades",IF(ISNUMBER(F73),"DA stmt – 23.10",IF(ISNUMBER(G73),"Manish Shilpa stmt – 23.10 + trades 29.10",IF(ISNUMBER(H73),"Saloni stmt – 20.10 (stale)",IF(ISNUMBER(I73),"Vidushi stmt – LTP 05.10",IF(ISNUMBER(J73),"Umesh stmt – NSE live 09.10","No price on any statement")))))))</f>
        <v>Close 29.10.2026 live (~11:20 IST) (Screener.in)</v>
      </c>
      <c r="E73" s="57"/>
      <c r="F73" s="57" t="n">
        <v>1190</v>
      </c>
      <c r="G73" s="57" t="n">
        <v>1172.6875</v>
      </c>
      <c r="H73" s="57"/>
      <c r="I73" s="57"/>
      <c r="J73" s="57"/>
      <c r="K73" s="58" t="s">
        <v>182</v>
      </c>
      <c r="L73" s="57" t="n">
        <v>1158</v>
      </c>
      <c r="M73" s="9" t="n">
        <f aca="false">IF(AND(ISNUMBER(B73),ISNUMBER(L73),N(L73)&gt;0),B73/L73-1,"")</f>
        <v>0.0146804835924006</v>
      </c>
    </row>
    <row r="74" customFormat="false" ht="15" hidden="false" customHeight="false" outlineLevel="0" collapsed="false">
      <c r="A74" s="5" t="s">
        <v>128</v>
      </c>
      <c r="B74" s="54" t="n">
        <v>197.45</v>
      </c>
      <c r="C74" s="55" t="n">
        <f aca="false">IF(ISNUMBER(B74),B74,IF(ISNUMBER(E74),E74,IF(ISNUMBER(F74),F74,IF(ISNUMBER(G74),G74,IF(ISNUMBER(H74),H74,IF(ISNUMBER(I74),I74,IF(ISNUMBER(J74),J74,"")))))))</f>
        <v>197.45</v>
      </c>
      <c r="D74" s="56" t="str">
        <f aca="false">IF(ISNUMBER(B74),IF(K74&lt;&gt;"",K74,"Manual override"),IF(ISNUMBER(E74),"Gautam stmt – 23.10 + trades",IF(ISNUMBER(F74),"DA stmt – 23.10",IF(ISNUMBER(G74),"Manish Shilpa stmt – 23.10 + trades 29.10",IF(ISNUMBER(H74),"Saloni stmt – 20.10 (stale)",IF(ISNUMBER(I74),"Vidushi stmt – LTP 05.10",IF(ISNUMBER(J74),"Umesh stmt – NSE live 09.10","No price on any statement")))))))</f>
        <v>Close 29.10.2026 live (~11:20 IST) (Screener.in)</v>
      </c>
      <c r="E74" s="57"/>
      <c r="F74" s="57" t="n">
        <v>189.396551724138</v>
      </c>
      <c r="G74" s="57"/>
      <c r="H74" s="57"/>
      <c r="I74" s="57"/>
      <c r="J74" s="57"/>
      <c r="K74" s="58" t="s">
        <v>182</v>
      </c>
      <c r="L74" s="57" t="n">
        <v>196.57</v>
      </c>
      <c r="M74" s="9" t="n">
        <f aca="false">IF(AND(ISNUMBER(B74),ISNUMBER(L74),N(L74)&gt;0),B74/L74-1,"")</f>
        <v>0.00447677672076097</v>
      </c>
    </row>
    <row r="75" customFormat="false" ht="15" hidden="false" customHeight="false" outlineLevel="0" collapsed="false">
      <c r="A75" s="5" t="s">
        <v>145</v>
      </c>
      <c r="B75" s="54" t="n">
        <v>362.4</v>
      </c>
      <c r="C75" s="55" t="n">
        <f aca="false">IF(ISNUMBER(B75),B75,IF(ISNUMBER(E75),E75,IF(ISNUMBER(F75),F75,IF(ISNUMBER(G75),G75,IF(ISNUMBER(H75),H75,IF(ISNUMBER(I75),I75,IF(ISNUMBER(J75),J75,"")))))))</f>
        <v>362.4</v>
      </c>
      <c r="D75" s="56" t="str">
        <f aca="false">IF(ISNUMBER(B75),IF(K75&lt;&gt;"",K75,"Manual override"),IF(ISNUMBER(E75),"Gautam stmt – 23.10 + trades",IF(ISNUMBER(F75),"DA stmt – 23.10",IF(ISNUMBER(G75),"Manish Shilpa stmt – 23.10 + trades 29.10",IF(ISNUMBER(H75),"Saloni stmt – 20.10 (stale)",IF(ISNUMBER(I75),"Vidushi stmt – LTP 05.10",IF(ISNUMBER(J75),"Umesh stmt – NSE live 09.10","No price on any statement")))))))</f>
        <v>Close 29.10.2026 live (~11:20 IST) (Screener.in)</v>
      </c>
      <c r="E75" s="57"/>
      <c r="F75" s="57" t="n">
        <v>386.6</v>
      </c>
      <c r="G75" s="57"/>
      <c r="H75" s="57"/>
      <c r="I75" s="57"/>
      <c r="J75" s="57"/>
      <c r="K75" s="58" t="s">
        <v>182</v>
      </c>
      <c r="L75" s="57" t="n">
        <v>364.45</v>
      </c>
      <c r="M75" s="9" t="n">
        <f aca="false">IF(AND(ISNUMBER(B75),ISNUMBER(L75),N(L75)&gt;0),B75/L75-1,"")</f>
        <v>-0.00562491425435596</v>
      </c>
    </row>
    <row r="76" customFormat="false" ht="15" hidden="false" customHeight="false" outlineLevel="0" collapsed="false">
      <c r="A76" s="5" t="s">
        <v>138</v>
      </c>
      <c r="B76" s="54" t="n">
        <v>64.25</v>
      </c>
      <c r="C76" s="55" t="n">
        <f aca="false">IF(ISNUMBER(B76),B76,IF(ISNUMBER(E76),E76,IF(ISNUMBER(F76),F76,IF(ISNUMBER(G76),G76,IF(ISNUMBER(H76),H76,IF(ISNUMBER(I76),I76,IF(ISNUMBER(J76),J76,"")))))))</f>
        <v>64.25</v>
      </c>
      <c r="D76" s="56" t="str">
        <f aca="false">IF(ISNUMBER(B76),IF(K76&lt;&gt;"",K76,"Manual override"),IF(ISNUMBER(E76),"Gautam stmt – 23.10 + trades",IF(ISNUMBER(F76),"DA stmt – 23.10",IF(ISNUMBER(G76),"Manish Shilpa stmt – 23.10 + trades 29.10",IF(ISNUMBER(H76),"Saloni stmt – 20.10 (stale)",IF(ISNUMBER(I76),"Vidushi stmt – LTP 05.10",IF(ISNUMBER(J76),"Umesh stmt – NSE live 09.10","No price on any statement")))))))</f>
        <v>Close 29.10.2026 live (~11:20 IST) (Screener.in)</v>
      </c>
      <c r="E76" s="57" t="n">
        <v>67.7</v>
      </c>
      <c r="F76" s="57"/>
      <c r="G76" s="57"/>
      <c r="H76" s="57"/>
      <c r="I76" s="57"/>
      <c r="J76" s="57"/>
      <c r="K76" s="58" t="s">
        <v>182</v>
      </c>
      <c r="L76" s="57" t="n">
        <v>64.11</v>
      </c>
      <c r="M76" s="9" t="n">
        <f aca="false">IF(AND(ISNUMBER(B76),ISNUMBER(L76),N(L76)&gt;0),B76/L76-1,"")</f>
        <v>0.00218374668538446</v>
      </c>
    </row>
    <row r="77" customFormat="false" ht="15" hidden="false" customHeight="false" outlineLevel="0" collapsed="false">
      <c r="A77" s="5" t="s">
        <v>135</v>
      </c>
      <c r="B77" s="54" t="n">
        <v>229.4</v>
      </c>
      <c r="C77" s="55" t="n">
        <f aca="false">IF(ISNUMBER(B77),B77,IF(ISNUMBER(E77),E77,IF(ISNUMBER(F77),F77,IF(ISNUMBER(G77),G77,IF(ISNUMBER(H77),H77,IF(ISNUMBER(I77),I77,IF(ISNUMBER(J77),J77,"")))))))</f>
        <v>229.4</v>
      </c>
      <c r="D77" s="56" t="str">
        <f aca="false">IF(ISNUMBER(B77),IF(K77&lt;&gt;"",K77,"Manual override"),IF(ISNUMBER(E77),"Gautam stmt – 23.10 + trades",IF(ISNUMBER(F77),"DA stmt – 23.10",IF(ISNUMBER(G77),"Manish Shilpa stmt – 23.10 + trades 29.10",IF(ISNUMBER(H77),"Saloni stmt – 20.10 (stale)",IF(ISNUMBER(I77),"Vidushi stmt – LTP 05.10",IF(ISNUMBER(J77),"Umesh stmt – NSE live 09.10","No price on any statement")))))))</f>
        <v>Close 29.10.2026 live (~11:20 IST) (Screener.in)</v>
      </c>
      <c r="E77" s="57"/>
      <c r="F77" s="57" t="n">
        <v>232.144736842105</v>
      </c>
      <c r="G77" s="57"/>
      <c r="H77" s="57"/>
      <c r="I77" s="57"/>
      <c r="J77" s="57"/>
      <c r="K77" s="58" t="s">
        <v>182</v>
      </c>
      <c r="L77" s="57" t="n">
        <v>229.05</v>
      </c>
      <c r="M77" s="9" t="n">
        <f aca="false">IF(AND(ISNUMBER(B77),ISNUMBER(L77),N(L77)&gt;0),B77/L77-1,"")</f>
        <v>0.00152805064396411</v>
      </c>
    </row>
    <row r="78" customFormat="false" ht="15" hidden="false" customHeight="false" outlineLevel="0" collapsed="false">
      <c r="A78" s="5" t="s">
        <v>130</v>
      </c>
      <c r="B78" s="54" t="n">
        <v>408.05</v>
      </c>
      <c r="C78" s="55" t="n">
        <f aca="false">IF(ISNUMBER(B78),B78,IF(ISNUMBER(E78),E78,IF(ISNUMBER(F78),F78,IF(ISNUMBER(G78),G78,IF(ISNUMBER(H78),H78,IF(ISNUMBER(I78),I78,IF(ISNUMBER(J78),J78,"")))))))</f>
        <v>408.05</v>
      </c>
      <c r="D78" s="56" t="str">
        <f aca="false">IF(ISNUMBER(B78),IF(K78&lt;&gt;"",K78,"Manual override"),IF(ISNUMBER(E78),"Gautam stmt – 23.10 + trades",IF(ISNUMBER(F78),"DA stmt – 23.10",IF(ISNUMBER(G78),"Manish Shilpa stmt – 23.10 + trades 29.10",IF(ISNUMBER(H78),"Saloni stmt – 20.10 (stale)",IF(ISNUMBER(I78),"Vidushi stmt – LTP 05.10",IF(ISNUMBER(J78),"Umesh stmt – NSE live 09.10","No price on any statement")))))))</f>
        <v>Close 29.10.2026 live (~11:20 IST) (Screener.in)</v>
      </c>
      <c r="E78" s="57"/>
      <c r="F78" s="57" t="n">
        <v>366.843137254902</v>
      </c>
      <c r="G78" s="57"/>
      <c r="H78" s="57"/>
      <c r="I78" s="57"/>
      <c r="J78" s="57"/>
      <c r="K78" s="58" t="s">
        <v>182</v>
      </c>
      <c r="L78" s="57" t="n">
        <v>410.85</v>
      </c>
      <c r="M78" s="9" t="n">
        <f aca="false">IF(AND(ISNUMBER(B78),ISNUMBER(L78),N(L78)&gt;0),B78/L78-1,"")</f>
        <v>-0.0068151393452599</v>
      </c>
    </row>
    <row r="79" customFormat="false" ht="15" hidden="false" customHeight="false" outlineLevel="0" collapsed="false">
      <c r="A79" s="5" t="s">
        <v>131</v>
      </c>
      <c r="B79" s="54" t="n">
        <v>622.65</v>
      </c>
      <c r="C79" s="55" t="n">
        <f aca="false">IF(ISNUMBER(B79),B79,IF(ISNUMBER(E79),E79,IF(ISNUMBER(F79),F79,IF(ISNUMBER(G79),G79,IF(ISNUMBER(H79),H79,IF(ISNUMBER(I79),I79,IF(ISNUMBER(J79),J79,"")))))))</f>
        <v>622.65</v>
      </c>
      <c r="D79" s="56" t="str">
        <f aca="false">IF(ISNUMBER(B79),IF(K79&lt;&gt;"",K79,"Manual override"),IF(ISNUMBER(E79),"Gautam stmt – 23.10 + trades",IF(ISNUMBER(F79),"DA stmt – 23.10",IF(ISNUMBER(G79),"Manish Shilpa stmt – 23.10 + trades 29.10",IF(ISNUMBER(H79),"Saloni stmt – 20.10 (stale)",IF(ISNUMBER(I79),"Vidushi stmt – LTP 05.10",IF(ISNUMBER(J79),"Umesh stmt – NSE live 09.10","No price on any statement")))))))</f>
        <v>Close 29.10.2026 live (~11:20 IST) (Screener.in)</v>
      </c>
      <c r="E79" s="57"/>
      <c r="F79" s="57"/>
      <c r="G79" s="57" t="n">
        <v>563.939393939394</v>
      </c>
      <c r="H79" s="57"/>
      <c r="I79" s="57"/>
      <c r="J79" s="57"/>
      <c r="K79" s="58" t="s">
        <v>182</v>
      </c>
      <c r="L79" s="57" t="n">
        <v>598.7</v>
      </c>
      <c r="M79" s="9" t="n">
        <f aca="false">IF(AND(ISNUMBER(B79),ISNUMBER(L79),N(L79)&gt;0),B79/L79-1,"")</f>
        <v>0.0400033405712377</v>
      </c>
    </row>
    <row r="80" customFormat="false" ht="15" hidden="false" customHeight="false" outlineLevel="0" collapsed="false">
      <c r="A80" s="5" t="s">
        <v>85</v>
      </c>
      <c r="B80" s="54" t="n">
        <v>2479</v>
      </c>
      <c r="C80" s="55" t="n">
        <f aca="false">IF(ISNUMBER(B80),B80,IF(ISNUMBER(E80),E80,IF(ISNUMBER(F80),F80,IF(ISNUMBER(G80),G80,IF(ISNUMBER(H80),H80,IF(ISNUMBER(I80),I80,IF(ISNUMBER(J80),J80,"")))))))</f>
        <v>2479</v>
      </c>
      <c r="D80" s="56" t="str">
        <f aca="false">IF(ISNUMBER(B80),IF(K80&lt;&gt;"",K80,"Manual override"),IF(ISNUMBER(E80),"Gautam stmt – 23.10 + trades",IF(ISNUMBER(F80),"DA stmt – 23.10",IF(ISNUMBER(G80),"Manish Shilpa stmt – 23.10 + trades 29.10",IF(ISNUMBER(H80),"Saloni stmt – 20.10 (stale)",IF(ISNUMBER(I80),"Vidushi stmt – LTP 05.10",IF(ISNUMBER(J80),"Umesh stmt – NSE live 09.10","No price on any statement")))))))</f>
        <v>Close 29.10.2026 live (~11:20 IST) (Screener.in)</v>
      </c>
      <c r="E80" s="57" t="n">
        <v>2507</v>
      </c>
      <c r="F80" s="57" t="n">
        <v>2530</v>
      </c>
      <c r="G80" s="57" t="n">
        <v>2556.10344827586</v>
      </c>
      <c r="H80" s="57" t="n">
        <v>2460.90163934426</v>
      </c>
      <c r="I80" s="57"/>
      <c r="J80" s="57" t="n">
        <v>2178.10344827586</v>
      </c>
      <c r="K80" s="58" t="s">
        <v>182</v>
      </c>
      <c r="L80" s="57" t="n">
        <v>2460</v>
      </c>
      <c r="M80" s="9" t="n">
        <f aca="false">IF(AND(ISNUMBER(B80),ISNUMBER(L80),N(L80)&gt;0),B80/L80-1,"")</f>
        <v>0.00772357723577244</v>
      </c>
    </row>
    <row r="81" customFormat="false" ht="15" hidden="false" customHeight="false" outlineLevel="0" collapsed="false">
      <c r="A81" s="5" t="s">
        <v>91</v>
      </c>
      <c r="B81" s="54" t="n">
        <v>3794.1</v>
      </c>
      <c r="C81" s="55" t="n">
        <f aca="false">IF(ISNUMBER(B81),B81,IF(ISNUMBER(E81),E81,IF(ISNUMBER(F81),F81,IF(ISNUMBER(G81),G81,IF(ISNUMBER(H81),H81,IF(ISNUMBER(I81),I81,IF(ISNUMBER(J81),J81,"")))))))</f>
        <v>3794.1</v>
      </c>
      <c r="D81" s="56" t="str">
        <f aca="false">IF(ISNUMBER(B81),IF(K81&lt;&gt;"",K81,"Manual override"),IF(ISNUMBER(E81),"Gautam stmt – 23.10 + trades",IF(ISNUMBER(F81),"DA stmt – 23.10",IF(ISNUMBER(G81),"Manish Shilpa stmt – 23.10 + trades 29.10",IF(ISNUMBER(H81),"Saloni stmt – 20.10 (stale)",IF(ISNUMBER(I81),"Vidushi stmt – LTP 05.10",IF(ISNUMBER(J81),"Umesh stmt – NSE live 09.10","No price on any statement")))))))</f>
        <v>Close 29.10.2026 live (~11:20 IST) (Screener.in)</v>
      </c>
      <c r="E81" s="57"/>
      <c r="F81" s="57" t="n">
        <v>3700</v>
      </c>
      <c r="G81" s="57" t="n">
        <v>3764.6875</v>
      </c>
      <c r="H81" s="57"/>
      <c r="I81" s="57"/>
      <c r="J81" s="57" t="n">
        <v>3071.40909090909</v>
      </c>
      <c r="K81" s="58" t="s">
        <v>182</v>
      </c>
      <c r="L81" s="57" t="n">
        <v>3755</v>
      </c>
      <c r="M81" s="9" t="n">
        <f aca="false">IF(AND(ISNUMBER(B81),ISNUMBER(L81),N(L81)&gt;0),B81/L81-1,"")</f>
        <v>0.0104127829560585</v>
      </c>
    </row>
    <row r="82" customFormat="false" ht="15" hidden="false" customHeight="false" outlineLevel="0" collapsed="false">
      <c r="A82" s="5" t="s">
        <v>80</v>
      </c>
      <c r="B82" s="54" t="n">
        <v>4402.7</v>
      </c>
      <c r="C82" s="55" t="n">
        <f aca="false">IF(ISNUMBER(B82),B82,IF(ISNUMBER(E82),E82,IF(ISNUMBER(F82),F82,IF(ISNUMBER(G82),G82,IF(ISNUMBER(H82),H82,IF(ISNUMBER(I82),I82,IF(ISNUMBER(J82),J82,"")))))))</f>
        <v>4402.7</v>
      </c>
      <c r="D82" s="56" t="str">
        <f aca="false">IF(ISNUMBER(B82),IF(K82&lt;&gt;"",K82,"Manual override"),IF(ISNUMBER(E82),"Gautam stmt – 23.10 + trades",IF(ISNUMBER(F82),"DA stmt – 23.10",IF(ISNUMBER(G82),"Manish Shilpa stmt – 23.10 + trades 29.10",IF(ISNUMBER(H82),"Saloni stmt – 20.10 (stale)",IF(ISNUMBER(I82),"Vidushi stmt – LTP 05.10",IF(ISNUMBER(J82),"Umesh stmt – NSE live 09.10","No price on any statement")))))))</f>
        <v>Close 29.10.2026 live (~11:20 IST) (Screener.in)</v>
      </c>
      <c r="E82" s="57"/>
      <c r="F82" s="57" t="n">
        <v>4299.69491525424</v>
      </c>
      <c r="G82" s="57" t="n">
        <v>4246.81818181818</v>
      </c>
      <c r="H82" s="57"/>
      <c r="I82" s="57" t="n">
        <v>4570</v>
      </c>
      <c r="J82" s="57" t="n">
        <v>4372</v>
      </c>
      <c r="K82" s="58" t="s">
        <v>182</v>
      </c>
      <c r="L82" s="57" t="n">
        <v>4337.9</v>
      </c>
      <c r="M82" s="9" t="n">
        <f aca="false">IF(AND(ISNUMBER(B82),ISNUMBER(L82),N(L82)&gt;0),B82/L82-1,"")</f>
        <v>0.0149381036907259</v>
      </c>
    </row>
    <row r="83" customFormat="false" ht="15" hidden="false" customHeight="false" outlineLevel="0" collapsed="false">
      <c r="A83" s="5" t="s">
        <v>98</v>
      </c>
      <c r="B83" s="54" t="n">
        <v>2847.8</v>
      </c>
      <c r="C83" s="55" t="n">
        <f aca="false">IF(ISNUMBER(B83),B83,IF(ISNUMBER(E83),E83,IF(ISNUMBER(F83),F83,IF(ISNUMBER(G83),G83,IF(ISNUMBER(H83),H83,IF(ISNUMBER(I83),I83,IF(ISNUMBER(J83),J83,"")))))))</f>
        <v>2847.8</v>
      </c>
      <c r="D83" s="56" t="str">
        <f aca="false">IF(ISNUMBER(B83),IF(K83&lt;&gt;"",K83,"Manual override"),IF(ISNUMBER(E83),"Gautam stmt – 23.10 + trades",IF(ISNUMBER(F83),"DA stmt – 23.10",IF(ISNUMBER(G83),"Manish Shilpa stmt – 23.10 + trades 29.10",IF(ISNUMBER(H83),"Saloni stmt – 20.10 (stale)",IF(ISNUMBER(I83),"Vidushi stmt – LTP 05.10",IF(ISNUMBER(J83),"Umesh stmt – NSE live 09.10","No price on any statement")))))))</f>
        <v>Close 29.10.2026 live (~11:20 IST) (Screener.in)</v>
      </c>
      <c r="E83" s="57"/>
      <c r="F83" s="57" t="n">
        <v>2727.5</v>
      </c>
      <c r="G83" s="57" t="n">
        <v>2713</v>
      </c>
      <c r="H83" s="57"/>
      <c r="I83" s="57"/>
      <c r="J83" s="57" t="n">
        <v>2910</v>
      </c>
      <c r="K83" s="58" t="s">
        <v>182</v>
      </c>
      <c r="L83" s="57" t="n">
        <v>2913.9</v>
      </c>
      <c r="M83" s="9" t="n">
        <f aca="false">IF(AND(ISNUMBER(B83),ISNUMBER(L83),N(L83)&gt;0),B83/L83-1,"")</f>
        <v>-0.0226843748927554</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23.10 + trades 29.10",IF(ISNUMBER(H84),"Saloni stmt – 20.10 (stale)",IF(ISNUMBER(I84),"Vidushi stmt – LTP 05.10",IF(ISNUMBER(J84),"Umesh stmt – NSE live 09.10","No price on any statement")))))))</f>
        <v>Manish Shilpa stmt – 23.10 + trades 29.10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23.10 + trades 29.10",IF(ISNUMBER(H85),"Saloni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11.84</v>
      </c>
      <c r="C86" s="55" t="n">
        <f aca="false">IF(ISNUMBER(B86),B86,IF(ISNUMBER(E86),E86,IF(ISNUMBER(F86),F86,IF(ISNUMBER(G86),G86,IF(ISNUMBER(H86),H86,IF(ISNUMBER(I86),I86,IF(ISNUMBER(J86),J86,"")))))))</f>
        <v>11.84</v>
      </c>
      <c r="D86" s="56" t="str">
        <f aca="false">IF(ISNUMBER(B86),IF(K86&lt;&gt;"",K86,"Manual override"),IF(ISNUMBER(E86),"Gautam stmt – 23.10 + trades",IF(ISNUMBER(F86),"DA stmt – 23.10",IF(ISNUMBER(G86),"Manish Shilpa stmt – 23.10 + trades 29.10",IF(ISNUMBER(H86),"Saloni stmt – 20.10 (stale)",IF(ISNUMBER(I86),"Vidushi stmt – LTP 05.10",IF(ISNUMBER(J86),"Umesh stmt – NSE live 09.10","No price on any statement")))))))</f>
        <v>Close 29.10.2026 live (~11:20 IST) (Screener.in)</v>
      </c>
      <c r="E86" s="57"/>
      <c r="F86" s="57" t="n">
        <v>11.9696428571429</v>
      </c>
      <c r="G86" s="57"/>
      <c r="H86" s="57"/>
      <c r="I86" s="57"/>
      <c r="J86" s="57"/>
      <c r="K86" s="58" t="s">
        <v>182</v>
      </c>
      <c r="L86" s="57" t="n">
        <v>11.74</v>
      </c>
      <c r="M86" s="9" t="n">
        <f aca="false">IF(AND(ISNUMBER(B86),ISNUMBER(L86),N(L86)&gt;0),B86/L86-1,"")</f>
        <v>0.00851788756388405</v>
      </c>
    </row>
    <row r="87" customFormat="false" ht="15" hidden="false" customHeight="false" outlineLevel="0" collapsed="false">
      <c r="A87" s="5" t="s">
        <v>163</v>
      </c>
      <c r="B87" s="54" t="n">
        <v>158.91</v>
      </c>
      <c r="C87" s="55" t="n">
        <f aca="false">IF(ISNUMBER(B87),B87,IF(ISNUMBER(E87),E87,IF(ISNUMBER(F87),F87,IF(ISNUMBER(G87),G87,IF(ISNUMBER(H87),H87,IF(ISNUMBER(I87),I87,IF(ISNUMBER(J87),J87,"")))))))</f>
        <v>158.91</v>
      </c>
      <c r="D87" s="56" t="str">
        <f aca="false">IF(ISNUMBER(B87),IF(K87&lt;&gt;"",K87,"Manual override"),IF(ISNUMBER(E87),"Gautam stmt – 23.10 + trades",IF(ISNUMBER(F87),"DA stmt – 23.10",IF(ISNUMBER(G87),"Manish Shilpa stmt – 23.10 + trades 29.10",IF(ISNUMBER(H87),"Saloni stmt – 20.10 (stale)",IF(ISNUMBER(I87),"Vidushi stmt – LTP 05.10",IF(ISNUMBER(J87),"Umesh stmt – NSE live 09.10","No price on any statement")))))))</f>
        <v>Close 29.10.2026 live (~11:20 IST) (Screener.in)</v>
      </c>
      <c r="E87" s="57"/>
      <c r="F87" s="57"/>
      <c r="G87" s="57" t="n">
        <v>187.2</v>
      </c>
      <c r="H87" s="57"/>
      <c r="I87" s="57"/>
      <c r="J87" s="57"/>
      <c r="K87" s="58" t="s">
        <v>182</v>
      </c>
      <c r="L87" s="57" t="n">
        <v>187.83</v>
      </c>
      <c r="M87" s="9" t="n">
        <f aca="false">IF(AND(ISNUMBER(B87),ISNUMBER(L87),N(L87)&gt;0),B87/L87-1,"")</f>
        <v>-0.153969014534419</v>
      </c>
    </row>
    <row r="88" customFormat="false" ht="15" hidden="false" customHeight="false" outlineLevel="0" collapsed="false">
      <c r="A88" s="5" t="s">
        <v>114</v>
      </c>
      <c r="B88" s="54" t="n">
        <v>481.15</v>
      </c>
      <c r="C88" s="55" t="n">
        <f aca="false">IF(ISNUMBER(B88),B88,IF(ISNUMBER(E88),E88,IF(ISNUMBER(F88),F88,IF(ISNUMBER(G88),G88,IF(ISNUMBER(H88),H88,IF(ISNUMBER(I88),I88,IF(ISNUMBER(J88),J88,"")))))))</f>
        <v>481.15</v>
      </c>
      <c r="D88" s="56" t="str">
        <f aca="false">IF(ISNUMBER(B88),IF(K88&lt;&gt;"",K88,"Manual override"),IF(ISNUMBER(E88),"Gautam stmt – 23.10 + trades",IF(ISNUMBER(F88),"DA stmt – 23.10",IF(ISNUMBER(G88),"Manish Shilpa stmt – 23.10 + trades 29.10",IF(ISNUMBER(H88),"Saloni stmt – 20.10 (stale)",IF(ISNUMBER(I88),"Vidushi stmt – LTP 05.10",IF(ISNUMBER(J88),"Umesh stmt – NSE live 09.10","No price on any statement")))))))</f>
        <v>Close 29.10.2026 live (~11:20 IST) (Screener.in)</v>
      </c>
      <c r="E88" s="57"/>
      <c r="F88" s="57" t="n">
        <v>481.448818897638</v>
      </c>
      <c r="G88" s="57"/>
      <c r="H88" s="57"/>
      <c r="I88" s="57"/>
      <c r="J88" s="57"/>
      <c r="K88" s="58" t="s">
        <v>182</v>
      </c>
      <c r="L88" s="57" t="n">
        <v>485.05</v>
      </c>
      <c r="M88" s="9" t="n">
        <f aca="false">IF(AND(ISNUMBER(B88),ISNUMBER(L88),N(L88)&gt;0),B88/L88-1,"")</f>
        <v>-0.00804040820533969</v>
      </c>
    </row>
    <row r="89" customFormat="false" ht="15" hidden="false" customHeight="false" outlineLevel="0" collapsed="false">
      <c r="A89" s="5" t="s">
        <v>124</v>
      </c>
      <c r="B89" s="54" t="n">
        <v>29.15</v>
      </c>
      <c r="C89" s="55" t="n">
        <f aca="false">IF(ISNUMBER(B89),B89,IF(ISNUMBER(E89),E89,IF(ISNUMBER(F89),F89,IF(ISNUMBER(G89),G89,IF(ISNUMBER(H89),H89,IF(ISNUMBER(I89),I89,IF(ISNUMBER(J89),J89,"")))))))</f>
        <v>29.15</v>
      </c>
      <c r="D89" s="56" t="str">
        <f aca="false">IF(ISNUMBER(B89),IF(K89&lt;&gt;"",K89,"Manual override"),IF(ISNUMBER(E89),"Gautam stmt – 23.10 + trades",IF(ISNUMBER(F89),"DA stmt – 23.10",IF(ISNUMBER(G89),"Manish Shilpa stmt – 23.10 + trades 29.10",IF(ISNUMBER(H89),"Saloni stmt – 20.10 (stale)",IF(ISNUMBER(I89),"Vidushi stmt – LTP 05.10",IF(ISNUMBER(J89),"Umesh stmt – NSE live 09.10","No price on any statement")))))))</f>
        <v>Close 29.10.2026 live (~11:20 IST) (Screener.in)</v>
      </c>
      <c r="E89" s="57"/>
      <c r="F89" s="57" t="n">
        <v>28.2602611940299</v>
      </c>
      <c r="G89" s="57"/>
      <c r="H89" s="57"/>
      <c r="I89" s="57"/>
      <c r="J89" s="57"/>
      <c r="K89" s="58" t="s">
        <v>182</v>
      </c>
      <c r="L89" s="57" t="n">
        <v>28.79</v>
      </c>
      <c r="M89" s="9" t="n">
        <f aca="false">IF(AND(ISNUMBER(B89),ISNUMBER(L89),N(L89)&gt;0),B89/L89-1,"")</f>
        <v>0.0125043417853421</v>
      </c>
    </row>
    <row r="90" customFormat="false" ht="15" hidden="false" customHeight="false" outlineLevel="0" collapsed="false">
      <c r="A90" s="5" t="s">
        <v>100</v>
      </c>
      <c r="B90" s="54" t="n">
        <v>1063.4</v>
      </c>
      <c r="C90" s="55" t="n">
        <f aca="false">IF(ISNUMBER(B90),B90,IF(ISNUMBER(E90),E90,IF(ISNUMBER(F90),F90,IF(ISNUMBER(G90),G90,IF(ISNUMBER(H90),H90,IF(ISNUMBER(I90),I90,IF(ISNUMBER(J90),J90,"")))))))</f>
        <v>1063.4</v>
      </c>
      <c r="D90" s="56" t="str">
        <f aca="false">IF(ISNUMBER(B90),IF(K90&lt;&gt;"",K90,"Manual override"),IF(ISNUMBER(E90),"Gautam stmt – 23.10 + trades",IF(ISNUMBER(F90),"DA stmt – 23.10",IF(ISNUMBER(G90),"Manish Shilpa stmt – 23.10 + trades 29.10",IF(ISNUMBER(H90),"Saloni stmt – 20.10 (stale)",IF(ISNUMBER(I90),"Vidushi stmt – LTP 05.10",IF(ISNUMBER(J90),"Umesh stmt – NSE live 09.10","No price on any statement")))))))</f>
        <v>Close 29.10.2026 live (~11:20 IST) (Screener.in)</v>
      </c>
      <c r="E90" s="57"/>
      <c r="F90" s="57"/>
      <c r="G90" s="57" t="n">
        <v>1067.17647058824</v>
      </c>
      <c r="H90" s="57"/>
      <c r="I90" s="57"/>
      <c r="J90" s="57" t="n">
        <v>1127.80487804878</v>
      </c>
      <c r="K90" s="58" t="s">
        <v>182</v>
      </c>
      <c r="L90" s="57" t="n">
        <v>1081.7</v>
      </c>
      <c r="M90" s="9" t="n">
        <f aca="false">IF(AND(ISNUMBER(B90),ISNUMBER(L90),N(L90)&gt;0),B90/L90-1,"")</f>
        <v>-0.0169178145511694</v>
      </c>
    </row>
    <row r="91" customFormat="false" ht="15" hidden="false" customHeight="false" outlineLevel="0" collapsed="false">
      <c r="A91" s="5" t="s">
        <v>133</v>
      </c>
      <c r="B91" s="54" t="n">
        <v>246.85</v>
      </c>
      <c r="C91" s="55" t="n">
        <f aca="false">IF(ISNUMBER(B91),B91,IF(ISNUMBER(E91),E91,IF(ISNUMBER(F91),F91,IF(ISNUMBER(G91),G91,IF(ISNUMBER(H91),H91,IF(ISNUMBER(I91),I91,IF(ISNUMBER(J91),J91,"")))))))</f>
        <v>246.85</v>
      </c>
      <c r="D91" s="56" t="str">
        <f aca="false">IF(ISNUMBER(B91),IF(K91&lt;&gt;"",K91,"Manual override"),IF(ISNUMBER(E91),"Gautam stmt – 23.10 + trades",IF(ISNUMBER(F91),"DA stmt – 23.10",IF(ISNUMBER(G91),"Manish Shilpa stmt – 23.10 + trades 29.10",IF(ISNUMBER(H91),"Saloni stmt – 20.10 (stale)",IF(ISNUMBER(I91),"Vidushi stmt – LTP 05.10",IF(ISNUMBER(J91),"Umesh stmt – NSE live 09.10","No price on any statement")))))))</f>
        <v>Close 29.10.2026 live (~11:20 IST) (Screener.in)</v>
      </c>
      <c r="E91" s="57"/>
      <c r="F91" s="57" t="n">
        <v>200.064102564103</v>
      </c>
      <c r="G91" s="57"/>
      <c r="H91" s="57"/>
      <c r="I91" s="57"/>
      <c r="J91" s="57"/>
      <c r="K91" s="58" t="s">
        <v>182</v>
      </c>
      <c r="L91" s="57" t="n">
        <v>245.49</v>
      </c>
      <c r="M91" s="9" t="n">
        <f aca="false">IF(AND(ISNUMBER(B91),ISNUMBER(L91),N(L91)&gt;0),B91/L91-1,"")</f>
        <v>0.00553994052710904</v>
      </c>
    </row>
    <row r="92" customFormat="false" ht="15" hidden="false" customHeight="false" outlineLevel="0" collapsed="false">
      <c r="A92" s="5" t="s">
        <v>143</v>
      </c>
      <c r="B92" s="54" t="n">
        <v>266.85</v>
      </c>
      <c r="C92" s="55" t="n">
        <f aca="false">IF(ISNUMBER(B92),B92,IF(ISNUMBER(E92),E92,IF(ISNUMBER(F92),F92,IF(ISNUMBER(G92),G92,IF(ISNUMBER(H92),H92,IF(ISNUMBER(I92),I92,IF(ISNUMBER(J92),J92,"")))))))</f>
        <v>266.85</v>
      </c>
      <c r="D92" s="56" t="str">
        <f aca="false">IF(ISNUMBER(B92),IF(K92&lt;&gt;"",K92,"Manual override"),IF(ISNUMBER(E92),"Gautam stmt – 23.10 + trades",IF(ISNUMBER(F92),"DA stmt – 23.10",IF(ISNUMBER(G92),"Manish Shilpa stmt – 23.10 + trades 29.10",IF(ISNUMBER(H92),"Saloni stmt – 20.10 (stale)",IF(ISNUMBER(I92),"Vidushi stmt – LTP 05.10",IF(ISNUMBER(J92),"Umesh stmt – NSE live 09.10","No price on any statement")))))))</f>
        <v>Close 29.10.2026 live (~11:20 IST) (Screener.in)</v>
      </c>
      <c r="E92" s="57"/>
      <c r="F92" s="57"/>
      <c r="G92" s="57" t="n">
        <v>253.36</v>
      </c>
      <c r="H92" s="57"/>
      <c r="I92" s="57"/>
      <c r="J92" s="57"/>
      <c r="K92" s="58" t="s">
        <v>182</v>
      </c>
      <c r="L92" s="57" t="n">
        <v>269.6</v>
      </c>
      <c r="M92" s="9" t="n">
        <f aca="false">IF(AND(ISNUMBER(B92),ISNUMBER(L92),N(L92)&gt;0),B92/L92-1,"")</f>
        <v>-0.0102002967359051</v>
      </c>
    </row>
    <row r="93" customFormat="false" ht="15" hidden="false" customHeight="false" outlineLevel="0" collapsed="false">
      <c r="A93" s="5" t="s">
        <v>104</v>
      </c>
      <c r="B93" s="54" t="n">
        <v>2298.1</v>
      </c>
      <c r="C93" s="55" t="n">
        <f aca="false">IF(ISNUMBER(B93),B93,IF(ISNUMBER(E93),E93,IF(ISNUMBER(F93),F93,IF(ISNUMBER(G93),G93,IF(ISNUMBER(H93),H93,IF(ISNUMBER(I93),I93,IF(ISNUMBER(J93),J93,"")))))))</f>
        <v>2298.1</v>
      </c>
      <c r="D93" s="56" t="str">
        <f aca="false">IF(ISNUMBER(B93),IF(K93&lt;&gt;"",K93,"Manual override"),IF(ISNUMBER(E93),"Gautam stmt – 23.10 + trades",IF(ISNUMBER(F93),"DA stmt – 23.10",IF(ISNUMBER(G93),"Manish Shilpa stmt – 23.10 + trades 29.10",IF(ISNUMBER(H93),"Saloni stmt – 20.10 (stale)",IF(ISNUMBER(I93),"Vidushi stmt – LTP 05.10",IF(ISNUMBER(J93),"Umesh stmt – NSE live 09.10","No price on any statement")))))))</f>
        <v>Close 29.10.2026 live (~11:20 IST) (Screener.in)</v>
      </c>
      <c r="E93" s="57"/>
      <c r="F93" s="57" t="n">
        <v>2354.875</v>
      </c>
      <c r="G93" s="57" t="n">
        <v>2316.66666666667</v>
      </c>
      <c r="H93" s="57"/>
      <c r="I93" s="57"/>
      <c r="J93" s="57"/>
      <c r="K93" s="58" t="s">
        <v>182</v>
      </c>
      <c r="L93" s="57" t="n">
        <v>2238</v>
      </c>
      <c r="M93" s="9" t="n">
        <f aca="false">IF(AND(ISNUMBER(B93),ISNUMBER(L93),N(L93)&gt;0),B93/L93-1,"")</f>
        <v>0.0268543342269882</v>
      </c>
    </row>
    <row r="94" customFormat="false" ht="15" hidden="false" customHeight="false" outlineLevel="0" collapsed="false">
      <c r="A94" s="5" t="s">
        <v>151</v>
      </c>
      <c r="B94" s="54" t="n">
        <v>679.75</v>
      </c>
      <c r="C94" s="55" t="n">
        <f aca="false">IF(ISNUMBER(B94),B94,IF(ISNUMBER(E94),E94,IF(ISNUMBER(F94),F94,IF(ISNUMBER(G94),G94,IF(ISNUMBER(H94),H94,IF(ISNUMBER(I94),I94,IF(ISNUMBER(J94),J94,"")))))))</f>
        <v>679.75</v>
      </c>
      <c r="D94" s="56" t="str">
        <f aca="false">IF(ISNUMBER(B94),IF(K94&lt;&gt;"",K94,"Manual override"),IF(ISNUMBER(E94),"Gautam stmt – 23.10 + trades",IF(ISNUMBER(F94),"DA stmt – 23.10",IF(ISNUMBER(G94),"Manish Shilpa stmt – 23.10 + trades 29.10",IF(ISNUMBER(H94),"Saloni stmt – 20.10 (stale)",IF(ISNUMBER(I94),"Vidushi stmt – LTP 05.10",IF(ISNUMBER(J94),"Umesh stmt – NSE live 09.10","No price on any statement")))))))</f>
        <v>Close 29.10.2026 live (~11:20 IST) (Screener.in)</v>
      </c>
      <c r="E94" s="57"/>
      <c r="F94" s="57"/>
      <c r="G94" s="57" t="n">
        <v>679.6</v>
      </c>
      <c r="H94" s="57"/>
      <c r="I94" s="57"/>
      <c r="J94" s="57"/>
      <c r="K94" s="58" t="s">
        <v>182</v>
      </c>
      <c r="L94" s="57" t="n">
        <v>672.15</v>
      </c>
      <c r="M94" s="9" t="n">
        <f aca="false">IF(AND(ISNUMBER(B94),ISNUMBER(L94),N(L94)&gt;0),B94/L94-1,"")</f>
        <v>0.0113069999256119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925.8</v>
      </c>
      <c r="H7" s="8" t="n">
        <f aca="false">IF(ISNUMBER(G7),D7*G7,0)</f>
        <v>2125636.8</v>
      </c>
      <c r="I7" s="8" t="n">
        <f aca="false">H7-N(E7)</f>
        <v>-145855.9</v>
      </c>
      <c r="J7" s="9" t="n">
        <f aca="false">IF(N(E7)&gt;0,I7/E7,"")</f>
        <v>-0.0642114764445426</v>
      </c>
      <c r="K7" s="9" t="n">
        <f aca="false">IF($H$37=0,"",H7/$H$37)</f>
        <v>0.372389610626527</v>
      </c>
      <c r="L7" s="61" t="s">
        <v>199</v>
      </c>
      <c r="Q7" s="62" t="s">
        <v>200</v>
      </c>
      <c r="R7" s="62" t="s">
        <v>201</v>
      </c>
      <c r="S7" s="62" t="s">
        <v>115</v>
      </c>
      <c r="T7" s="62" t="n">
        <v>2</v>
      </c>
      <c r="U7" s="57" t="n">
        <v>120.67</v>
      </c>
      <c r="V7" s="57" t="n">
        <v>241.34</v>
      </c>
    </row>
    <row r="8" customFormat="false" ht="15" hidden="false" customHeight="false" outlineLevel="0" collapsed="false">
      <c r="A8" s="5" t="n">
        <v>2</v>
      </c>
      <c r="B8" s="59" t="s">
        <v>82</v>
      </c>
      <c r="C8" s="5" t="s">
        <v>16</v>
      </c>
      <c r="D8" s="60" t="n">
        <v>1357</v>
      </c>
      <c r="E8" s="57" t="n">
        <v>617510.15</v>
      </c>
      <c r="F8" s="8" t="n">
        <f aca="false">IF(AND(D8&gt;0,N(E8)&gt;0),E8/D8,"")</f>
        <v>455.055379513633</v>
      </c>
      <c r="G8" s="7" t="n">
        <f aca="false">IFERROR(INDEX(Prices!$C$6:$C$300,MATCH(B8,Prices!$A$6:$A$300,0)),"")</f>
        <v>433.25</v>
      </c>
      <c r="H8" s="8" t="n">
        <f aca="false">IF(ISNUMBER(G8),D8*G8,0)</f>
        <v>587920.25</v>
      </c>
      <c r="I8" s="8" t="n">
        <f aca="false">H8-N(E8)</f>
        <v>-29589.9</v>
      </c>
      <c r="J8" s="9" t="n">
        <f aca="false">IF(N(E8)&gt;0,I8/E8,"")</f>
        <v>-0.0479180787554666</v>
      </c>
      <c r="K8" s="9" t="n">
        <f aca="false">IF($H$37=0,"",H8/$H$37)</f>
        <v>0.102997554886588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83</v>
      </c>
      <c r="C9" s="5" t="s">
        <v>16</v>
      </c>
      <c r="D9" s="60" t="n">
        <v>534</v>
      </c>
      <c r="E9" s="57" t="n">
        <v>379199.35</v>
      </c>
      <c r="F9" s="8" t="n">
        <f aca="false">IF(AND(D9&gt;0,N(E9)&gt;0),E9/D9,"")</f>
        <v>710.111142322097</v>
      </c>
      <c r="G9" s="7" t="n">
        <f aca="false">IFERROR(INDEX(Prices!$C$6:$C$300,MATCH(B9,Prices!$A$6:$A$300,0)),"")</f>
        <v>684.6</v>
      </c>
      <c r="H9" s="8" t="n">
        <f aca="false">IF(ISNUMBER(G9),D9*G9,0)</f>
        <v>365576.4</v>
      </c>
      <c r="I9" s="8" t="n">
        <f aca="false">H9-N(E9)</f>
        <v>-13622.95</v>
      </c>
      <c r="J9" s="9" t="n">
        <f aca="false">IF(N(E9)&gt;0,I9/E9,"")</f>
        <v>-0.0359255626361173</v>
      </c>
      <c r="K9" s="9" t="n">
        <f aca="false">IF($H$37=0,"",H9/$H$37)</f>
        <v>0.0640452090640544</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4402.7</v>
      </c>
      <c r="H10" s="8" t="n">
        <f aca="false">IF(ISNUMBER(G10),D10*G10,0)</f>
        <v>250953.9</v>
      </c>
      <c r="I10" s="8" t="n">
        <f aca="false">H10-N(E10)</f>
        <v>-16019.1</v>
      </c>
      <c r="J10" s="9" t="n">
        <f aca="false">IF(N(E10)&gt;0,I10/E10,"")</f>
        <v>-0.0600026969019339</v>
      </c>
      <c r="K10" s="9" t="n">
        <f aca="false">IF($H$37=0,"",H10/$H$37)</f>
        <v>0.0439645310554505</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4089.2</v>
      </c>
      <c r="H11" s="8" t="n">
        <f aca="false">IF(ISNUMBER(G11),D11*G11,0)</f>
        <v>245352</v>
      </c>
      <c r="I11" s="8" t="n">
        <f aca="false">H11-N(E11)</f>
        <v>-28488</v>
      </c>
      <c r="J11" s="9" t="n">
        <f aca="false">IF(N(E11)&gt;0,I11/E11,"")</f>
        <v>-0.104031551270815</v>
      </c>
      <c r="K11" s="9" t="n">
        <f aca="false">IF($H$37=0,"",H11/$H$37)</f>
        <v>0.0429831360401926</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2479</v>
      </c>
      <c r="H12" s="8" t="n">
        <f aca="false">IF(ISNUMBER(G12),D12*G12,0)</f>
        <v>228068</v>
      </c>
      <c r="I12" s="8" t="n">
        <f aca="false">H12-N(E12)</f>
        <v>17480</v>
      </c>
      <c r="J12" s="9" t="n">
        <f aca="false">IF(N(E12)&gt;0,I12/E12,"")</f>
        <v>0.0830056793359546</v>
      </c>
      <c r="K12" s="9" t="n">
        <f aca="false">IF($H$37=0,"",H12/$H$37)</f>
        <v>0.0399551577750116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3794.1</v>
      </c>
      <c r="H13" s="8" t="n">
        <f aca="false">IF(ISNUMBER(G13),D13*G13,0)</f>
        <v>204881.4</v>
      </c>
      <c r="I13" s="8" t="n">
        <f aca="false">H13-N(E13)</f>
        <v>16442.6</v>
      </c>
      <c r="J13" s="9" t="n">
        <f aca="false">IF(N(E13)&gt;0,I13/E13,"")</f>
        <v>0.0872569768009561</v>
      </c>
      <c r="K13" s="9" t="n">
        <f aca="false">IF($H$37=0,"",H13/$H$37)</f>
        <v>0.0358931049606489</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240</v>
      </c>
      <c r="H14" s="8" t="n">
        <f aca="false">IF(ISNUMBER(G14),D14*G14,0)</f>
        <v>192000</v>
      </c>
      <c r="I14" s="8" t="n">
        <f aca="false">H14-N(E14)</f>
        <v>-19200</v>
      </c>
      <c r="J14" s="9" t="n">
        <f aca="false">IF(N(E14)&gt;0,I14/E14,"")</f>
        <v>-0.0909090909090909</v>
      </c>
      <c r="K14" s="9" t="n">
        <f aca="false">IF($H$37=0,"",H14/$H$37)</f>
        <v>0.0336364167388772</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7244</v>
      </c>
      <c r="H15" s="8" t="n">
        <f aca="false">IF(ISNUMBER(G15),D15*G15,0)</f>
        <v>173856</v>
      </c>
      <c r="I15" s="8" t="n">
        <f aca="false">H15-N(E15)</f>
        <v>-2382</v>
      </c>
      <c r="J15" s="9" t="n">
        <f aca="false">IF(N(E15)&gt;0,I15/E15,"")</f>
        <v>-0.0135158138426446</v>
      </c>
      <c r="K15" s="9" t="n">
        <f aca="false">IF($H$37=0,"",H15/$H$37)</f>
        <v>0.0304577753570533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88</v>
      </c>
      <c r="C16" s="5" t="s">
        <v>16</v>
      </c>
      <c r="D16" s="60" t="n">
        <v>39</v>
      </c>
      <c r="E16" s="57" t="n">
        <v>140938</v>
      </c>
      <c r="F16" s="8" t="n">
        <f aca="false">IF(AND(D16&gt;0,N(E16)&gt;0),E16/D16,"")</f>
        <v>3613.79487179487</v>
      </c>
      <c r="G16" s="7" t="n">
        <f aca="false">IFERROR(INDEX(Prices!$C$6:$C$300,MATCH(B16,Prices!$A$6:$A$300,0)),"")</f>
        <v>4199</v>
      </c>
      <c r="H16" s="8" t="n">
        <f aca="false">IF(ISNUMBER(G16),D16*G16,0)</f>
        <v>163761</v>
      </c>
      <c r="I16" s="8" t="n">
        <f aca="false">H16-N(E16)</f>
        <v>22823</v>
      </c>
      <c r="J16" s="9" t="n">
        <f aca="false">IF(N(E16)&gt;0,I16/E16,"")</f>
        <v>0.161936454327435</v>
      </c>
      <c r="K16" s="9" t="n">
        <f aca="false">IF($H$37=0,"",H16/$H$37)</f>
        <v>0.0286892356332045</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86</v>
      </c>
      <c r="C17" s="5" t="s">
        <v>16</v>
      </c>
      <c r="D17" s="60" t="n">
        <v>2064</v>
      </c>
      <c r="E17" s="57" t="n">
        <v>168875.93</v>
      </c>
      <c r="F17" s="8" t="n">
        <f aca="false">IF(AND(D17&gt;0,N(E17)&gt;0),E17/D17,"")</f>
        <v>81.8197335271318</v>
      </c>
      <c r="G17" s="7" t="n">
        <f aca="false">IFERROR(INDEX(Prices!$C$6:$C$300,MATCH(B17,Prices!$A$6:$A$300,0)),"")</f>
        <v>78.1</v>
      </c>
      <c r="H17" s="8" t="n">
        <f aca="false">IF(ISNUMBER(G17),D17*G17,0)</f>
        <v>161198.4</v>
      </c>
      <c r="I17" s="8" t="n">
        <f aca="false">H17-N(E17)</f>
        <v>-7677.53</v>
      </c>
      <c r="J17" s="9" t="n">
        <f aca="false">IF(N(E17)&gt;0,I17/E17,"")</f>
        <v>-0.0454625475637647</v>
      </c>
      <c r="K17" s="9" t="n">
        <f aca="false">IF($H$37=0,"",H17/$H$37)</f>
        <v>0.0282402945835428</v>
      </c>
      <c r="L17" s="61" t="s">
        <v>199</v>
      </c>
      <c r="Q17" s="62" t="s">
        <v>200</v>
      </c>
      <c r="R17" s="62" t="s">
        <v>201</v>
      </c>
      <c r="S17" s="62" t="s">
        <v>88</v>
      </c>
      <c r="T17" s="62" t="n">
        <v>9</v>
      </c>
      <c r="U17" s="57" t="n">
        <v>4045.22</v>
      </c>
      <c r="V17" s="57" t="n">
        <v>36407</v>
      </c>
    </row>
    <row r="18" customFormat="false" ht="15" hidden="false" customHeight="false" outlineLevel="0" collapsed="false">
      <c r="A18" s="5" t="n">
        <v>12</v>
      </c>
      <c r="B18" s="59" t="s">
        <v>84</v>
      </c>
      <c r="C18" s="5" t="s">
        <v>16</v>
      </c>
      <c r="D18" s="60" t="n">
        <v>120</v>
      </c>
      <c r="E18" s="57" t="n">
        <v>199920</v>
      </c>
      <c r="F18" s="8" t="n">
        <f aca="false">IF(AND(D18&gt;0,N(E18)&gt;0),E18/D18,"")</f>
        <v>1666</v>
      </c>
      <c r="G18" s="7" t="n">
        <f aca="false">IFERROR(INDEX(Prices!$C$6:$C$300,MATCH(B18,Prices!$A$6:$A$300,0)),"")</f>
        <v>1329</v>
      </c>
      <c r="H18" s="8" t="n">
        <f aca="false">IF(ISNUMBER(G18),D18*G18,0)</f>
        <v>159480</v>
      </c>
      <c r="I18" s="8" t="n">
        <f aca="false">H18-N(E18)</f>
        <v>-40440</v>
      </c>
      <c r="J18" s="9" t="n">
        <f aca="false">IF(N(E18)&gt;0,I18/E18,"")</f>
        <v>-0.202280912364946</v>
      </c>
      <c r="K18" s="9" t="n">
        <f aca="false">IF($H$37=0,"",H18/$H$37)</f>
        <v>0.0279392486537298</v>
      </c>
      <c r="L18" s="61" t="s">
        <v>203</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5883.5</v>
      </c>
      <c r="H19" s="8" t="n">
        <f aca="false">IF(ISNUMBER(G19),D19*G19,0)</f>
        <v>135320.5</v>
      </c>
      <c r="I19" s="8" t="n">
        <f aca="false">H19-N(E19)</f>
        <v>6780.5</v>
      </c>
      <c r="J19" s="9" t="n">
        <f aca="false">IF(N(E19)&gt;0,I19/E19,"")</f>
        <v>0.0527501166951922</v>
      </c>
      <c r="K19" s="9" t="n">
        <f aca="false">IF($H$37=0,"",H19/$H$37)</f>
        <v>0.023706753808923</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1395.7</v>
      </c>
      <c r="H20" s="8" t="n">
        <f aca="false">IF(ISNUMBER(G20),D20*G20,0)</f>
        <v>110260.3</v>
      </c>
      <c r="I20" s="8" t="n">
        <f aca="false">H20-N(E20)</f>
        <v>-13714.8</v>
      </c>
      <c r="J20" s="9" t="n">
        <f aca="false">IF(N(E20)&gt;0,I20/E20,"")</f>
        <v>-0.110625440108538</v>
      </c>
      <c r="K20" s="9" t="n">
        <f aca="false">IF($H$37=0,"",H20/$H$37)</f>
        <v>0.0193164656278834</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2847.8</v>
      </c>
      <c r="H21" s="8" t="n">
        <f aca="false">IF(ISNUMBER(G21),D21*G21,0)</f>
        <v>102520.8</v>
      </c>
      <c r="I21" s="8" t="n">
        <f aca="false">H21-N(E21)</f>
        <v>2213.40000000001</v>
      </c>
      <c r="J21" s="9" t="n">
        <f aca="false">IF(N(E21)&gt;0,I21/E21,"")</f>
        <v>0.0220661685977307</v>
      </c>
      <c r="K21" s="9" t="n">
        <f aca="false">IF($H$37=0,"",H21/$H$37)</f>
        <v>0.0179605851729327</v>
      </c>
      <c r="L21" s="61" t="s">
        <v>199</v>
      </c>
      <c r="Q21" s="62" t="s">
        <v>200</v>
      </c>
      <c r="R21" s="62" t="s">
        <v>201</v>
      </c>
      <c r="S21" s="62" t="s">
        <v>83</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4671.6</v>
      </c>
      <c r="H22" s="8" t="n">
        <f aca="false">IF(ISNUMBER(G22),D22*G22,0)</f>
        <v>93432</v>
      </c>
      <c r="I22" s="8" t="n">
        <f aca="false">H22-N(E22)</f>
        <v>-10428</v>
      </c>
      <c r="J22" s="9" t="n">
        <f aca="false">IF(N(E22)&gt;0,I22/E22,"")</f>
        <v>-0.100404390525708</v>
      </c>
      <c r="K22" s="9" t="n">
        <f aca="false">IF($H$37=0,"",H22/$H$37)</f>
        <v>0.0163683212955561</v>
      </c>
      <c r="L22" s="61" t="s">
        <v>204</v>
      </c>
      <c r="Q22" s="62" t="s">
        <v>200</v>
      </c>
      <c r="R22" s="62" t="s">
        <v>201</v>
      </c>
      <c r="S22" s="62" t="s">
        <v>82</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3153.9</v>
      </c>
      <c r="H23" s="8" t="n">
        <f aca="false">IF(ISNUMBER(G23),D23*G23,0)</f>
        <v>91463.1</v>
      </c>
      <c r="I23" s="8" t="n">
        <f aca="false">H23-N(E23)</f>
        <v>-14202.9</v>
      </c>
      <c r="J23" s="9" t="n">
        <f aca="false">IF(N(E23)&gt;0,I23/E23,"")</f>
        <v>-0.134413150871614</v>
      </c>
      <c r="K23" s="9" t="n">
        <f aca="false">IF($H$37=0,"",H23/$H$37)</f>
        <v>0.0160233903532791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2298.1</v>
      </c>
      <c r="H24" s="8" t="n">
        <f aca="false">IF(ISNUMBER(G24),D24*G24,0)</f>
        <v>75837.3</v>
      </c>
      <c r="I24" s="8" t="n">
        <f aca="false">H24-N(E24)</f>
        <v>-5630.89999999999</v>
      </c>
      <c r="J24" s="9" t="n">
        <f aca="false">IF(N(E24)&gt;0,I24/E24,"")</f>
        <v>-0.0691177661958899</v>
      </c>
      <c r="K24" s="9" t="n">
        <f aca="false">IF($H$37=0,"",H24/$H$37)</f>
        <v>0.0132859115997461</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804.05</v>
      </c>
      <c r="H25" s="8" t="n">
        <f aca="false">IF(ISNUMBER(G25),D25*G25,0)</f>
        <v>69952.35</v>
      </c>
      <c r="I25" s="8" t="n">
        <f aca="false">H25-N(E25)</f>
        <v>-1661.70000000001</v>
      </c>
      <c r="J25" s="9" t="n">
        <f aca="false">IF(N(E25)&gt;0,I25/E25,"")</f>
        <v>-0.0232035473486001</v>
      </c>
      <c r="K25" s="9" t="n">
        <f aca="false">IF($H$37=0,"",H25/$H$37)</f>
        <v>0.0122549291482489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51.15</v>
      </c>
      <c r="H26" s="8" t="n">
        <f aca="false">IF(ISNUMBER(G26),D26*G26,0)</f>
        <v>54628.2</v>
      </c>
      <c r="I26" s="8" t="n">
        <f aca="false">H26-N(E26)</f>
        <v>-4030.91</v>
      </c>
      <c r="J26" s="9" t="n">
        <f aca="false">IF(N(E26)&gt;0,I26/E26,"")</f>
        <v>-0.0687175444700747</v>
      </c>
      <c r="K26" s="9" t="n">
        <f aca="false">IF($H$37=0,"",H26/$H$37)</f>
        <v>0.00957029635882671</v>
      </c>
      <c r="L26" s="61" t="s">
        <v>199</v>
      </c>
    </row>
    <row r="27" customFormat="false" ht="15" hidden="false" customHeight="false" outlineLevel="0" collapsed="false">
      <c r="A27" s="5" t="n">
        <v>21</v>
      </c>
      <c r="B27" s="59" t="s">
        <v>105</v>
      </c>
      <c r="C27" s="5" t="s">
        <v>16</v>
      </c>
      <c r="D27" s="60" t="n">
        <v>22</v>
      </c>
      <c r="E27" s="57" t="n">
        <v>27683</v>
      </c>
      <c r="F27" s="8" t="n">
        <f aca="false">IF(AND(D27&gt;0,N(E27)&gt;0),E27/D27,"")</f>
        <v>1258.31818181818</v>
      </c>
      <c r="G27" s="7" t="n">
        <f aca="false">IFERROR(INDEX(Prices!$C$6:$C$300,MATCH(B27,Prices!$A$6:$A$300,0)),"")</f>
        <v>1178.4</v>
      </c>
      <c r="H27" s="8" t="n">
        <f aca="false">IF(ISNUMBER(G27),D27*G27,0)</f>
        <v>25924.8</v>
      </c>
      <c r="I27" s="8" t="n">
        <f aca="false">H27-N(E27)</f>
        <v>-1758.2</v>
      </c>
      <c r="J27" s="9" t="n">
        <f aca="false">IF(N(E27)&gt;0,I27/E27,"")</f>
        <v>-0.0635119026117111</v>
      </c>
      <c r="K27" s="9" t="n">
        <f aca="false">IF($H$37=0,"",H27/$H$37)</f>
        <v>0.00454175717016689</v>
      </c>
      <c r="L27" s="61"/>
    </row>
    <row r="28" customFormat="false" ht="15" hidden="false" customHeight="false" outlineLevel="0" collapsed="false">
      <c r="A28" s="5" t="n">
        <v>22</v>
      </c>
      <c r="B28" s="59" t="s">
        <v>100</v>
      </c>
      <c r="C28" s="5" t="s">
        <v>16</v>
      </c>
      <c r="D28" s="60" t="n">
        <v>24</v>
      </c>
      <c r="E28" s="57" t="n">
        <v>27036.1</v>
      </c>
      <c r="F28" s="8" t="n">
        <f aca="false">IF(AND(D28&gt;0,N(E28)&gt;0),E28/D28,"")</f>
        <v>1126.50416666667</v>
      </c>
      <c r="G28" s="7" t="n">
        <f aca="false">IFERROR(INDEX(Prices!$C$6:$C$300,MATCH(B28,Prices!$A$6:$A$300,0)),"")</f>
        <v>1063.4</v>
      </c>
      <c r="H28" s="8" t="n">
        <f aca="false">IF(ISNUMBER(G28),D28*G28,0)</f>
        <v>25521.6</v>
      </c>
      <c r="I28" s="8" t="n">
        <f aca="false">H28-N(E28)</f>
        <v>-1514.5</v>
      </c>
      <c r="J28" s="9" t="n">
        <f aca="false">IF(N(E28)&gt;0,I28/E28,"")</f>
        <v>-0.0560176948598354</v>
      </c>
      <c r="K28" s="9" t="n">
        <f aca="false">IF($H$37=0,"",H28/$H$37)</f>
        <v>0.00447112069501525</v>
      </c>
      <c r="L28" s="61" t="s">
        <v>199</v>
      </c>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64.25</v>
      </c>
      <c r="H29" s="8" t="n">
        <f aca="false">IF(ISNUMBER(G29),D29*G29,0)</f>
        <v>16062.5</v>
      </c>
      <c r="I29" s="8" t="n">
        <f aca="false">H29-N(E29)</f>
        <v>-3187.5</v>
      </c>
      <c r="J29" s="9" t="n">
        <f aca="false">IF(N(E29)&gt;0,I29/E29,"")</f>
        <v>-0.165584415584416</v>
      </c>
      <c r="K29" s="9" t="n">
        <f aca="false">IF($H$37=0,"",H29/$H$37)</f>
        <v>0.00281398408264695</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104.96</v>
      </c>
      <c r="H30" s="8" t="n">
        <f aca="false">IF(ISNUMBER(G30),D30*G30,0)</f>
        <v>15744</v>
      </c>
      <c r="I30" s="8" t="n">
        <f aca="false">H30-N(E30)</f>
        <v>-306.000000000002</v>
      </c>
      <c r="J30" s="9" t="n">
        <f aca="false">IF(N(E30)&gt;0,I30/E30,"")</f>
        <v>-0.0190654205607478</v>
      </c>
      <c r="K30" s="9" t="n">
        <f aca="false">IF($H$37=0,"",H30/$H$37)</f>
        <v>0.00275818617258793</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0.00260734786627452</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1961.4</v>
      </c>
      <c r="H32" s="8" t="n">
        <f aca="false">IF(ISNUMBER(G32),D32*G32,0)</f>
        <v>9807</v>
      </c>
      <c r="I32" s="8" t="n">
        <f aca="false">H32-N(E32)</f>
        <v>197</v>
      </c>
      <c r="J32" s="9" t="n">
        <f aca="false">IF(N(E32)&gt;0,I32/E32,"")</f>
        <v>0.0204994797086368</v>
      </c>
      <c r="K32" s="9" t="n">
        <f aca="false">IF($H$37=0,"",H32/$H$37)</f>
        <v>0.00171808509874046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183.38</v>
      </c>
      <c r="H33" s="8" t="n">
        <f aca="false">IF(ISNUMBER(G33),D33*G33,0)</f>
        <v>4584.5</v>
      </c>
      <c r="I33" s="8" t="n">
        <f aca="false">H33-N(E33)</f>
        <v>84.5</v>
      </c>
      <c r="J33" s="9" t="n">
        <f aca="false">IF(N(E33)&gt;0,I33/E33,"")</f>
        <v>0.0187777777777778</v>
      </c>
      <c r="K33" s="9" t="n">
        <f aca="false">IF($H$37=0,"",H33/$H$37)</f>
        <v>0.000803157044475949</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0.00060843312981531</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5708099.09659864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5708099.09659864</v>
      </c>
    </row>
    <row r="45" customFormat="false" ht="15" hidden="false" customHeight="false" outlineLevel="0" collapsed="false">
      <c r="B45" s="77" t="s">
        <v>214</v>
      </c>
      <c r="C45" s="78"/>
      <c r="D45" s="78"/>
      <c r="E45" s="79" t="n">
        <f aca="false">E44-E43</f>
        <v>-306344.903401361</v>
      </c>
      <c r="F45" s="81" t="n">
        <f aca="false">IF(E43&gt;0,E45/E43,"")</f>
        <v>-0.0509348666977963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925.8</v>
      </c>
      <c r="H7" s="8" t="n">
        <f aca="false">IF(ISNUMBER(G7),D7*G7,0)</f>
        <v>850810.2</v>
      </c>
      <c r="I7" s="8" t="n">
        <f aca="false">H7-N(E7)</f>
        <v>-119933.8</v>
      </c>
      <c r="J7" s="9" t="n">
        <f aca="false">IF(N(E7)&gt;0,I7/E7,"")</f>
        <v>-0.123548329940747</v>
      </c>
      <c r="K7" s="9" t="n">
        <f aca="false">IF($H$60=0,"",H7/$H$60)</f>
        <v>0.20959906124002</v>
      </c>
      <c r="L7" s="61"/>
      <c r="Q7" s="62" t="s">
        <v>219</v>
      </c>
      <c r="R7" s="62" t="s">
        <v>201</v>
      </c>
      <c r="S7" s="62" t="s">
        <v>94</v>
      </c>
      <c r="T7" s="62" t="n">
        <v>1</v>
      </c>
      <c r="U7" s="57" t="n">
        <v>1815</v>
      </c>
      <c r="V7" s="57" t="n">
        <v>1815</v>
      </c>
    </row>
    <row r="8" customFormat="false" ht="15" hidden="false" customHeight="false" outlineLevel="0" collapsed="false">
      <c r="A8" s="5" t="n">
        <v>2</v>
      </c>
      <c r="B8" s="59" t="s">
        <v>82</v>
      </c>
      <c r="C8" s="5" t="s">
        <v>218</v>
      </c>
      <c r="D8" s="60" t="n">
        <v>798</v>
      </c>
      <c r="E8" s="57" t="n">
        <v>380517</v>
      </c>
      <c r="F8" s="8" t="n">
        <f aca="false">IF(AND(D8&gt;0,N(E8)&gt;0),E8/D8,"")</f>
        <v>476.838345864662</v>
      </c>
      <c r="G8" s="7" t="n">
        <f aca="false">IFERROR(INDEX(Prices!$C$6:$C$300,MATCH(B8,Prices!$A$6:$A$300,0)),"")</f>
        <v>433.25</v>
      </c>
      <c r="H8" s="8" t="n">
        <f aca="false">IF(ISNUMBER(G8),D8*G8,0)</f>
        <v>345733.5</v>
      </c>
      <c r="I8" s="8" t="n">
        <f aca="false">H8-N(E8)</f>
        <v>-34783.5</v>
      </c>
      <c r="J8" s="9" t="n">
        <f aca="false">IF(N(E8)&gt;0,I8/E8,"")</f>
        <v>-0.0914111590283746</v>
      </c>
      <c r="K8" s="9" t="n">
        <f aca="false">IF($H$60=0,"",H8/$H$60)</f>
        <v>0.0851722476284679</v>
      </c>
      <c r="L8" s="61"/>
      <c r="Q8" s="62" t="s">
        <v>219</v>
      </c>
      <c r="R8" s="62" t="s">
        <v>205</v>
      </c>
      <c r="S8" s="62" t="s">
        <v>220</v>
      </c>
      <c r="T8" s="62" t="n">
        <v>33</v>
      </c>
      <c r="U8" s="57" t="n">
        <v>700</v>
      </c>
      <c r="V8" s="57" t="n">
        <v>23100</v>
      </c>
    </row>
    <row r="9" customFormat="false" ht="15" hidden="false" customHeight="false" outlineLevel="0" collapsed="false">
      <c r="A9" s="5" t="n">
        <v>3</v>
      </c>
      <c r="B9" s="59" t="s">
        <v>80</v>
      </c>
      <c r="C9" s="5" t="s">
        <v>218</v>
      </c>
      <c r="D9" s="60" t="n">
        <v>59</v>
      </c>
      <c r="E9" s="57" t="n">
        <v>260559</v>
      </c>
      <c r="F9" s="8" t="n">
        <f aca="false">IF(AND(D9&gt;0,N(E9)&gt;0),E9/D9,"")</f>
        <v>4416.25423728814</v>
      </c>
      <c r="G9" s="7" t="n">
        <f aca="false">IFERROR(INDEX(Prices!$C$6:$C$300,MATCH(B9,Prices!$A$6:$A$300,0)),"")</f>
        <v>4402.7</v>
      </c>
      <c r="H9" s="8" t="n">
        <f aca="false">IF(ISNUMBER(G9),D9*G9,0)</f>
        <v>259759.3</v>
      </c>
      <c r="I9" s="8" t="n">
        <f aca="false">H9-N(E9)</f>
        <v>-799.700000000012</v>
      </c>
      <c r="J9" s="9" t="n">
        <f aca="false">IF(N(E9)&gt;0,I9/E9,"")</f>
        <v>-0.00306917051416382</v>
      </c>
      <c r="K9" s="9" t="n">
        <f aca="false">IF($H$60=0,"",H9/$H$60)</f>
        <v>0.0639923045449674</v>
      </c>
      <c r="L9" s="61"/>
      <c r="Q9" s="62" t="s">
        <v>219</v>
      </c>
      <c r="R9" s="62" t="s">
        <v>201</v>
      </c>
      <c r="S9" s="62" t="s">
        <v>101</v>
      </c>
      <c r="T9" s="62" t="n">
        <v>1</v>
      </c>
      <c r="U9" s="57" t="n">
        <v>3820</v>
      </c>
      <c r="V9" s="57" t="n">
        <v>3820</v>
      </c>
    </row>
    <row r="10" customFormat="false" ht="15" hidden="false" customHeight="false" outlineLevel="0" collapsed="false">
      <c r="A10" s="5" t="n">
        <v>4</v>
      </c>
      <c r="B10" s="59" t="s">
        <v>83</v>
      </c>
      <c r="C10" s="5" t="s">
        <v>218</v>
      </c>
      <c r="D10" s="60" t="n">
        <v>379</v>
      </c>
      <c r="E10" s="57" t="n">
        <v>281511</v>
      </c>
      <c r="F10" s="8" t="n">
        <f aca="false">IF(AND(D10&gt;0,N(E10)&gt;0),E10/D10,"")</f>
        <v>742.77308707124</v>
      </c>
      <c r="G10" s="7" t="n">
        <f aca="false">IFERROR(INDEX(Prices!$C$6:$C$300,MATCH(B10,Prices!$A$6:$A$300,0)),"")</f>
        <v>684.6</v>
      </c>
      <c r="H10" s="8" t="n">
        <f aca="false">IF(ISNUMBER(G10),D10*G10,0)</f>
        <v>259463.4</v>
      </c>
      <c r="I10" s="8" t="n">
        <f aca="false">H10-N(E10)</f>
        <v>-22047.6</v>
      </c>
      <c r="J10" s="9" t="n">
        <f aca="false">IF(N(E10)&gt;0,I10/E10,"")</f>
        <v>-0.0783187868324861</v>
      </c>
      <c r="K10" s="9" t="n">
        <f aca="false">IF($H$60=0,"",H10/$H$60)</f>
        <v>0.0639194088953608</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240</v>
      </c>
      <c r="H11" s="8" t="n">
        <f aca="false">IF(ISNUMBER(G11),D11*G11,0)</f>
        <v>192000</v>
      </c>
      <c r="I11" s="8" t="n">
        <f aca="false">H11-N(E11)</f>
        <v>11754</v>
      </c>
      <c r="J11" s="9" t="n">
        <f aca="false">IF(N(E11)&gt;0,I11/E11,"")</f>
        <v>0.0652108784660963</v>
      </c>
      <c r="K11" s="9" t="n">
        <f aca="false">IF($H$60=0,"",H11/$H$60)</f>
        <v>0.0472996442192204</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1175</v>
      </c>
      <c r="H12" s="8" t="n">
        <f aca="false">IF(ISNUMBER(G12),D12*G12,0)</f>
        <v>179775</v>
      </c>
      <c r="I12" s="8" t="n">
        <f aca="false">H12-N(E12)</f>
        <v>-28165</v>
      </c>
      <c r="J12" s="9" t="n">
        <f aca="false">IF(N(E12)&gt;0,I12/E12,"")</f>
        <v>-0.135447725305377</v>
      </c>
      <c r="K12" s="9" t="n">
        <f aca="false">IF($H$60=0,"",H12/$H$60)</f>
        <v>0.0442879871849497</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1329</v>
      </c>
      <c r="H13" s="8" t="n">
        <f aca="false">IF(ISNUMBER(G13),D13*G13,0)</f>
        <v>159480</v>
      </c>
      <c r="I13" s="8" t="n">
        <f aca="false">H13-N(E13)</f>
        <v>-9784</v>
      </c>
      <c r="J13" s="9" t="n">
        <f aca="false">IF(N(E13)&gt;0,I13/E13,"")</f>
        <v>-0.0578031950089801</v>
      </c>
      <c r="K13" s="9" t="n">
        <f aca="false">IF($H$60=0,"",H13/$H$60)</f>
        <v>0.0392882669795899</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78.1</v>
      </c>
      <c r="H14" s="8" t="n">
        <f aca="false">IF(ISNUMBER(G14),D14*G14,0)</f>
        <v>146906.1</v>
      </c>
      <c r="I14" s="8" t="n">
        <f aca="false">H14-N(E14)</f>
        <v>-38843.9</v>
      </c>
      <c r="J14" s="9" t="n">
        <f aca="false">IF(N(E14)&gt;0,I14/E14,"")</f>
        <v>-0.209119246298789</v>
      </c>
      <c r="K14" s="9" t="n">
        <f aca="false">IF($H$60=0,"",H14/$H$60)</f>
        <v>0.0361906576230897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4199</v>
      </c>
      <c r="H15" s="8" t="n">
        <f aca="false">IF(ISNUMBER(G15),D15*G15,0)</f>
        <v>113373</v>
      </c>
      <c r="I15" s="8" t="n">
        <f aca="false">H15-N(E15)</f>
        <v>16581</v>
      </c>
      <c r="J15" s="9" t="n">
        <f aca="false">IF(N(E15)&gt;0,I15/E15,"")</f>
        <v>0.171305479791718</v>
      </c>
      <c r="K15" s="9" t="n">
        <f aca="false">IF($H$60=0,"",H15/$H$60)</f>
        <v>0.0279297008545087</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5883.5</v>
      </c>
      <c r="H16" s="8" t="n">
        <f aca="false">IF(ISNUMBER(G16),D16*G16,0)</f>
        <v>105903</v>
      </c>
      <c r="I16" s="8" t="n">
        <f aca="false">H16-N(E16)</f>
        <v>13783</v>
      </c>
      <c r="J16" s="9" t="n">
        <f aca="false">IF(N(E16)&gt;0,I16/E16,"")</f>
        <v>0.149620060790274</v>
      </c>
      <c r="K16" s="9" t="n">
        <f aca="false">IF($H$60=0,"",H16/$H$60)</f>
        <v>0.0260894490716047</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51.15</v>
      </c>
      <c r="H17" s="8" t="n">
        <f aca="false">IF(ISNUMBER(G17),D17*G17,0)</f>
        <v>103834.5</v>
      </c>
      <c r="I17" s="8" t="n">
        <f aca="false">H17-N(E17)</f>
        <v>35201.5</v>
      </c>
      <c r="J17" s="9" t="n">
        <f aca="false">IF(N(E17)&gt;0,I17/E17,"")</f>
        <v>0.512894671659406</v>
      </c>
      <c r="K17" s="9" t="n">
        <f aca="false">IF($H$60=0,"",H17/$H$60)</f>
        <v>0.0255798693108367</v>
      </c>
      <c r="L17" s="61"/>
      <c r="Q17" s="62" t="s">
        <v>219</v>
      </c>
      <c r="R17" s="62" t="s">
        <v>201</v>
      </c>
      <c r="S17" s="62" t="s">
        <v>120</v>
      </c>
      <c r="T17" s="62" t="n">
        <v>6</v>
      </c>
      <c r="U17" s="57" t="n">
        <v>1354.67</v>
      </c>
      <c r="V17" s="57" t="n">
        <v>8128</v>
      </c>
    </row>
    <row r="18" customFormat="false" ht="15" hidden="false" customHeight="false" outlineLevel="0" collapsed="false">
      <c r="A18" s="5" t="n">
        <v>12</v>
      </c>
      <c r="B18" s="59" t="s">
        <v>91</v>
      </c>
      <c r="C18" s="5" t="s">
        <v>218</v>
      </c>
      <c r="D18" s="60" t="n">
        <v>23</v>
      </c>
      <c r="E18" s="57" t="n">
        <v>85943</v>
      </c>
      <c r="F18" s="8" t="n">
        <f aca="false">IF(AND(D18&gt;0,N(E18)&gt;0),E18/D18,"")</f>
        <v>3736.65217391304</v>
      </c>
      <c r="G18" s="7" t="n">
        <f aca="false">IFERROR(INDEX(Prices!$C$6:$C$300,MATCH(B18,Prices!$A$6:$A$300,0)),"")</f>
        <v>3794.1</v>
      </c>
      <c r="H18" s="8" t="n">
        <f aca="false">IF(ISNUMBER(G18),D18*G18,0)</f>
        <v>87264.3</v>
      </c>
      <c r="I18" s="8" t="n">
        <f aca="false">H18-N(E18)</f>
        <v>1321.3</v>
      </c>
      <c r="J18" s="9" t="n">
        <f aca="false">IF(N(E18)&gt;0,I18/E18,"")</f>
        <v>0.0153741433275543</v>
      </c>
      <c r="K18" s="9" t="n">
        <f aca="false">IF($H$60=0,"",H18/$H$60)</f>
        <v>0.0214977622033298</v>
      </c>
      <c r="L18" s="61"/>
      <c r="Q18" s="62" t="s">
        <v>219</v>
      </c>
      <c r="R18" s="62" t="s">
        <v>201</v>
      </c>
      <c r="S18" s="62" t="s">
        <v>109</v>
      </c>
      <c r="T18" s="62" t="n">
        <v>17</v>
      </c>
      <c r="U18" s="57" t="n">
        <v>1289.24</v>
      </c>
      <c r="V18" s="57" t="n">
        <v>21917</v>
      </c>
    </row>
    <row r="19" customFormat="false" ht="15" hidden="false" customHeight="false" outlineLevel="0" collapsed="false">
      <c r="A19" s="5" t="n">
        <v>13</v>
      </c>
      <c r="B19" s="5" t="s">
        <v>107</v>
      </c>
      <c r="C19" s="5" t="s">
        <v>16</v>
      </c>
      <c r="D19" s="60" t="n">
        <v>416</v>
      </c>
      <c r="E19" s="57" t="n">
        <v>104362</v>
      </c>
      <c r="F19" s="8" t="n">
        <f aca="false">IF(AND(D19&gt;0,N(E19)&gt;0),E19/D19,"")</f>
        <v>250.870192307692</v>
      </c>
      <c r="G19" s="7" t="n">
        <f aca="false">IFERROR(INDEX(Prices!$C$6:$C$300,MATCH(B19,Prices!$A$6:$A$300,0)),"")</f>
        <v>206.43</v>
      </c>
      <c r="H19" s="8" t="n">
        <f aca="false">IF(ISNUMBER(G19),D19*G19,0)</f>
        <v>85874.88</v>
      </c>
      <c r="I19" s="8" t="n">
        <f aca="false">H19-N(E19)</f>
        <v>-18487.12</v>
      </c>
      <c r="J19" s="9" t="n">
        <f aca="false">IF(N(E19)&gt;0,I19/E19,"")</f>
        <v>-0.177144171250072</v>
      </c>
      <c r="K19" s="9" t="n">
        <f aca="false">IF($H$60=0,"",H19/$H$60)</f>
        <v>0.0211554753717096</v>
      </c>
      <c r="L19" s="61"/>
      <c r="Q19" s="62" t="s">
        <v>219</v>
      </c>
      <c r="R19" s="62" t="s">
        <v>201</v>
      </c>
      <c r="S19" s="62" t="s">
        <v>83</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1409.3</v>
      </c>
      <c r="H20" s="8" t="n">
        <f aca="false">IF(ISNUMBER(G20),D20*G20,0)</f>
        <v>70465</v>
      </c>
      <c r="I20" s="8" t="n">
        <f aca="false">H20-N(E20)</f>
        <v>1325</v>
      </c>
      <c r="J20" s="9" t="n">
        <f aca="false">IF(N(E20)&gt;0,I20/E20,"")</f>
        <v>0.0191640150419439</v>
      </c>
      <c r="K20" s="9" t="n">
        <f aca="false">IF($H$60=0,"",H20/$H$60)</f>
        <v>0.0173592157807675</v>
      </c>
      <c r="L20" s="61"/>
      <c r="Q20" s="62" t="s">
        <v>219</v>
      </c>
      <c r="R20" s="62" t="s">
        <v>201</v>
      </c>
      <c r="S20" s="62" t="s">
        <v>115</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7244</v>
      </c>
      <c r="H21" s="8" t="n">
        <f aca="false">IF(ISNUMBER(G21),D21*G21,0)</f>
        <v>65196</v>
      </c>
      <c r="I21" s="8" t="n">
        <f aca="false">H21-N(E21)</f>
        <v>-7076</v>
      </c>
      <c r="J21" s="9" t="n">
        <f aca="false">IF(N(E21)&gt;0,I21/E21,"")</f>
        <v>-0.0979079034757582</v>
      </c>
      <c r="K21" s="9" t="n">
        <f aca="false">IF($H$60=0,"",H21/$H$60)</f>
        <v>0.016061185440189</v>
      </c>
      <c r="L21" s="61"/>
      <c r="Q21" s="62" t="s">
        <v>219</v>
      </c>
      <c r="R21" s="62" t="s">
        <v>201</v>
      </c>
      <c r="S21" s="62" t="s">
        <v>107</v>
      </c>
      <c r="T21" s="62" t="n">
        <v>42</v>
      </c>
      <c r="U21" s="57" t="n">
        <v>223</v>
      </c>
      <c r="V21" s="57" t="n">
        <v>9366</v>
      </c>
    </row>
    <row r="22" customFormat="false" ht="15" hidden="false" customHeight="false" outlineLevel="0" collapsed="false">
      <c r="A22" s="5" t="n">
        <v>16</v>
      </c>
      <c r="B22" s="59" t="s">
        <v>85</v>
      </c>
      <c r="C22" s="5" t="s">
        <v>218</v>
      </c>
      <c r="D22" s="60" t="n">
        <v>26</v>
      </c>
      <c r="E22" s="57" t="n">
        <v>60830</v>
      </c>
      <c r="F22" s="8" t="n">
        <f aca="false">IF(AND(D22&gt;0,N(E22)&gt;0),E22/D22,"")</f>
        <v>2339.61538461538</v>
      </c>
      <c r="G22" s="7" t="n">
        <f aca="false">IFERROR(INDEX(Prices!$C$6:$C$300,MATCH(B22,Prices!$A$6:$A$300,0)),"")</f>
        <v>2479</v>
      </c>
      <c r="H22" s="8" t="n">
        <f aca="false">IF(ISNUMBER(G22),D22*G22,0)</f>
        <v>64454</v>
      </c>
      <c r="I22" s="8" t="n">
        <f aca="false">H22-N(E22)</f>
        <v>3624</v>
      </c>
      <c r="J22" s="9" t="n">
        <f aca="false">IF(N(E22)&gt;0,I22/E22,"")</f>
        <v>0.0595758671708039</v>
      </c>
      <c r="K22" s="9" t="n">
        <f aca="false">IF($H$60=0,"",H22/$H$60)</f>
        <v>0.0158783920234668</v>
      </c>
      <c r="L22" s="61"/>
      <c r="Q22" s="62" t="s">
        <v>219</v>
      </c>
      <c r="R22" s="62" t="s">
        <v>201</v>
      </c>
      <c r="S22" s="62" t="s">
        <v>88</v>
      </c>
      <c r="T22" s="62" t="n">
        <v>3</v>
      </c>
      <c r="U22" s="57" t="n">
        <v>3656</v>
      </c>
      <c r="V22" s="57" t="n">
        <v>10968</v>
      </c>
    </row>
    <row r="23" customFormat="false" ht="15" hidden="false" customHeight="false" outlineLevel="0" collapsed="false">
      <c r="A23" s="5" t="n">
        <v>17</v>
      </c>
      <c r="B23" s="59" t="s">
        <v>94</v>
      </c>
      <c r="C23" s="5" t="s">
        <v>218</v>
      </c>
      <c r="D23" s="60" t="n">
        <v>46</v>
      </c>
      <c r="E23" s="57" t="n">
        <v>76729</v>
      </c>
      <c r="F23" s="8" t="n">
        <f aca="false">IF(AND(D23&gt;0,N(E23)&gt;0),E23/D23,"")</f>
        <v>1668.02173913043</v>
      </c>
      <c r="G23" s="7" t="n">
        <f aca="false">IFERROR(INDEX(Prices!$C$6:$C$300,MATCH(B23,Prices!$A$6:$A$300,0)),"")</f>
        <v>1395.7</v>
      </c>
      <c r="H23" s="8" t="n">
        <f aca="false">IF(ISNUMBER(G23),D23*G23,0)</f>
        <v>64202.2</v>
      </c>
      <c r="I23" s="8" t="n">
        <f aca="false">H23-N(E23)</f>
        <v>-12526.8</v>
      </c>
      <c r="J23" s="9" t="n">
        <f aca="false">IF(N(E23)&gt;0,I23/E23,"")</f>
        <v>-0.163260305751411</v>
      </c>
      <c r="K23" s="9" t="n">
        <f aca="false">IF($H$60=0,"",H23/$H$60)</f>
        <v>0.0158163605108918</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1178.4</v>
      </c>
      <c r="H24" s="8" t="n">
        <f aca="false">IF(ISNUMBER(G24),D24*G24,0)</f>
        <v>62455.2</v>
      </c>
      <c r="I24" s="8" t="n">
        <f aca="false">H24-N(E24)</f>
        <v>-4520.8</v>
      </c>
      <c r="J24" s="9" t="n">
        <f aca="false">IF(N(E24)&gt;0,I24/E24,"")</f>
        <v>-0.0674988055422837</v>
      </c>
      <c r="K24" s="9" t="n">
        <f aca="false">IF($H$60=0,"",H24/$H$60)</f>
        <v>0.0153859830189597</v>
      </c>
      <c r="L24" s="61"/>
      <c r="Q24" s="62" t="s">
        <v>219</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481.15</v>
      </c>
      <c r="H25" s="8" t="n">
        <f aca="false">IF(ISNUMBER(G25),D25*G25,0)</f>
        <v>61106.05</v>
      </c>
      <c r="I25" s="8" t="n">
        <f aca="false">H25-N(E25)</f>
        <v>-15882.95</v>
      </c>
      <c r="J25" s="9" t="n">
        <f aca="false">IF(N(E25)&gt;0,I25/E25,"")</f>
        <v>-0.206301549572017</v>
      </c>
      <c r="K25" s="9" t="n">
        <f aca="false">IF($H$60=0,"",H25/$H$60)</f>
        <v>0.0150536167950099</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2847.8</v>
      </c>
      <c r="H26" s="8" t="n">
        <f aca="false">IF(ISNUMBER(G26),D26*G26,0)</f>
        <v>56956</v>
      </c>
      <c r="I26" s="8" t="n">
        <f aca="false">H26-N(E26)</f>
        <v>-3227</v>
      </c>
      <c r="J26" s="9" t="n">
        <f aca="false">IF(N(E26)&gt;0,I26/E26,"")</f>
        <v>-0.0536197929647907</v>
      </c>
      <c r="K26" s="9" t="n">
        <f aca="false">IF($H$60=0,"",H26/$H$60)</f>
        <v>0.0140312423757808</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4089.2</v>
      </c>
      <c r="H27" s="8" t="n">
        <f aca="false">IF(ISNUMBER(G27),D27*G27,0)</f>
        <v>49070.4</v>
      </c>
      <c r="I27" s="8" t="n">
        <f aca="false">H27-N(E27)</f>
        <v>-7547.60000000001</v>
      </c>
      <c r="J27" s="9" t="n">
        <f aca="false">IF(N(E27)&gt;0,I27/E27,"")</f>
        <v>-0.133307428732912</v>
      </c>
      <c r="K27" s="9" t="n">
        <f aca="false">IF($H$60=0,"",H27/$H$60)</f>
        <v>0.0120886065713273</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117.77</v>
      </c>
      <c r="H28" s="8" t="n">
        <f aca="false">IF(ISNUMBER(G28),D28*G28,0)</f>
        <v>48992.32</v>
      </c>
      <c r="I28" s="8" t="n">
        <f aca="false">H28-N(E28)</f>
        <v>-24243.68</v>
      </c>
      <c r="J28" s="9" t="n">
        <f aca="false">IF(N(E28)&gt;0,I28/E28,"")</f>
        <v>-0.33103501010432</v>
      </c>
      <c r="K28" s="9" t="n">
        <f aca="false">IF($H$60=0,"",H28/$H$60)</f>
        <v>0.0120693713826781</v>
      </c>
      <c r="L28" s="61"/>
      <c r="Q28" s="62" t="s">
        <v>219</v>
      </c>
      <c r="R28" s="62" t="s">
        <v>201</v>
      </c>
      <c r="S28" s="62" t="s">
        <v>82</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3153.9</v>
      </c>
      <c r="H29" s="8" t="n">
        <f aca="false">IF(ISNUMBER(G29),D29*G29,0)</f>
        <v>44154.6</v>
      </c>
      <c r="I29" s="8" t="n">
        <f aca="false">H29-N(E29)</f>
        <v>-11487.4</v>
      </c>
      <c r="J29" s="9" t="n">
        <f aca="false">IF(N(E29)&gt;0,I29/E29,"")</f>
        <v>-0.206451960749074</v>
      </c>
      <c r="K29" s="9" t="n">
        <f aca="false">IF($H$60=0,"",H29/$H$60)</f>
        <v>0.010877587867927</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532.2</v>
      </c>
      <c r="H30" s="8" t="n">
        <f aca="false">IF(ISNUMBER(G30),D30*G30,0)</f>
        <v>42576</v>
      </c>
      <c r="I30" s="8" t="n">
        <f aca="false">H30-N(E30)</f>
        <v>-10735</v>
      </c>
      <c r="J30" s="9" t="n">
        <f aca="false">IF(N(E30)&gt;0,I30/E30,"")</f>
        <v>-0.201365571833205</v>
      </c>
      <c r="K30" s="9" t="n">
        <f aca="false">IF($H$60=0,"",H30/$H$60)</f>
        <v>0.0104886961056121</v>
      </c>
      <c r="L30" s="61"/>
      <c r="Q30" s="62" t="s">
        <v>219</v>
      </c>
      <c r="R30" s="62" t="s">
        <v>201</v>
      </c>
      <c r="S30" s="62" t="s">
        <v>145</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378.95</v>
      </c>
      <c r="H31" s="8" t="n">
        <f aca="false">IF(ISNUMBER(G31),D31*G31,0)</f>
        <v>42063.45</v>
      </c>
      <c r="I31" s="8" t="n">
        <f aca="false">H31-N(E31)</f>
        <v>-3490.55</v>
      </c>
      <c r="J31" s="9" t="n">
        <f aca="false">IF(N(E31)&gt;0,I31/E31,"")</f>
        <v>-0.0766244457127805</v>
      </c>
      <c r="K31" s="9" t="n">
        <f aca="false">IF($H$60=0,"",H31/$H$60)</f>
        <v>0.010362428227255</v>
      </c>
      <c r="L31" s="61"/>
      <c r="Q31" s="62" t="s">
        <v>219</v>
      </c>
      <c r="R31" s="62" t="s">
        <v>201</v>
      </c>
      <c r="S31" s="62" t="s">
        <v>135</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1620.2</v>
      </c>
      <c r="H32" s="8" t="n">
        <f aca="false">IF(ISNUMBER(G32),D32*G32,0)</f>
        <v>40505</v>
      </c>
      <c r="I32" s="8" t="n">
        <f aca="false">H32-N(E32)</f>
        <v>5454</v>
      </c>
      <c r="J32" s="9" t="n">
        <f aca="false">IF(N(E32)&gt;0,I32/E32,"")</f>
        <v>0.155601837322758</v>
      </c>
      <c r="K32" s="9" t="n">
        <f aca="false">IF($H$60=0,"",H32/$H$60)</f>
        <v>0.00997850046406001</v>
      </c>
      <c r="L32" s="61"/>
      <c r="Q32" s="62" t="s">
        <v>219</v>
      </c>
      <c r="R32" s="62" t="s">
        <v>201</v>
      </c>
      <c r="S32" s="62" t="s">
        <v>85</v>
      </c>
      <c r="T32" s="62" t="n">
        <v>13</v>
      </c>
      <c r="U32" s="57" t="n">
        <v>2283.23</v>
      </c>
      <c r="V32" s="57" t="n">
        <v>29682</v>
      </c>
    </row>
    <row r="33" customFormat="false" ht="15" hidden="false" customHeight="false" outlineLevel="0" collapsed="false">
      <c r="A33" s="5" t="n">
        <v>27</v>
      </c>
      <c r="B33" s="5" t="s">
        <v>122</v>
      </c>
      <c r="C33" s="5" t="s">
        <v>16</v>
      </c>
      <c r="D33" s="60" t="n">
        <v>230</v>
      </c>
      <c r="E33" s="57" t="n">
        <v>64328</v>
      </c>
      <c r="F33" s="8" t="n">
        <f aca="false">IF(AND(D33&gt;0,N(E33)&gt;0),E33/D33,"")</f>
        <v>279.686956521739</v>
      </c>
      <c r="G33" s="7" t="n">
        <f aca="false">IFERROR(INDEX(Prices!$C$6:$C$300,MATCH(B33,Prices!$A$6:$A$300,0)),"")</f>
        <v>153.24</v>
      </c>
      <c r="H33" s="8" t="n">
        <f aca="false">IF(ISNUMBER(G33),D33*G33,0)</f>
        <v>35245.2</v>
      </c>
      <c r="I33" s="8" t="n">
        <f aca="false">H33-N(E33)</f>
        <v>-29082.8</v>
      </c>
      <c r="J33" s="9" t="n">
        <f aca="false">IF(N(E33)&gt;0,I33/E33,"")</f>
        <v>-0.452101728640716</v>
      </c>
      <c r="K33" s="9" t="n">
        <f aca="false">IF($H$60=0,"",H33/$H$60)</f>
        <v>0.00868273656476702</v>
      </c>
      <c r="L33" s="61"/>
      <c r="Q33" s="62" t="s">
        <v>219</v>
      </c>
      <c r="R33" s="62" t="s">
        <v>201</v>
      </c>
      <c r="S33" s="62" t="s">
        <v>91</v>
      </c>
      <c r="T33" s="62" t="n">
        <v>3</v>
      </c>
      <c r="U33" s="57" t="n">
        <v>3741</v>
      </c>
      <c r="V33" s="57" t="n">
        <v>11223</v>
      </c>
    </row>
    <row r="34" customFormat="false" ht="15" hidden="false" customHeight="false" outlineLevel="0" collapsed="false">
      <c r="A34" s="5" t="n">
        <v>28</v>
      </c>
      <c r="B34" s="59" t="s">
        <v>115</v>
      </c>
      <c r="C34" s="5" t="s">
        <v>16</v>
      </c>
      <c r="D34" s="60" t="n">
        <v>294</v>
      </c>
      <c r="E34" s="57" t="n">
        <v>37444</v>
      </c>
      <c r="F34" s="8" t="n">
        <f aca="false">IF(AND(D34&gt;0,N(E34)&gt;0),E34/D34,"")</f>
        <v>127.360544217687</v>
      </c>
      <c r="G34" s="7" t="n">
        <f aca="false">IFERROR(INDEX(Prices!$C$6:$C$300,MATCH(B34,Prices!$A$6:$A$300,0)),"")</f>
        <v>119.758503401361</v>
      </c>
      <c r="H34" s="8" t="n">
        <f aca="false">IF(ISNUMBER(G34),D34*G34,0)</f>
        <v>35209</v>
      </c>
      <c r="I34" s="8" t="n">
        <f aca="false">H34-N(E34)</f>
        <v>-2235.00000000001</v>
      </c>
      <c r="J34" s="9" t="n">
        <f aca="false">IF(N(E34)&gt;0,I34/E34,"")</f>
        <v>-0.0596891357760927</v>
      </c>
      <c r="K34" s="9" t="n">
        <f aca="false">IF($H$60=0,"",H34/$H$60)</f>
        <v>0.00867381861101318</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827</v>
      </c>
      <c r="H35" s="8" t="n">
        <f aca="false">IF(ISNUMBER(G35),D35*G35,0)</f>
        <v>33080</v>
      </c>
      <c r="I35" s="8" t="n">
        <f aca="false">H35-N(E35)</f>
        <v>-8454</v>
      </c>
      <c r="J35" s="9" t="n">
        <f aca="false">IF(N(E35)&gt;0,I35/E35,"")</f>
        <v>-0.203544084364617</v>
      </c>
      <c r="K35" s="9" t="n">
        <f aca="false">IF($H$60=0,"",H35/$H$60)</f>
        <v>0.00814933453526985</v>
      </c>
      <c r="L35" s="61"/>
      <c r="Q35" s="62" t="s">
        <v>219</v>
      </c>
      <c r="R35" s="62" t="s">
        <v>201</v>
      </c>
      <c r="S35" s="62" t="s">
        <v>114</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29.15</v>
      </c>
      <c r="H36" s="8" t="n">
        <f aca="false">IF(ISNUMBER(G36),D36*G36,0)</f>
        <v>31248.8</v>
      </c>
      <c r="I36" s="8" t="n">
        <f aca="false">H36-N(E36)</f>
        <v>-14899.2</v>
      </c>
      <c r="J36" s="9" t="n">
        <f aca="false">IF(N(E36)&gt;0,I36/E36,"")</f>
        <v>-0.322856895206726</v>
      </c>
      <c r="K36" s="9" t="n">
        <f aca="false">IF($H$60=0,"",H36/$H$60)</f>
        <v>0.00769821417852903</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110</v>
      </c>
      <c r="E37" s="57" t="n">
        <v>30362</v>
      </c>
      <c r="F37" s="8" t="n">
        <f aca="false">IF(AND(D37&gt;0,N(E37)&gt;0),E37/D37,"")</f>
        <v>276.018181818182</v>
      </c>
      <c r="G37" s="7" t="n">
        <f aca="false">IFERROR(INDEX(Prices!$C$6:$C$300,MATCH(B37,Prices!$A$6:$A$300,0)),"")</f>
        <v>212.75</v>
      </c>
      <c r="H37" s="8" t="n">
        <f aca="false">IF(ISNUMBER(G37),D37*G37,0)</f>
        <v>23402.5</v>
      </c>
      <c r="I37" s="8" t="n">
        <f aca="false">H37-N(E37)</f>
        <v>-6959.5</v>
      </c>
      <c r="J37" s="9" t="n">
        <f aca="false">IF(N(E37)&gt;0,I37/E37,"")</f>
        <v>-0.229217442856202</v>
      </c>
      <c r="K37" s="9" t="n">
        <f aca="false">IF($H$60=0,"",H37/$H$60)</f>
        <v>0.00576526002000159</v>
      </c>
      <c r="L37" s="61" t="s">
        <v>225</v>
      </c>
    </row>
    <row r="38" customFormat="false" ht="15" hidden="false" customHeight="false" outlineLevel="0" collapsed="false">
      <c r="A38" s="5" t="n">
        <v>32</v>
      </c>
      <c r="B38" s="5" t="s">
        <v>127</v>
      </c>
      <c r="C38" s="5" t="s">
        <v>221</v>
      </c>
      <c r="D38" s="60" t="n">
        <v>166</v>
      </c>
      <c r="E38" s="57" t="n">
        <v>33939</v>
      </c>
      <c r="F38" s="8" t="n">
        <f aca="false">IF(AND(D38&gt;0,N(E38)&gt;0),E38/D38,"")</f>
        <v>204.451807228916</v>
      </c>
      <c r="G38" s="7" t="n">
        <f aca="false">IFERROR(INDEX(Prices!$C$6:$C$300,MATCH(B38,Prices!$A$6:$A$300,0)),"")</f>
        <v>140.18</v>
      </c>
      <c r="H38" s="8" t="n">
        <f aca="false">IF(ISNUMBER(G38),D38*G38,0)</f>
        <v>23269.88</v>
      </c>
      <c r="I38" s="8" t="n">
        <f aca="false">H38-N(E38)</f>
        <v>-10669.12</v>
      </c>
      <c r="J38" s="9" t="n">
        <f aca="false">IF(N(E38)&gt;0,I38/E38,"")</f>
        <v>-0.314361648840567</v>
      </c>
      <c r="K38" s="9" t="n">
        <f aca="false">IF($H$60=0,"",H38/$H$60)</f>
        <v>0.00573258877616642</v>
      </c>
      <c r="L38" s="61"/>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197.45</v>
      </c>
      <c r="H39" s="8" t="n">
        <f aca="false">IF(ISNUMBER(G39),D39*G39,0)</f>
        <v>22904.2</v>
      </c>
      <c r="I39" s="8" t="n">
        <f aca="false">H39-N(E39)</f>
        <v>-6810.8</v>
      </c>
      <c r="J39" s="9" t="n">
        <f aca="false">IF(N(E39)&gt;0,I39/E39,"")</f>
        <v>-0.229204105670537</v>
      </c>
      <c r="K39" s="9" t="n">
        <f aca="false">IF($H$60=0,"",H39/$H$60)</f>
        <v>0.0056425026621139</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75.11</v>
      </c>
      <c r="H40" s="8" t="n">
        <f aca="false">IF(ISNUMBER(G40),D40*G40,0)</f>
        <v>22683.22</v>
      </c>
      <c r="I40" s="8" t="n">
        <f aca="false">H40-N(E40)</f>
        <v>-25198.78</v>
      </c>
      <c r="J40" s="9" t="n">
        <f aca="false">IF(N(E40)&gt;0,I40/E40,"")</f>
        <v>-0.52626832630216</v>
      </c>
      <c r="K40" s="9" t="n">
        <f aca="false">IF($H$60=0,"",H40/$H$60)</f>
        <v>0.00558806372784534</v>
      </c>
      <c r="L40" s="61"/>
    </row>
    <row r="41" customFormat="false" ht="15" hidden="false" customHeight="false" outlineLevel="0" collapsed="false">
      <c r="A41" s="5" t="n">
        <v>35</v>
      </c>
      <c r="B41" s="5" t="s">
        <v>130</v>
      </c>
      <c r="C41" s="5" t="s">
        <v>221</v>
      </c>
      <c r="D41" s="60" t="n">
        <v>51</v>
      </c>
      <c r="E41" s="57" t="n">
        <v>30824</v>
      </c>
      <c r="F41" s="8" t="n">
        <f aca="false">IF(AND(D41&gt;0,N(E41)&gt;0),E41/D41,"")</f>
        <v>604.392156862745</v>
      </c>
      <c r="G41" s="7" t="n">
        <f aca="false">IFERROR(INDEX(Prices!$C$6:$C$300,MATCH(B41,Prices!$A$6:$A$300,0)),"")</f>
        <v>408.05</v>
      </c>
      <c r="H41" s="8" t="n">
        <f aca="false">IF(ISNUMBER(G41),D41*G41,0)</f>
        <v>20810.55</v>
      </c>
      <c r="I41" s="8" t="n">
        <f aca="false">H41-N(E41)</f>
        <v>-10013.45</v>
      </c>
      <c r="J41" s="9" t="n">
        <f aca="false">IF(N(E41)&gt;0,I41/E41,"")</f>
        <v>-0.324858876200363</v>
      </c>
      <c r="K41" s="9" t="n">
        <f aca="false">IF($H$60=0,"",H41/$H$60)</f>
        <v>0.0051267271406578</v>
      </c>
      <c r="L41" s="61"/>
    </row>
    <row r="42" customFormat="false" ht="15" hidden="false" customHeight="false" outlineLevel="0" collapsed="false">
      <c r="A42" s="5" t="n">
        <v>36</v>
      </c>
      <c r="B42" s="5" t="s">
        <v>132</v>
      </c>
      <c r="C42" s="5" t="s">
        <v>221</v>
      </c>
      <c r="D42" s="60" t="n">
        <v>245</v>
      </c>
      <c r="E42" s="57" t="n">
        <v>27130</v>
      </c>
      <c r="F42" s="8" t="n">
        <f aca="false">IF(AND(D42&gt;0,N(E42)&gt;0),E42/D42,"")</f>
        <v>110.734693877551</v>
      </c>
      <c r="G42" s="7" t="n">
        <f aca="false">IFERROR(INDEX(Prices!$C$6:$C$300,MATCH(B42,Prices!$A$6:$A$300,0)),"")</f>
        <v>83.81</v>
      </c>
      <c r="H42" s="8" t="n">
        <f aca="false">IF(ISNUMBER(G42),D42*G42,0)</f>
        <v>20533.45</v>
      </c>
      <c r="I42" s="8" t="n">
        <f aca="false">H42-N(E42)</f>
        <v>-6596.55</v>
      </c>
      <c r="J42" s="9" t="n">
        <f aca="false">IF(N(E42)&gt;0,I42/E42,"")</f>
        <v>-0.243145963877626</v>
      </c>
      <c r="K42" s="9" t="n">
        <f aca="false">IF($H$60=0,"",H42/$H$60)</f>
        <v>0.00505846291454766</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246.85</v>
      </c>
      <c r="H43" s="8" t="n">
        <f aca="false">IF(ISNUMBER(G43),D43*G43,0)</f>
        <v>19254.3</v>
      </c>
      <c r="I43" s="8" t="n">
        <f aca="false">H43-N(E43)</f>
        <v>-10757.7</v>
      </c>
      <c r="J43" s="9" t="n">
        <f aca="false">IF(N(E43)&gt;0,I43/E43,"")</f>
        <v>-0.358446621351459</v>
      </c>
      <c r="K43" s="9" t="n">
        <f aca="false">IF($H$60=0,"",H43/$H$60)</f>
        <v>0.00474334135255279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148.47</v>
      </c>
      <c r="H44" s="8" t="n">
        <f aca="false">IF(ISNUMBER(G44),D44*G44,0)</f>
        <v>18410.28</v>
      </c>
      <c r="I44" s="8" t="n">
        <f aca="false">H44-N(E44)</f>
        <v>-9630.72</v>
      </c>
      <c r="J44" s="9" t="n">
        <f aca="false">IF(N(E44)&gt;0,I44/E44,"")</f>
        <v>-0.343451374772654</v>
      </c>
      <c r="K44" s="9" t="n">
        <f aca="false">IF($H$60=0,"",H44/$H$60)</f>
        <v>0.00453541507279286</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2298.1</v>
      </c>
      <c r="H45" s="8" t="n">
        <f aca="false">IF(ISNUMBER(G45),D45*G45,0)</f>
        <v>18384.8</v>
      </c>
      <c r="I45" s="8" t="n">
        <f aca="false">H45-N(E45)</f>
        <v>4323.8</v>
      </c>
      <c r="J45" s="9" t="n">
        <f aca="false">IF(N(E45)&gt;0,I45/E45,"")</f>
        <v>0.307503022544627</v>
      </c>
      <c r="K45" s="9" t="n">
        <f aca="false">IF($H$60=0,"",H45/$H$60)</f>
        <v>0.00452913801584127</v>
      </c>
      <c r="L45" s="61"/>
    </row>
    <row r="46" customFormat="false" ht="15" hidden="false" customHeight="false" outlineLevel="0" collapsed="false">
      <c r="A46" s="5" t="n">
        <v>40</v>
      </c>
      <c r="B46" s="5" t="s">
        <v>135</v>
      </c>
      <c r="C46" s="5" t="s">
        <v>221</v>
      </c>
      <c r="D46" s="60" t="n">
        <v>76</v>
      </c>
      <c r="E46" s="57" t="n">
        <v>31099</v>
      </c>
      <c r="F46" s="8" t="n">
        <f aca="false">IF(AND(D46&gt;0,N(E46)&gt;0),E46/D46,"")</f>
        <v>409.197368421053</v>
      </c>
      <c r="G46" s="7" t="n">
        <f aca="false">IFERROR(INDEX(Prices!$C$6:$C$300,MATCH(B46,Prices!$A$6:$A$300,0)),"")</f>
        <v>229.4</v>
      </c>
      <c r="H46" s="8" t="n">
        <f aca="false">IF(ISNUMBER(G46),D46*G46,0)</f>
        <v>17434.4</v>
      </c>
      <c r="I46" s="8" t="n">
        <f aca="false">H46-N(E46)</f>
        <v>-13664.6</v>
      </c>
      <c r="J46" s="9" t="n">
        <f aca="false">IF(N(E46)&gt;0,I46/E46,"")</f>
        <v>-0.439390334094344</v>
      </c>
      <c r="K46" s="9" t="n">
        <f aca="false">IF($H$60=0,"",H46/$H$60)</f>
        <v>0.00429500477695613</v>
      </c>
      <c r="L46" s="61"/>
    </row>
    <row r="47" customFormat="false" ht="15" hidden="false" customHeight="false" outlineLevel="0" collapsed="false">
      <c r="A47" s="5" t="n">
        <v>41</v>
      </c>
      <c r="B47" s="5" t="s">
        <v>136</v>
      </c>
      <c r="C47" s="5" t="s">
        <v>221</v>
      </c>
      <c r="D47" s="60" t="n">
        <v>49</v>
      </c>
      <c r="E47" s="57" t="n">
        <v>25814</v>
      </c>
      <c r="F47" s="8" t="n">
        <f aca="false">IF(AND(D47&gt;0,N(E47)&gt;0),E47/D47,"")</f>
        <v>526.816326530612</v>
      </c>
      <c r="G47" s="7" t="n">
        <f aca="false">IFERROR(INDEX(Prices!$C$6:$C$300,MATCH(B47,Prices!$A$6:$A$300,0)),"")</f>
        <v>351.75</v>
      </c>
      <c r="H47" s="8" t="n">
        <f aca="false">IF(ISNUMBER(G47),D47*G47,0)</f>
        <v>17235.75</v>
      </c>
      <c r="I47" s="8" t="n">
        <f aca="false">H47-N(E47)</f>
        <v>-8578.25</v>
      </c>
      <c r="J47" s="9" t="n">
        <f aca="false">IF(N(E47)&gt;0,I47/E47,"")</f>
        <v>-0.332309986828853</v>
      </c>
      <c r="K47" s="9" t="n">
        <f aca="false">IF($H$60=0,"",H47/$H$60)</f>
        <v>0.00424606688985119</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296.65</v>
      </c>
      <c r="H48" s="8" t="n">
        <f aca="false">IF(ISNUMBER(G48),D48*G48,0)</f>
        <v>16019.1</v>
      </c>
      <c r="I48" s="8" t="n">
        <f aca="false">H48-N(E48)</f>
        <v>-11424.9</v>
      </c>
      <c r="J48" s="9" t="n">
        <f aca="false">IF(N(E48)&gt;0,I48/E48,"")</f>
        <v>-0.416298644512462</v>
      </c>
      <c r="K48" s="9" t="n">
        <f aca="false">IF($H$60=0,"",H48/$H$60)</f>
        <v>0.00394634234745892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103.62</v>
      </c>
      <c r="H49" s="8" t="n">
        <f aca="false">IF(ISNUMBER(G49),D49*G49,0)</f>
        <v>15543</v>
      </c>
      <c r="I49" s="8" t="n">
        <f aca="false">H49-N(E49)</f>
        <v>-8527</v>
      </c>
      <c r="J49" s="9" t="n">
        <f aca="false">IF(N(E49)&gt;0,I49/E49,"")</f>
        <v>-0.354258412962194</v>
      </c>
      <c r="K49" s="9" t="n">
        <f aca="false">IF($H$60=0,"",H49/$H$60)</f>
        <v>0.00382905401093408</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306</v>
      </c>
      <c r="H50" s="8" t="n">
        <f aca="false">IF(ISNUMBER(G50),D50*G50,0)</f>
        <v>14688</v>
      </c>
      <c r="I50" s="8" t="n">
        <f aca="false">H50-N(E50)</f>
        <v>-4721</v>
      </c>
      <c r="J50" s="9" t="n">
        <f aca="false">IF(N(E50)&gt;0,I50/E50,"")</f>
        <v>-0.243237673244371</v>
      </c>
      <c r="K50" s="9" t="n">
        <f aca="false">IF($H$60=0,"",H50/$H$60)</f>
        <v>0.00361842278277036</v>
      </c>
      <c r="L50" s="61"/>
    </row>
    <row r="51" customFormat="false" ht="15" hidden="false" customHeight="false" outlineLevel="0" collapsed="false">
      <c r="A51" s="5" t="n">
        <v>45</v>
      </c>
      <c r="B51" s="5" t="s">
        <v>144</v>
      </c>
      <c r="C51" s="5" t="s">
        <v>221</v>
      </c>
      <c r="D51" s="60" t="n">
        <v>132</v>
      </c>
      <c r="E51" s="57" t="n">
        <v>23436</v>
      </c>
      <c r="F51" s="8" t="n">
        <f aca="false">IF(AND(D51&gt;0,N(E51)&gt;0),E51/D51,"")</f>
        <v>177.545454545455</v>
      </c>
      <c r="G51" s="7" t="n">
        <f aca="false">IFERROR(INDEX(Prices!$C$6:$C$300,MATCH(B51,Prices!$A$6:$A$300,0)),"")</f>
        <v>98.2</v>
      </c>
      <c r="H51" s="8" t="n">
        <f aca="false">IF(ISNUMBER(G51),D51*G51,0)</f>
        <v>12962.4</v>
      </c>
      <c r="I51" s="8" t="n">
        <f aca="false">H51-N(E51)</f>
        <v>-10473.6</v>
      </c>
      <c r="J51" s="9" t="n">
        <f aca="false">IF(N(E51)&gt;0,I51/E51,"")</f>
        <v>-0.446902201740911</v>
      </c>
      <c r="K51" s="9" t="n">
        <f aca="false">IF($H$60=0,"",H51/$H$60)</f>
        <v>0.00319331723035012</v>
      </c>
      <c r="L51" s="61"/>
    </row>
    <row r="52" customFormat="false" ht="15" hidden="false" customHeight="false" outlineLevel="0" collapsed="false">
      <c r="A52" s="5" t="n">
        <v>46</v>
      </c>
      <c r="B52" s="5" t="s">
        <v>145</v>
      </c>
      <c r="C52" s="5" t="s">
        <v>221</v>
      </c>
      <c r="D52" s="60" t="n">
        <v>35</v>
      </c>
      <c r="E52" s="57" t="n">
        <v>18902</v>
      </c>
      <c r="F52" s="8" t="n">
        <f aca="false">IF(AND(D52&gt;0,N(E52)&gt;0),E52/D52,"")</f>
        <v>540.057142857143</v>
      </c>
      <c r="G52" s="7" t="n">
        <f aca="false">IFERROR(INDEX(Prices!$C$6:$C$300,MATCH(B52,Prices!$A$6:$A$300,0)),"")</f>
        <v>362.4</v>
      </c>
      <c r="H52" s="8" t="n">
        <f aca="false">IF(ISNUMBER(G52),D52*G52,0)</f>
        <v>12684</v>
      </c>
      <c r="I52" s="8" t="n">
        <f aca="false">H52-N(E52)</f>
        <v>-6218</v>
      </c>
      <c r="J52" s="9" t="n">
        <f aca="false">IF(N(E52)&gt;0,I52/E52,"")</f>
        <v>-0.328959898423447</v>
      </c>
      <c r="K52" s="9" t="n">
        <f aca="false">IF($H$60=0,"",H52/$H$60)</f>
        <v>0.00312473274623225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1160</v>
      </c>
      <c r="H53" s="8" t="n">
        <f aca="false">IF(ISNUMBER(G53),D53*G53,0)</f>
        <v>10440</v>
      </c>
      <c r="I53" s="8" t="n">
        <f aca="false">H53-N(E53)</f>
        <v>-1675</v>
      </c>
      <c r="J53" s="9" t="n">
        <f aca="false">IF(N(E53)&gt;0,I53/E53,"")</f>
        <v>-0.138258357408172</v>
      </c>
      <c r="K53" s="9" t="n">
        <f aca="false">IF($H$60=0,"",H53/$H$60)</f>
        <v>0.00257191815442011</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11.84</v>
      </c>
      <c r="H54" s="8" t="n">
        <f aca="false">IF(ISNUMBER(G54),D54*G54,0)</f>
        <v>6630.4</v>
      </c>
      <c r="I54" s="8" t="n">
        <f aca="false">H54-N(E54)</f>
        <v>-24321.6</v>
      </c>
      <c r="J54" s="9" t="n">
        <f aca="false">IF(N(E54)&gt;0,I54/E54,"")</f>
        <v>-0.785784440423882</v>
      </c>
      <c r="K54" s="9" t="n">
        <f aca="false">IF($H$60=0,"",H54/$H$60)</f>
        <v>0.00163341438037041</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119.18</v>
      </c>
      <c r="H55" s="8" t="n">
        <f aca="false">IF(ISNUMBER(G55),D55*G55,0)</f>
        <v>4290.48</v>
      </c>
      <c r="I55" s="8" t="n">
        <f aca="false">H55-N(E55)</f>
        <v>-1128.52</v>
      </c>
      <c r="J55" s="9" t="n">
        <f aca="false">IF(N(E55)&gt;0,I55/E55,"")</f>
        <v>-0.208252445100572</v>
      </c>
      <c r="K55" s="9" t="n">
        <f aca="false">IF($H$60=0,"",H55/$H$60)</f>
        <v>0.00105696967463375</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113.45</v>
      </c>
      <c r="H56" s="8" t="n">
        <f aca="false">IF(ISNUMBER(G56),D56*G56,0)</f>
        <v>2269</v>
      </c>
      <c r="I56" s="8" t="n">
        <f aca="false">H56-N(E56)</f>
        <v>-4052</v>
      </c>
      <c r="J56" s="9" t="n">
        <f aca="false">IF(N(E56)&gt;0,I56/E56,"")</f>
        <v>-0.641037810473026</v>
      </c>
      <c r="K56" s="9" t="n">
        <f aca="false">IF($H$60=0,"",H56/$H$60)</f>
        <v>0.000558973399653183</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0.00030424510734759</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94.14</v>
      </c>
      <c r="H58" s="8" t="n">
        <f aca="false">IF(ISNUMBER(G58),D58*G58,0)</f>
        <v>564.84</v>
      </c>
      <c r="I58" s="8" t="n">
        <f aca="false">H58-N(E58)</f>
        <v>-28.16</v>
      </c>
      <c r="J58" s="9" t="n">
        <f aca="false">IF(N(E58)&gt;0,I58/E58,"")</f>
        <v>-0.0474873524451939</v>
      </c>
      <c r="K58" s="9" t="n">
        <f aca="false">IF($H$60=0,"",H58/$H$60)</f>
        <v>0.000139149640837419</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421.2</v>
      </c>
      <c r="H59" s="8" t="n">
        <f aca="false">IF(ISNUMBER(G59),D59*G59,0)</f>
        <v>421.2</v>
      </c>
      <c r="I59" s="8" t="n">
        <f aca="false">H59-N(E59)</f>
        <v>-93.8</v>
      </c>
      <c r="J59" s="9" t="n">
        <f aca="false">IF(N(E59)&gt;0,I59/E59,"")</f>
        <v>-0.182135922330097</v>
      </c>
      <c r="K59" s="9" t="n">
        <f aca="false">IF($H$60=0,"",H59/$H$60)</f>
        <v>0.000103763594505915</v>
      </c>
      <c r="L59" s="61"/>
    </row>
    <row r="60" customFormat="false" ht="15" hidden="false" customHeight="false" outlineLevel="0" collapsed="false">
      <c r="A60" s="82"/>
      <c r="B60" s="82" t="s">
        <v>78</v>
      </c>
      <c r="C60" s="82"/>
      <c r="D60" s="82"/>
      <c r="E60" s="83"/>
      <c r="F60" s="82"/>
      <c r="G60" s="82"/>
      <c r="H60" s="83" t="n">
        <f aca="false">SUM(H7:H59)</f>
        <v>4059227.15</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4059227.15</v>
      </c>
    </row>
    <row r="66" customFormat="false" ht="15" hidden="false" customHeight="false" outlineLevel="0" collapsed="false">
      <c r="B66" s="85" t="s">
        <v>214</v>
      </c>
      <c r="C66" s="86"/>
      <c r="D66" s="86"/>
      <c r="E66" s="87" t="n">
        <f aca="false">E65-E64</f>
        <v>-52107.8500000001</v>
      </c>
      <c r="F66" s="88" t="n">
        <f aca="false">IF(E64&gt;0,E66/E64,"")</f>
        <v>-0.012674192202776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5" customFormat="false" ht="15" hidden="false" customHeight="false" outlineLevel="0" collapsed="false">
      <c r="Q5" s="30" t="s">
        <v>230</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Q6" s="23" t="s">
        <v>194</v>
      </c>
      <c r="R6" s="23" t="s">
        <v>195</v>
      </c>
      <c r="S6" s="23" t="s">
        <v>196</v>
      </c>
      <c r="T6" s="23" t="s">
        <v>73</v>
      </c>
      <c r="U6" s="23" t="s">
        <v>197</v>
      </c>
      <c r="V6" s="23" t="s">
        <v>198</v>
      </c>
    </row>
    <row r="7" customFormat="false" ht="15" hidden="false" customHeight="false" outlineLevel="0" collapsed="false">
      <c r="A7" s="5" t="n">
        <v>1</v>
      </c>
      <c r="B7" s="59" t="s">
        <v>79</v>
      </c>
      <c r="C7" s="5" t="s">
        <v>231</v>
      </c>
      <c r="D7" s="60" t="n">
        <v>3935</v>
      </c>
      <c r="E7" s="57" t="n">
        <v>2948869</v>
      </c>
      <c r="F7" s="8" t="n">
        <f aca="false">IF(AND(D7&gt;0,N(E7)&gt;0),E7/D7,"")</f>
        <v>749.394917407878</v>
      </c>
      <c r="G7" s="7" t="n">
        <f aca="false">IFERROR(INDEX(Prices!$C$6:$C$300,MATCH(B7,Prices!$A$6:$A$300,0)),"")</f>
        <v>925.8</v>
      </c>
      <c r="H7" s="8" t="n">
        <f aca="false">IF(ISNUMBER(G7),D7*G7,0)</f>
        <v>3643023</v>
      </c>
      <c r="I7" s="8" t="n">
        <f aca="false">H7-N(E7)</f>
        <v>694154</v>
      </c>
      <c r="J7" s="9" t="n">
        <f aca="false">IF(N(E7)&gt;0,I7/E7,"")</f>
        <v>0.235396689374808</v>
      </c>
      <c r="K7" s="9" t="n">
        <f aca="false">IF($H$54=0,"",H7/$H$54)</f>
        <v>0.308190762426199</v>
      </c>
      <c r="L7" s="61" t="s">
        <v>232</v>
      </c>
      <c r="Q7" s="62" t="s">
        <v>233</v>
      </c>
      <c r="R7" s="62" t="s">
        <v>201</v>
      </c>
      <c r="S7" s="62" t="s">
        <v>115</v>
      </c>
      <c r="T7" s="62" t="n">
        <v>1</v>
      </c>
      <c r="U7" s="57" t="n">
        <v>119.53</v>
      </c>
      <c r="V7" s="57" t="n">
        <v>119.53</v>
      </c>
    </row>
    <row r="8" customFormat="false" ht="15" hidden="false" customHeight="false" outlineLevel="0" collapsed="false">
      <c r="A8" s="5" t="n">
        <v>2</v>
      </c>
      <c r="B8" s="5" t="s">
        <v>81</v>
      </c>
      <c r="C8" s="5" t="s">
        <v>231</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0.242345963719415</v>
      </c>
      <c r="L8" s="61" t="s">
        <v>234</v>
      </c>
      <c r="Q8" s="62" t="s">
        <v>233</v>
      </c>
      <c r="R8" s="62" t="s">
        <v>201</v>
      </c>
      <c r="S8" s="62" t="s">
        <v>83</v>
      </c>
      <c r="T8" s="62" t="n">
        <v>14</v>
      </c>
      <c r="U8" s="57" t="n">
        <v>680.2</v>
      </c>
      <c r="V8" s="57" t="n">
        <v>9522.8</v>
      </c>
    </row>
    <row r="9" customFormat="false" ht="15" hidden="false" customHeight="false" outlineLevel="0" collapsed="false">
      <c r="A9" s="5" t="n">
        <v>3</v>
      </c>
      <c r="B9" s="59" t="s">
        <v>80</v>
      </c>
      <c r="C9" s="5" t="s">
        <v>231</v>
      </c>
      <c r="D9" s="60" t="n">
        <v>165</v>
      </c>
      <c r="E9" s="57" t="n">
        <v>564530</v>
      </c>
      <c r="F9" s="8" t="n">
        <f aca="false">IF(AND(D9&gt;0,N(E9)&gt;0),E9/D9,"")</f>
        <v>3421.39393939394</v>
      </c>
      <c r="G9" s="7" t="n">
        <f aca="false">IFERROR(INDEX(Prices!$C$6:$C$300,MATCH(B9,Prices!$A$6:$A$300,0)),"")</f>
        <v>4402.7</v>
      </c>
      <c r="H9" s="8" t="n">
        <f aca="false">IF(ISNUMBER(G9),D9*G9,0)</f>
        <v>726445.5</v>
      </c>
      <c r="I9" s="8" t="n">
        <f aca="false">H9-N(E9)</f>
        <v>161915.5</v>
      </c>
      <c r="J9" s="9" t="n">
        <f aca="false">IF(N(E9)&gt;0,I9/E9,"")</f>
        <v>0.286814695410341</v>
      </c>
      <c r="K9" s="9" t="n">
        <f aca="false">IF($H$54=0,"",H9/$H$54)</f>
        <v>0.0614554979493903</v>
      </c>
      <c r="L9" s="61" t="s">
        <v>235</v>
      </c>
      <c r="Q9" s="62" t="s">
        <v>233</v>
      </c>
      <c r="R9" s="62" t="s">
        <v>201</v>
      </c>
      <c r="S9" s="62" t="s">
        <v>82</v>
      </c>
      <c r="T9" s="62" t="n">
        <v>21</v>
      </c>
      <c r="U9" s="57" t="n">
        <v>402.8</v>
      </c>
      <c r="V9" s="57" t="n">
        <v>8458.8</v>
      </c>
    </row>
    <row r="10" customFormat="false" ht="15" hidden="false" customHeight="false" outlineLevel="0" collapsed="false">
      <c r="A10" s="5" t="n">
        <v>4</v>
      </c>
      <c r="B10" s="59" t="s">
        <v>83</v>
      </c>
      <c r="C10" s="5" t="s">
        <v>231</v>
      </c>
      <c r="D10" s="60" t="n">
        <v>1027</v>
      </c>
      <c r="E10" s="57" t="n">
        <v>822205.8</v>
      </c>
      <c r="F10" s="8" t="n">
        <f aca="false">IF(AND(D10&gt;0,N(E10)&gt;0),E10/D10,"")</f>
        <v>800.589873417722</v>
      </c>
      <c r="G10" s="7" t="n">
        <f aca="false">IFERROR(INDEX(Prices!$C$6:$C$300,MATCH(B10,Prices!$A$6:$A$300,0)),"")</f>
        <v>684.6</v>
      </c>
      <c r="H10" s="8" t="n">
        <f aca="false">IF(ISNUMBER(G10),D10*G10,0)</f>
        <v>703084.2</v>
      </c>
      <c r="I10" s="8" t="n">
        <f aca="false">H10-N(E10)</f>
        <v>-119121.6</v>
      </c>
      <c r="J10" s="9" t="n">
        <f aca="false">IF(N(E10)&gt;0,I10/E10,"")</f>
        <v>-0.144880515316238</v>
      </c>
      <c r="K10" s="9" t="n">
        <f aca="false">IF($H$54=0,"",H10/$H$54)</f>
        <v>0.0594791895762982</v>
      </c>
      <c r="L10" s="61" t="s">
        <v>236</v>
      </c>
      <c r="Q10" s="62" t="s">
        <v>233</v>
      </c>
      <c r="R10" s="62" t="s">
        <v>201</v>
      </c>
      <c r="S10" s="62" t="s">
        <v>86</v>
      </c>
      <c r="T10" s="62" t="n">
        <v>48</v>
      </c>
      <c r="U10" s="57" t="n">
        <v>77.64</v>
      </c>
      <c r="V10" s="57" t="n">
        <v>3726.72</v>
      </c>
    </row>
    <row r="11" customFormat="false" ht="15" hidden="false" customHeight="false" outlineLevel="0" collapsed="false">
      <c r="A11" s="5" t="n">
        <v>5</v>
      </c>
      <c r="B11" s="59" t="s">
        <v>82</v>
      </c>
      <c r="C11" s="5" t="s">
        <v>231</v>
      </c>
      <c r="D11" s="60" t="n">
        <v>1415</v>
      </c>
      <c r="E11" s="57" t="n">
        <v>630971.8</v>
      </c>
      <c r="F11" s="8" t="n">
        <f aca="false">IF(AND(D11&gt;0,N(E11)&gt;0),E11/D11,"")</f>
        <v>445.916466431095</v>
      </c>
      <c r="G11" s="7" t="n">
        <f aca="false">IFERROR(INDEX(Prices!$C$6:$C$300,MATCH(B11,Prices!$A$6:$A$300,0)),"")</f>
        <v>433.25</v>
      </c>
      <c r="H11" s="8" t="n">
        <f aca="false">IF(ISNUMBER(G11),D11*G11,0)</f>
        <v>613048.75</v>
      </c>
      <c r="I11" s="8" t="n">
        <f aca="false">H11-N(E11)</f>
        <v>-17923.05</v>
      </c>
      <c r="J11" s="9" t="n">
        <f aca="false">IF(N(E11)&gt;0,I11/E11,"")</f>
        <v>-0.0284054691509193</v>
      </c>
      <c r="K11" s="9" t="n">
        <f aca="false">IF($H$54=0,"",H11/$H$54)</f>
        <v>0.0518624125257865</v>
      </c>
      <c r="L11" s="61" t="s">
        <v>237</v>
      </c>
      <c r="Q11" s="62" t="s">
        <v>233</v>
      </c>
      <c r="R11" s="62" t="s">
        <v>201</v>
      </c>
      <c r="S11" s="62" t="s">
        <v>79</v>
      </c>
      <c r="T11" s="62" t="n">
        <v>40</v>
      </c>
      <c r="U11" s="57" t="n">
        <v>912</v>
      </c>
      <c r="V11" s="57" t="n">
        <v>36480</v>
      </c>
    </row>
    <row r="12" customFormat="false" ht="15" hidden="false" customHeight="false" outlineLevel="0" collapsed="false">
      <c r="A12" s="5" t="n">
        <v>6</v>
      </c>
      <c r="B12" s="59" t="s">
        <v>84</v>
      </c>
      <c r="C12" s="5" t="s">
        <v>238</v>
      </c>
      <c r="D12" s="60" t="n">
        <v>360</v>
      </c>
      <c r="E12" s="57" t="n">
        <v>362724</v>
      </c>
      <c r="F12" s="8" t="n">
        <f aca="false">IF(AND(D12&gt;0,N(E12)&gt;0),E12/D12,"")</f>
        <v>1007.56666666667</v>
      </c>
      <c r="G12" s="7" t="n">
        <f aca="false">IFERROR(INDEX(Prices!$C$6:$C$300,MATCH(B12,Prices!$A$6:$A$300,0)),"")</f>
        <v>1329</v>
      </c>
      <c r="H12" s="8" t="n">
        <f aca="false">IF(ISNUMBER(G12),D12*G12,0)</f>
        <v>478440</v>
      </c>
      <c r="I12" s="8" t="n">
        <f aca="false">H12-N(E12)</f>
        <v>115716</v>
      </c>
      <c r="J12" s="9" t="n">
        <f aca="false">IF(N(E12)&gt;0,I12/E12,"")</f>
        <v>0.319019419724088</v>
      </c>
      <c r="K12" s="9" t="n">
        <f aca="false">IF($H$54=0,"",H12/$H$54)</f>
        <v>0.0404748442091062</v>
      </c>
      <c r="L12" s="61"/>
      <c r="S12" s="63" t="s">
        <v>206</v>
      </c>
      <c r="V12" s="64" t="n">
        <f aca="false">SUMIFS(V7:V11,R7:R11,"BUY")-SUMIFS(V7:V11,R7:R11,"SELL")</f>
        <v>58307.85</v>
      </c>
    </row>
    <row r="13" customFormat="false" ht="15" hidden="false" customHeight="false" outlineLevel="0" collapsed="false">
      <c r="A13" s="5" t="n">
        <v>7</v>
      </c>
      <c r="B13" s="5" t="s">
        <v>96</v>
      </c>
      <c r="C13" s="5" t="s">
        <v>239</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0.0266803855282583</v>
      </c>
      <c r="L13" s="61" t="s">
        <v>240</v>
      </c>
    </row>
    <row r="14" customFormat="false" ht="15" hidden="false" customHeight="false" outlineLevel="0" collapsed="false">
      <c r="A14" s="5" t="n">
        <v>8</v>
      </c>
      <c r="B14" s="59" t="s">
        <v>88</v>
      </c>
      <c r="C14" s="5" t="s">
        <v>231</v>
      </c>
      <c r="D14" s="60" t="n">
        <v>72</v>
      </c>
      <c r="E14" s="57" t="n">
        <v>303467</v>
      </c>
      <c r="F14" s="8" t="n">
        <f aca="false">IF(AND(D14&gt;0,N(E14)&gt;0),E14/D14,"")</f>
        <v>4214.81944444444</v>
      </c>
      <c r="G14" s="7" t="n">
        <f aca="false">IFERROR(INDEX(Prices!$C$6:$C$300,MATCH(B14,Prices!$A$6:$A$300,0)),"")</f>
        <v>4199</v>
      </c>
      <c r="H14" s="8" t="n">
        <f aca="false">IF(ISNUMBER(G14),D14*G14,0)</f>
        <v>302328</v>
      </c>
      <c r="I14" s="8" t="n">
        <f aca="false">H14-N(E14)</f>
        <v>-1139</v>
      </c>
      <c r="J14" s="9" t="n">
        <f aca="false">IF(N(E14)&gt;0,I14/E14,"")</f>
        <v>-0.00375329113214946</v>
      </c>
      <c r="K14" s="9" t="n">
        <f aca="false">IF($H$54=0,"",H14/$H$54)</f>
        <v>0.0255762032857844</v>
      </c>
      <c r="L14" s="61" t="s">
        <v>241</v>
      </c>
    </row>
    <row r="15" customFormat="false" ht="15" hidden="false" customHeight="false" outlineLevel="0" collapsed="false">
      <c r="A15" s="5" t="n">
        <v>9</v>
      </c>
      <c r="B15" s="59" t="s">
        <v>86</v>
      </c>
      <c r="C15" s="5" t="s">
        <v>231</v>
      </c>
      <c r="D15" s="60" t="n">
        <v>3810</v>
      </c>
      <c r="E15" s="57" t="n">
        <v>436419.72</v>
      </c>
      <c r="F15" s="8" t="n">
        <f aca="false">IF(AND(D15&gt;0,N(E15)&gt;0),E15/D15,"")</f>
        <v>114.545858267717</v>
      </c>
      <c r="G15" s="7" t="n">
        <f aca="false">IFERROR(INDEX(Prices!$C$6:$C$300,MATCH(B15,Prices!$A$6:$A$300,0)),"")</f>
        <v>78.1</v>
      </c>
      <c r="H15" s="8" t="n">
        <f aca="false">IF(ISNUMBER(G15),D15*G15,0)</f>
        <v>297561</v>
      </c>
      <c r="I15" s="8" t="n">
        <f aca="false">H15-N(E15)</f>
        <v>-138858.72</v>
      </c>
      <c r="J15" s="9" t="n">
        <f aca="false">IF(N(E15)&gt;0,I15/E15,"")</f>
        <v>-0.318177006300265</v>
      </c>
      <c r="K15" s="9" t="n">
        <f aca="false">IF($H$54=0,"",H15/$H$54)</f>
        <v>0.0251729268407864</v>
      </c>
      <c r="L15" s="61" t="s">
        <v>242</v>
      </c>
    </row>
    <row r="16" customFormat="false" ht="15" hidden="false" customHeight="false" outlineLevel="0" collapsed="false">
      <c r="A16" s="5" t="n">
        <v>10</v>
      </c>
      <c r="B16" s="59" t="s">
        <v>87</v>
      </c>
      <c r="C16" s="5" t="s">
        <v>231</v>
      </c>
      <c r="D16" s="60" t="n">
        <v>66</v>
      </c>
      <c r="E16" s="57" t="n">
        <v>348137</v>
      </c>
      <c r="F16" s="8" t="n">
        <f aca="false">IF(AND(D16&gt;0,N(E16)&gt;0),E16/D16,"")</f>
        <v>5274.80303030303</v>
      </c>
      <c r="G16" s="7" t="n">
        <f aca="false">IFERROR(INDEX(Prices!$C$6:$C$300,MATCH(B16,Prices!$A$6:$A$300,0)),"")</f>
        <v>4089.2</v>
      </c>
      <c r="H16" s="8" t="n">
        <f aca="false">IF(ISNUMBER(G16),D16*G16,0)</f>
        <v>269887.2</v>
      </c>
      <c r="I16" s="8" t="n">
        <f aca="false">H16-N(E16)</f>
        <v>-78249.8</v>
      </c>
      <c r="J16" s="9" t="n">
        <f aca="false">IF(N(E16)&gt;0,I16/E16,"")</f>
        <v>-0.224767261164427</v>
      </c>
      <c r="K16" s="9" t="n">
        <f aca="false">IF($H$54=0,"",H16/$H$54)</f>
        <v>0.0228317916019394</v>
      </c>
      <c r="L16" s="61" t="s">
        <v>243</v>
      </c>
    </row>
    <row r="17" customFormat="false" ht="15" hidden="false" customHeight="false" outlineLevel="0" collapsed="false">
      <c r="A17" s="5" t="n">
        <v>11</v>
      </c>
      <c r="B17" s="59" t="s">
        <v>89</v>
      </c>
      <c r="C17" s="5" t="s">
        <v>238</v>
      </c>
      <c r="D17" s="60" t="n">
        <v>800</v>
      </c>
      <c r="E17" s="57" t="n">
        <v>188075</v>
      </c>
      <c r="F17" s="8" t="n">
        <f aca="false">IF(AND(D17&gt;0,N(E17)&gt;0),E17/D17,"")</f>
        <v>235.09375</v>
      </c>
      <c r="G17" s="7" t="n">
        <f aca="false">IFERROR(INDEX(Prices!$C$6:$C$300,MATCH(B17,Prices!$A$6:$A$300,0)),"")</f>
        <v>240</v>
      </c>
      <c r="H17" s="8" t="n">
        <f aca="false">IF(ISNUMBER(G17),D17*G17,0)</f>
        <v>192000</v>
      </c>
      <c r="I17" s="8" t="n">
        <f aca="false">H17-N(E17)</f>
        <v>3925</v>
      </c>
      <c r="J17" s="9" t="n">
        <f aca="false">IF(N(E17)&gt;0,I17/E17,"")</f>
        <v>0.0208693340422704</v>
      </c>
      <c r="K17" s="9" t="n">
        <f aca="false">IF($H$54=0,"",H17/$H$54)</f>
        <v>0.0162427265449135</v>
      </c>
      <c r="L17" s="61"/>
    </row>
    <row r="18" customFormat="false" ht="15" hidden="false" customHeight="false" outlineLevel="0" collapsed="false">
      <c r="A18" s="5" t="n">
        <v>12</v>
      </c>
      <c r="B18" s="59" t="s">
        <v>92</v>
      </c>
      <c r="C18" s="5" t="s">
        <v>238</v>
      </c>
      <c r="D18" s="60" t="n">
        <v>3500</v>
      </c>
      <c r="E18" s="57" t="n">
        <v>117474</v>
      </c>
      <c r="F18" s="8" t="n">
        <f aca="false">IF(AND(D18&gt;0,N(E18)&gt;0),E18/D18,"")</f>
        <v>33.564</v>
      </c>
      <c r="G18" s="7" t="n">
        <f aca="false">IFERROR(INDEX(Prices!$C$6:$C$300,MATCH(B18,Prices!$A$6:$A$300,0)),"")</f>
        <v>51.15</v>
      </c>
      <c r="H18" s="8" t="n">
        <f aca="false">IF(ISNUMBER(G18),D18*G18,0)</f>
        <v>179025</v>
      </c>
      <c r="I18" s="8" t="n">
        <f aca="false">H18-N(E18)</f>
        <v>61551</v>
      </c>
      <c r="J18" s="9" t="n">
        <f aca="false">IF(N(E18)&gt;0,I18/E18,"")</f>
        <v>0.52395423668216</v>
      </c>
      <c r="K18" s="9" t="n">
        <f aca="false">IF($H$54=0,"",H18/$H$54)</f>
        <v>0.0151450735401205</v>
      </c>
      <c r="L18" s="61"/>
    </row>
    <row r="19" customFormat="false" ht="15" hidden="false" customHeight="false" outlineLevel="0" collapsed="false">
      <c r="A19" s="5" t="n">
        <v>13</v>
      </c>
      <c r="B19" s="5" t="s">
        <v>102</v>
      </c>
      <c r="C19" s="5" t="s">
        <v>238</v>
      </c>
      <c r="D19" s="60" t="n">
        <v>134</v>
      </c>
      <c r="E19" s="57" t="n">
        <v>51658</v>
      </c>
      <c r="F19" s="8" t="n">
        <f aca="false">IF(AND(D19&gt;0,N(E19)&gt;0),E19/D19,"")</f>
        <v>385.507462686567</v>
      </c>
      <c r="G19" s="7" t="n">
        <f aca="false">IFERROR(INDEX(Prices!$C$6:$C$300,MATCH(B19,Prices!$A$6:$A$300,0)),"")</f>
        <v>1273</v>
      </c>
      <c r="H19" s="8" t="n">
        <f aca="false">IF(ISNUMBER(G19),D19*G19,0)</f>
        <v>170582</v>
      </c>
      <c r="I19" s="8" t="n">
        <f aca="false">H19-N(E19)</f>
        <v>118924</v>
      </c>
      <c r="J19" s="9" t="n">
        <f aca="false">IF(N(E19)&gt;0,I19/E19,"")</f>
        <v>2.3021410042975</v>
      </c>
      <c r="K19" s="9" t="n">
        <f aca="false">IF($H$54=0,"",H19/$H$54)</f>
        <v>0.0144308165598147</v>
      </c>
      <c r="L19" s="61"/>
    </row>
    <row r="20" customFormat="false" ht="15" hidden="false" customHeight="false" outlineLevel="0" collapsed="false">
      <c r="A20" s="5" t="n">
        <v>14</v>
      </c>
      <c r="B20" s="59" t="s">
        <v>91</v>
      </c>
      <c r="C20" s="5" t="s">
        <v>244</v>
      </c>
      <c r="D20" s="60" t="n">
        <v>32</v>
      </c>
      <c r="E20" s="57" t="n">
        <v>212270</v>
      </c>
      <c r="F20" s="8" t="n">
        <f aca="false">IF(AND(D20&gt;0,N(E20)&gt;0),E20/D20,"")</f>
        <v>6633.4375</v>
      </c>
      <c r="G20" s="7" t="n">
        <f aca="false">IFERROR(INDEX(Prices!$C$6:$C$300,MATCH(B20,Prices!$A$6:$A$300,0)),"")</f>
        <v>3794.1</v>
      </c>
      <c r="H20" s="8" t="n">
        <f aca="false">IF(ISNUMBER(G20),D20*G20,0)</f>
        <v>121411.2</v>
      </c>
      <c r="I20" s="8" t="n">
        <f aca="false">H20-N(E20)</f>
        <v>-90858.8</v>
      </c>
      <c r="J20" s="9" t="n">
        <f aca="false">IF(N(E20)&gt;0,I20/E20,"")</f>
        <v>-0.428034107504593</v>
      </c>
      <c r="K20" s="9" t="n">
        <f aca="false">IF($H$54=0,"",H20/$H$54)</f>
        <v>0.010271088130676</v>
      </c>
      <c r="L20" s="61" t="s">
        <v>245</v>
      </c>
    </row>
    <row r="21" customFormat="false" ht="15" hidden="false" customHeight="false" outlineLevel="0" collapsed="false">
      <c r="A21" s="5" t="n">
        <v>15</v>
      </c>
      <c r="B21" s="5" t="s">
        <v>108</v>
      </c>
      <c r="C21" s="5" t="s">
        <v>246</v>
      </c>
      <c r="D21" s="60" t="n">
        <v>44</v>
      </c>
      <c r="E21" s="57" t="n">
        <v>52231</v>
      </c>
      <c r="F21" s="8" t="n">
        <f aca="false">IF(AND(D21&gt;0,N(E21)&gt;0),E21/D21,"")</f>
        <v>1187.06818181818</v>
      </c>
      <c r="G21" s="7" t="n">
        <f aca="false">IFERROR(INDEX(Prices!$C$6:$C$300,MATCH(B21,Prices!$A$6:$A$300,0)),"")</f>
        <v>1906.1</v>
      </c>
      <c r="H21" s="8" t="n">
        <f aca="false">IF(ISNUMBER(G21),D21*G21,0)</f>
        <v>83868.4</v>
      </c>
      <c r="I21" s="8" t="n">
        <f aca="false">H21-N(E21)</f>
        <v>31637.4</v>
      </c>
      <c r="J21" s="9" t="n">
        <f aca="false">IF(N(E21)&gt;0,I21/E21,"")</f>
        <v>0.605720740556375</v>
      </c>
      <c r="K21" s="9" t="n">
        <f aca="false">IF($H$54=0,"",H21/$H$54)</f>
        <v>0.00709505982791365</v>
      </c>
      <c r="L21" s="61"/>
    </row>
    <row r="22" customFormat="false" ht="15" hidden="false" customHeight="false" outlineLevel="0" collapsed="false">
      <c r="A22" s="5" t="n">
        <v>16</v>
      </c>
      <c r="B22" s="5" t="s">
        <v>110</v>
      </c>
      <c r="C22" s="5" t="s">
        <v>238</v>
      </c>
      <c r="D22" s="60" t="n">
        <v>3</v>
      </c>
      <c r="E22" s="57" t="n">
        <v>54700</v>
      </c>
      <c r="F22" s="8" t="n">
        <f aca="false">IF(AND(D22&gt;0,N(E22)&gt;0),E22/D22,"")</f>
        <v>18233.3333333333</v>
      </c>
      <c r="G22" s="7" t="n">
        <f aca="false">IFERROR(INDEX(Prices!$C$6:$C$300,MATCH(B22,Prices!$A$6:$A$300,0)),"")</f>
        <v>26415</v>
      </c>
      <c r="H22" s="8" t="n">
        <f aca="false">IF(ISNUMBER(G22),D22*G22,0)</f>
        <v>79245</v>
      </c>
      <c r="I22" s="8" t="n">
        <f aca="false">H22-N(E22)</f>
        <v>24545</v>
      </c>
      <c r="J22" s="9" t="n">
        <f aca="false">IF(N(E22)&gt;0,I22/E22,"")</f>
        <v>0.44872029250457</v>
      </c>
      <c r="K22" s="9" t="n">
        <f aca="false">IF($H$54=0,"",H22/$H$54)</f>
        <v>0.00670393158881077</v>
      </c>
      <c r="L22" s="61"/>
    </row>
    <row r="23" customFormat="false" ht="15" hidden="false" customHeight="false" outlineLevel="0" collapsed="false">
      <c r="A23" s="5" t="n">
        <v>17</v>
      </c>
      <c r="B23" s="5" t="s">
        <v>111</v>
      </c>
      <c r="C23" s="5" t="s">
        <v>247</v>
      </c>
      <c r="D23" s="60" t="n">
        <v>160</v>
      </c>
      <c r="E23" s="57" t="n">
        <v>63501</v>
      </c>
      <c r="F23" s="8" t="n">
        <f aca="false">IF(AND(D23&gt;0,N(E23)&gt;0),E23/D23,"")</f>
        <v>396.88125</v>
      </c>
      <c r="G23" s="7" t="n">
        <f aca="false">IFERROR(INDEX(Prices!$C$6:$C$300,MATCH(B23,Prices!$A$6:$A$300,0)),"")</f>
        <v>453.35</v>
      </c>
      <c r="H23" s="8" t="n">
        <f aca="false">IF(ISNUMBER(G23),D23*G23,0)</f>
        <v>72536</v>
      </c>
      <c r="I23" s="8" t="n">
        <f aca="false">H23-N(E23)</f>
        <v>9035</v>
      </c>
      <c r="J23" s="9" t="n">
        <f aca="false">IF(N(E23)&gt;0,I23/E23,"")</f>
        <v>0.142281223917734</v>
      </c>
      <c r="K23" s="9" t="n">
        <f aca="false">IF($H$54=0,"",H23/$H$54)</f>
        <v>0.00613636673261377</v>
      </c>
      <c r="L23" s="61" t="s">
        <v>248</v>
      </c>
    </row>
    <row r="24" customFormat="false" ht="15" hidden="false" customHeight="false" outlineLevel="0" collapsed="false">
      <c r="A24" s="5" t="n">
        <v>18</v>
      </c>
      <c r="B24" s="5" t="s">
        <v>112</v>
      </c>
      <c r="C24" s="5" t="s">
        <v>238</v>
      </c>
      <c r="D24" s="60" t="n">
        <v>64</v>
      </c>
      <c r="E24" s="57" t="n">
        <v>102862</v>
      </c>
      <c r="F24" s="8" t="n">
        <f aca="false">IF(AND(D24&gt;0,N(E24)&gt;0),E24/D24,"")</f>
        <v>1607.21875</v>
      </c>
      <c r="G24" s="7" t="n">
        <f aca="false">IFERROR(INDEX(Prices!$C$6:$C$300,MATCH(B24,Prices!$A$6:$A$300,0)),"")</f>
        <v>1132.2</v>
      </c>
      <c r="H24" s="8" t="n">
        <f aca="false">IF(ISNUMBER(G24),D24*G24,0)</f>
        <v>72460.8</v>
      </c>
      <c r="I24" s="8" t="n">
        <f aca="false">H24-N(E24)</f>
        <v>-30401.2</v>
      </c>
      <c r="J24" s="9" t="n">
        <f aca="false">IF(N(E24)&gt;0,I24/E24,"")</f>
        <v>-0.295553265540238</v>
      </c>
      <c r="K24" s="9" t="n">
        <f aca="false">IF($H$54=0,"",H24/$H$54)</f>
        <v>0.00613000499805034</v>
      </c>
      <c r="L24" s="61"/>
    </row>
    <row r="25" customFormat="false" ht="15" hidden="false" customHeight="false" outlineLevel="0" collapsed="false">
      <c r="A25" s="5" t="n">
        <v>19</v>
      </c>
      <c r="B25" s="59" t="s">
        <v>85</v>
      </c>
      <c r="C25" s="5" t="s">
        <v>238</v>
      </c>
      <c r="D25" s="60" t="n">
        <v>29</v>
      </c>
      <c r="E25" s="57" t="n">
        <v>97994</v>
      </c>
      <c r="F25" s="8" t="n">
        <f aca="false">IF(AND(D25&gt;0,N(E25)&gt;0),E25/D25,"")</f>
        <v>3379.10344827586</v>
      </c>
      <c r="G25" s="7" t="n">
        <f aca="false">IFERROR(INDEX(Prices!$C$6:$C$300,MATCH(B25,Prices!$A$6:$A$300,0)),"")</f>
        <v>2479</v>
      </c>
      <c r="H25" s="8" t="n">
        <f aca="false">IF(ISNUMBER(G25),D25*G25,0)</f>
        <v>71891</v>
      </c>
      <c r="I25" s="8" t="n">
        <f aca="false">H25-N(E25)</f>
        <v>-26103</v>
      </c>
      <c r="J25" s="9" t="n">
        <f aca="false">IF(N(E25)&gt;0,I25/E25,"")</f>
        <v>-0.266373451435802</v>
      </c>
      <c r="K25" s="9" t="n">
        <f aca="false">IF($H$54=0,"",H25/$H$54)</f>
        <v>0.00608180132312695</v>
      </c>
      <c r="L25" s="61"/>
    </row>
    <row r="26" customFormat="false" ht="15" hidden="false" customHeight="false" outlineLevel="0" collapsed="false">
      <c r="A26" s="5" t="n">
        <v>20</v>
      </c>
      <c r="B26" s="5" t="s">
        <v>113</v>
      </c>
      <c r="C26" s="5" t="s">
        <v>246</v>
      </c>
      <c r="D26" s="60" t="n">
        <v>2</v>
      </c>
      <c r="E26" s="57" t="n">
        <v>93537</v>
      </c>
      <c r="F26" s="8" t="n">
        <f aca="false">IF(AND(D26&gt;0,N(E26)&gt;0),E26/D26,"")</f>
        <v>46768.5</v>
      </c>
      <c r="G26" s="7" t="n">
        <f aca="false">IFERROR(INDEX(Prices!$C$6:$C$300,MATCH(B26,Prices!$A$6:$A$300,0)),"")</f>
        <v>33925</v>
      </c>
      <c r="H26" s="8" t="n">
        <f aca="false">IF(ISNUMBER(G26),D26*G26,0)</f>
        <v>67850</v>
      </c>
      <c r="I26" s="8" t="n">
        <f aca="false">H26-N(E26)</f>
        <v>-25687</v>
      </c>
      <c r="J26" s="9" t="n">
        <f aca="false">IF(N(E26)&gt;0,I26/E26,"")</f>
        <v>-0.274618600126153</v>
      </c>
      <c r="K26" s="9" t="n">
        <f aca="false">IF($H$54=0,"",H26/$H$54)</f>
        <v>0.00573994268787697</v>
      </c>
      <c r="L26" s="61"/>
    </row>
    <row r="27" customFormat="false" ht="15" hidden="false" customHeight="false" outlineLevel="0" collapsed="false">
      <c r="A27" s="5" t="n">
        <v>21</v>
      </c>
      <c r="B27" s="59" t="s">
        <v>94</v>
      </c>
      <c r="C27" s="5" t="s">
        <v>231</v>
      </c>
      <c r="D27" s="60" t="n">
        <v>47</v>
      </c>
      <c r="E27" s="57" t="n">
        <v>76969</v>
      </c>
      <c r="F27" s="8" t="n">
        <f aca="false">IF(AND(D27&gt;0,N(E27)&gt;0),E27/D27,"")</f>
        <v>1637.63829787234</v>
      </c>
      <c r="G27" s="7" t="n">
        <f aca="false">IFERROR(INDEX(Prices!$C$6:$C$300,MATCH(B27,Prices!$A$6:$A$300,0)),"")</f>
        <v>1395.7</v>
      </c>
      <c r="H27" s="8" t="n">
        <f aca="false">IF(ISNUMBER(G27),D27*G27,0)</f>
        <v>65597.9</v>
      </c>
      <c r="I27" s="8" t="n">
        <f aca="false">H27-N(E27)</f>
        <v>-11371.1</v>
      </c>
      <c r="J27" s="9" t="n">
        <f aca="false">IF(N(E27)&gt;0,I27/E27,"")</f>
        <v>-0.147736101547376</v>
      </c>
      <c r="K27" s="9" t="n">
        <f aca="false">IF($H$54=0,"",H27/$H$54)</f>
        <v>0.00554942058135718</v>
      </c>
      <c r="L27" s="61" t="s">
        <v>249</v>
      </c>
    </row>
    <row r="28" customFormat="false" ht="15" hidden="false" customHeight="false" outlineLevel="0" collapsed="false">
      <c r="A28" s="5" t="n">
        <v>22</v>
      </c>
      <c r="B28" s="59" t="s">
        <v>93</v>
      </c>
      <c r="C28" s="5" t="s">
        <v>244</v>
      </c>
      <c r="D28" s="60" t="n">
        <v>11</v>
      </c>
      <c r="E28" s="57" t="n">
        <v>49823</v>
      </c>
      <c r="F28" s="8" t="n">
        <f aca="false">IF(AND(D28&gt;0,N(E28)&gt;0),E28/D28,"")</f>
        <v>4529.36363636364</v>
      </c>
      <c r="G28" s="7" t="n">
        <f aca="false">IFERROR(INDEX(Prices!$C$6:$C$300,MATCH(B28,Prices!$A$6:$A$300,0)),"")</f>
        <v>5883.5</v>
      </c>
      <c r="H28" s="8" t="n">
        <f aca="false">IF(ISNUMBER(G28),D28*G28,0)</f>
        <v>64718.5</v>
      </c>
      <c r="I28" s="8" t="n">
        <f aca="false">H28-N(E28)</f>
        <v>14895.5</v>
      </c>
      <c r="J28" s="9" t="n">
        <f aca="false">IF(N(E28)&gt;0,I28/E28,"")</f>
        <v>0.298968347951749</v>
      </c>
      <c r="K28" s="9" t="n">
        <f aca="false">IF($H$54=0,"",H28/$H$54)</f>
        <v>0.00547502550988011</v>
      </c>
      <c r="L28" s="61" t="s">
        <v>250</v>
      </c>
    </row>
    <row r="29" customFormat="false" ht="15" hidden="false" customHeight="false" outlineLevel="0" collapsed="false">
      <c r="A29" s="5" t="n">
        <v>23</v>
      </c>
      <c r="B29" s="5" t="s">
        <v>116</v>
      </c>
      <c r="C29" s="5" t="s">
        <v>238</v>
      </c>
      <c r="D29" s="60" t="n">
        <v>22</v>
      </c>
      <c r="E29" s="57" t="n">
        <v>78545</v>
      </c>
      <c r="F29" s="8" t="n">
        <f aca="false">IF(AND(D29&gt;0,N(E29)&gt;0),E29/D29,"")</f>
        <v>3570.22727272727</v>
      </c>
      <c r="G29" s="7" t="n">
        <f aca="false">IFERROR(INDEX(Prices!$C$6:$C$300,MATCH(B29,Prices!$A$6:$A$300,0)),"")</f>
        <v>2279.9</v>
      </c>
      <c r="H29" s="8" t="n">
        <f aca="false">IF(ISNUMBER(G29),D29*G29,0)</f>
        <v>50157.8</v>
      </c>
      <c r="I29" s="8" t="n">
        <f aca="false">H29-N(E29)</f>
        <v>-28387.2</v>
      </c>
      <c r="J29" s="9" t="n">
        <f aca="false">IF(N(E29)&gt;0,I29/E29,"")</f>
        <v>-0.3614132026227</v>
      </c>
      <c r="K29" s="9" t="n">
        <f aca="false">IF($H$54=0,"",H29/$H$54)</f>
        <v>0.00424322619528365</v>
      </c>
      <c r="L29" s="61"/>
    </row>
    <row r="30" customFormat="false" ht="15" hidden="false" customHeight="false" outlineLevel="0" collapsed="false">
      <c r="A30" s="5" t="n">
        <v>24</v>
      </c>
      <c r="B30" s="59" t="s">
        <v>95</v>
      </c>
      <c r="C30" s="5" t="s">
        <v>244</v>
      </c>
      <c r="D30" s="60" t="n">
        <v>6</v>
      </c>
      <c r="E30" s="57" t="n">
        <v>43747</v>
      </c>
      <c r="F30" s="8" t="n">
        <f aca="false">IF(AND(D30&gt;0,N(E30)&gt;0),E30/D30,"")</f>
        <v>7291.16666666667</v>
      </c>
      <c r="G30" s="7" t="n">
        <f aca="false">IFERROR(INDEX(Prices!$C$6:$C$300,MATCH(B30,Prices!$A$6:$A$300,0)),"")</f>
        <v>7244</v>
      </c>
      <c r="H30" s="8" t="n">
        <f aca="false">IF(ISNUMBER(G30),D30*G30,0)</f>
        <v>43464</v>
      </c>
      <c r="I30" s="8" t="n">
        <f aca="false">H30-N(E30)</f>
        <v>-283</v>
      </c>
      <c r="J30" s="9" t="n">
        <f aca="false">IF(N(E30)&gt;0,I30/E30,"")</f>
        <v>-0.00646901501817268</v>
      </c>
      <c r="K30" s="9" t="n">
        <f aca="false">IF($H$54=0,"",H30/$H$54)</f>
        <v>0.00367694722160478</v>
      </c>
      <c r="L30" s="61" t="s">
        <v>251</v>
      </c>
    </row>
    <row r="31" customFormat="false" ht="15" hidden="false" customHeight="false" outlineLevel="0" collapsed="false">
      <c r="A31" s="5" t="n">
        <v>25</v>
      </c>
      <c r="B31" s="5" t="s">
        <v>99</v>
      </c>
      <c r="C31" s="5" t="s">
        <v>238</v>
      </c>
      <c r="D31" s="60" t="n">
        <v>32</v>
      </c>
      <c r="E31" s="57" t="n">
        <v>38635</v>
      </c>
      <c r="F31" s="8" t="n">
        <f aca="false">IF(AND(D31&gt;0,N(E31)&gt;0),E31/D31,"")</f>
        <v>1207.34375</v>
      </c>
      <c r="G31" s="7" t="n">
        <f aca="false">IFERROR(INDEX(Prices!$C$6:$C$300,MATCH(B31,Prices!$A$6:$A$300,0)),"")</f>
        <v>1175</v>
      </c>
      <c r="H31" s="8" t="n">
        <f aca="false">IF(ISNUMBER(G31),D31*G31,0)</f>
        <v>37600</v>
      </c>
      <c r="I31" s="8" t="n">
        <f aca="false">H31-N(E31)</f>
        <v>-1035</v>
      </c>
      <c r="J31" s="9" t="n">
        <f aca="false">IF(N(E31)&gt;0,I31/E31,"")</f>
        <v>-0.0267891807946163</v>
      </c>
      <c r="K31" s="9" t="n">
        <f aca="false">IF($H$54=0,"",H31/$H$54)</f>
        <v>0.00318086728171222</v>
      </c>
      <c r="L31" s="61"/>
    </row>
    <row r="32" customFormat="false" ht="15" hidden="false" customHeight="false" outlineLevel="0" collapsed="false">
      <c r="A32" s="5" t="n">
        <v>26</v>
      </c>
      <c r="B32" s="5" t="s">
        <v>125</v>
      </c>
      <c r="C32" s="5" t="s">
        <v>238</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0.00252261386897278</v>
      </c>
      <c r="L32" s="61"/>
    </row>
    <row r="33" customFormat="false" ht="15" hidden="false" customHeight="false" outlineLevel="0" collapsed="false">
      <c r="A33" s="5" t="n">
        <v>27</v>
      </c>
      <c r="B33" s="59" t="s">
        <v>98</v>
      </c>
      <c r="C33" s="5" t="s">
        <v>244</v>
      </c>
      <c r="D33" s="60" t="n">
        <v>10</v>
      </c>
      <c r="E33" s="57" t="n">
        <v>30536</v>
      </c>
      <c r="F33" s="8" t="n">
        <f aca="false">IF(AND(D33&gt;0,N(E33)&gt;0),E33/D33,"")</f>
        <v>3053.6</v>
      </c>
      <c r="G33" s="7" t="n">
        <f aca="false">IFERROR(INDEX(Prices!$C$6:$C$300,MATCH(B33,Prices!$A$6:$A$300,0)),"")</f>
        <v>2847.8</v>
      </c>
      <c r="H33" s="8" t="n">
        <f aca="false">IF(ISNUMBER(G33),D33*G33,0)</f>
        <v>28478</v>
      </c>
      <c r="I33" s="8" t="n">
        <f aca="false">H33-N(E33)</f>
        <v>-2058</v>
      </c>
      <c r="J33" s="9" t="n">
        <f aca="false">IF(N(E33)&gt;0,I33/E33,"")</f>
        <v>-0.0673958606235263</v>
      </c>
      <c r="K33" s="9" t="n">
        <f aca="false">IF($H$54=0,"",H33/$H$54)</f>
        <v>0.00240916857576065</v>
      </c>
      <c r="L33" s="61" t="s">
        <v>252</v>
      </c>
    </row>
    <row r="34" customFormat="false" ht="15" hidden="false" customHeight="false" outlineLevel="0" collapsed="false">
      <c r="A34" s="5" t="n">
        <v>28</v>
      </c>
      <c r="B34" s="5" t="s">
        <v>131</v>
      </c>
      <c r="C34" s="5" t="s">
        <v>238</v>
      </c>
      <c r="D34" s="60" t="n">
        <v>33</v>
      </c>
      <c r="E34" s="57" t="n">
        <v>40602</v>
      </c>
      <c r="F34" s="8" t="n">
        <f aca="false">IF(AND(D34&gt;0,N(E34)&gt;0),E34/D34,"")</f>
        <v>1230.36363636364</v>
      </c>
      <c r="G34" s="7" t="n">
        <f aca="false">IFERROR(INDEX(Prices!$C$6:$C$300,MATCH(B34,Prices!$A$6:$A$300,0)),"")</f>
        <v>622.65</v>
      </c>
      <c r="H34" s="8" t="n">
        <f aca="false">IF(ISNUMBER(G34),D34*G34,0)</f>
        <v>20547.45</v>
      </c>
      <c r="I34" s="8" t="n">
        <f aca="false">H34-N(E34)</f>
        <v>-20054.55</v>
      </c>
      <c r="J34" s="9" t="n">
        <f aca="false">IF(N(E34)&gt;0,I34/E34,"")</f>
        <v>-0.49393010196542</v>
      </c>
      <c r="K34" s="9" t="n">
        <f aca="false">IF($H$54=0,"",H34/$H$54)</f>
        <v>0.00173826360179834</v>
      </c>
      <c r="L34" s="61"/>
    </row>
    <row r="35" customFormat="false" ht="15" hidden="false" customHeight="false" outlineLevel="0" collapsed="false">
      <c r="A35" s="5" t="n">
        <v>29</v>
      </c>
      <c r="B35" s="59" t="s">
        <v>115</v>
      </c>
      <c r="C35" s="5" t="s">
        <v>244</v>
      </c>
      <c r="D35" s="60" t="n">
        <v>169</v>
      </c>
      <c r="E35" s="57" t="n">
        <v>15473.53</v>
      </c>
      <c r="F35" s="8" t="n">
        <f aca="false">IF(AND(D35&gt;0,N(E35)&gt;0),E35/D35,"")</f>
        <v>91.559349112426</v>
      </c>
      <c r="G35" s="7" t="n">
        <f aca="false">IFERROR(INDEX(Prices!$C$6:$C$300,MATCH(B35,Prices!$A$6:$A$300,0)),"")</f>
        <v>119.758503401361</v>
      </c>
      <c r="H35" s="8" t="n">
        <f aca="false">IF(ISNUMBER(G35),D35*G35,0)</f>
        <v>20239.1870748299</v>
      </c>
      <c r="I35" s="8" t="n">
        <f aca="false">H35-N(E35)</f>
        <v>4765.65707482993</v>
      </c>
      <c r="J35" s="9" t="n">
        <f aca="false">IF(N(E35)&gt;0,I35/E35,"")</f>
        <v>0.3079877102917</v>
      </c>
      <c r="K35" s="9" t="n">
        <f aca="false">IF($H$54=0,"",H35/$H$54)</f>
        <v>0.00171218531847817</v>
      </c>
      <c r="L35" s="61" t="s">
        <v>253</v>
      </c>
    </row>
    <row r="36" customFormat="false" ht="15" hidden="false" customHeight="false" outlineLevel="0" collapsed="false">
      <c r="A36" s="5" t="n">
        <v>30</v>
      </c>
      <c r="B36" s="59" t="s">
        <v>101</v>
      </c>
      <c r="C36" s="5" t="s">
        <v>244</v>
      </c>
      <c r="D36" s="60" t="n">
        <v>6</v>
      </c>
      <c r="E36" s="57" t="n">
        <v>23637</v>
      </c>
      <c r="F36" s="8" t="n">
        <f aca="false">IF(AND(D36&gt;0,N(E36)&gt;0),E36/D36,"")</f>
        <v>3939.5</v>
      </c>
      <c r="G36" s="7" t="n">
        <f aca="false">IFERROR(INDEX(Prices!$C$6:$C$300,MATCH(B36,Prices!$A$6:$A$300,0)),"")</f>
        <v>3153.9</v>
      </c>
      <c r="H36" s="8" t="n">
        <f aca="false">IF(ISNUMBER(G36),D36*G36,0)</f>
        <v>18923.4</v>
      </c>
      <c r="I36" s="8" t="n">
        <f aca="false">H36-N(E36)</f>
        <v>-4713.6</v>
      </c>
      <c r="J36" s="9" t="n">
        <f aca="false">IF(N(E36)&gt;0,I36/E36,"")</f>
        <v>-0.199416169564666</v>
      </c>
      <c r="K36" s="9" t="n">
        <f aca="false">IF($H$54=0,"",H36/$H$54)</f>
        <v>0.00160087297656258</v>
      </c>
      <c r="L36" s="61" t="s">
        <v>254</v>
      </c>
    </row>
    <row r="37" customFormat="false" ht="15" hidden="false" customHeight="false" outlineLevel="0" collapsed="false">
      <c r="A37" s="5" t="n">
        <v>31</v>
      </c>
      <c r="B37" s="59" t="s">
        <v>100</v>
      </c>
      <c r="C37" s="5" t="s">
        <v>231</v>
      </c>
      <c r="D37" s="60" t="n">
        <v>17</v>
      </c>
      <c r="E37" s="57" t="n">
        <v>29694</v>
      </c>
      <c r="F37" s="8" t="n">
        <f aca="false">IF(AND(D37&gt;0,N(E37)&gt;0),E37/D37,"")</f>
        <v>1746.70588235294</v>
      </c>
      <c r="G37" s="7" t="n">
        <f aca="false">IFERROR(INDEX(Prices!$C$6:$C$300,MATCH(B37,Prices!$A$6:$A$300,0)),"")</f>
        <v>1063.4</v>
      </c>
      <c r="H37" s="8" t="n">
        <f aca="false">IF(ISNUMBER(G37),D37*G37,0)</f>
        <v>18077.8</v>
      </c>
      <c r="I37" s="8" t="n">
        <f aca="false">H37-N(E37)</f>
        <v>-11616.2</v>
      </c>
      <c r="J37" s="9" t="n">
        <f aca="false">IF(N(E37)&gt;0,I37/E37,"")</f>
        <v>-0.39119687478952</v>
      </c>
      <c r="K37" s="9" t="n">
        <f aca="false">IF($H$54=0,"",H37/$H$54)</f>
        <v>0.00152933730173769</v>
      </c>
      <c r="L37" s="61" t="s">
        <v>255</v>
      </c>
    </row>
    <row r="38" customFormat="false" ht="15" hidden="false" customHeight="false" outlineLevel="0" collapsed="false">
      <c r="A38" s="5" t="n">
        <v>32</v>
      </c>
      <c r="B38" s="59" t="s">
        <v>104</v>
      </c>
      <c r="C38" s="5" t="s">
        <v>244</v>
      </c>
      <c r="D38" s="60" t="n">
        <v>6</v>
      </c>
      <c r="E38" s="57" t="n">
        <v>18946</v>
      </c>
      <c r="F38" s="8" t="n">
        <f aca="false">IF(AND(D38&gt;0,N(E38)&gt;0),E38/D38,"")</f>
        <v>3157.66666666667</v>
      </c>
      <c r="G38" s="7" t="n">
        <f aca="false">IFERROR(INDEX(Prices!$C$6:$C$300,MATCH(B38,Prices!$A$6:$A$300,0)),"")</f>
        <v>2298.1</v>
      </c>
      <c r="H38" s="8" t="n">
        <f aca="false">IF(ISNUMBER(G38),D38*G38,0)</f>
        <v>13788.6</v>
      </c>
      <c r="I38" s="8" t="n">
        <f aca="false">H38-N(E38)</f>
        <v>-5157.4</v>
      </c>
      <c r="J38" s="9" t="n">
        <f aca="false">IF(N(E38)&gt;0,I38/E38,"")</f>
        <v>-0.272215771139027</v>
      </c>
      <c r="K38" s="9" t="n">
        <f aca="false">IF($H$54=0,"",H38/$H$54)</f>
        <v>0.00116648155852705</v>
      </c>
      <c r="L38" s="61" t="s">
        <v>254</v>
      </c>
    </row>
    <row r="39" customFormat="false" ht="15" hidden="false" customHeight="false" outlineLevel="0" collapsed="false">
      <c r="A39" s="5" t="n">
        <v>33</v>
      </c>
      <c r="B39" s="5" t="s">
        <v>143</v>
      </c>
      <c r="C39" s="5" t="s">
        <v>256</v>
      </c>
      <c r="D39" s="60" t="n">
        <v>50</v>
      </c>
      <c r="E39" s="57" t="n">
        <v>13962</v>
      </c>
      <c r="F39" s="8" t="n">
        <f aca="false">IF(AND(D39&gt;0,N(E39)&gt;0),E39/D39,"")</f>
        <v>279.24</v>
      </c>
      <c r="G39" s="7" t="n">
        <f aca="false">IFERROR(INDEX(Prices!$C$6:$C$300,MATCH(B39,Prices!$A$6:$A$300,0)),"")</f>
        <v>266.85</v>
      </c>
      <c r="H39" s="8" t="n">
        <f aca="false">IF(ISNUMBER(G39),D39*G39,0)</f>
        <v>13342.5</v>
      </c>
      <c r="I39" s="8" t="n">
        <f aca="false">H39-N(E39)</f>
        <v>-619.499999999998</v>
      </c>
      <c r="J39" s="9" t="n">
        <f aca="false">IF(N(E39)&gt;0,I39/E39,"")</f>
        <v>-0.0443704340352384</v>
      </c>
      <c r="K39" s="9" t="n">
        <f aca="false">IF($H$54=0,"",H39/$H$54)</f>
        <v>0.00112874259857035</v>
      </c>
      <c r="L39" s="61"/>
    </row>
    <row r="40" customFormat="false" ht="15" hidden="false" customHeight="false" outlineLevel="0" collapsed="false">
      <c r="A40" s="5" t="n">
        <v>34</v>
      </c>
      <c r="B40" s="5" t="s">
        <v>146</v>
      </c>
      <c r="C40" s="5" t="s">
        <v>256</v>
      </c>
      <c r="D40" s="60" t="n">
        <v>35</v>
      </c>
      <c r="E40" s="57" t="n">
        <v>19821</v>
      </c>
      <c r="F40" s="8" t="n">
        <f aca="false">IF(AND(D40&gt;0,N(E40)&gt;0),E40/D40,"")</f>
        <v>566.314285714286</v>
      </c>
      <c r="G40" s="7" t="n">
        <f aca="false">IFERROR(INDEX(Prices!$C$6:$C$300,MATCH(B40,Prices!$A$6:$A$300,0)),"")</f>
        <v>322.2</v>
      </c>
      <c r="H40" s="8" t="n">
        <f aca="false">IF(ISNUMBER(G40),D40*G40,0)</f>
        <v>11277</v>
      </c>
      <c r="I40" s="8" t="n">
        <f aca="false">H40-N(E40)</f>
        <v>-8544</v>
      </c>
      <c r="J40" s="9" t="n">
        <f aca="false">IF(N(E40)&gt;0,I40/E40,"")</f>
        <v>-0.431057968820948</v>
      </c>
      <c r="K40" s="9" t="n">
        <f aca="false">IF($H$54=0,"",H40/$H$54)</f>
        <v>0.000954006391911402</v>
      </c>
      <c r="L40" s="61"/>
    </row>
    <row r="41" customFormat="false" ht="15" hidden="false" customHeight="false" outlineLevel="0" collapsed="false">
      <c r="A41" s="5" t="n">
        <v>35</v>
      </c>
      <c r="B41" s="5" t="s">
        <v>147</v>
      </c>
      <c r="C41" s="5" t="s">
        <v>244</v>
      </c>
      <c r="D41" s="60" t="n">
        <v>34</v>
      </c>
      <c r="E41" s="57" t="n">
        <v>10336</v>
      </c>
      <c r="F41" s="8" t="n">
        <f aca="false">IF(AND(D41&gt;0,N(E41)&gt;0),E41/D41,"")</f>
        <v>304</v>
      </c>
      <c r="G41" s="7" t="n">
        <f aca="false">IFERROR(INDEX(Prices!$C$6:$C$300,MATCH(B41,Prices!$A$6:$A$300,0)),"")</f>
        <v>331</v>
      </c>
      <c r="H41" s="8" t="n">
        <f aca="false">IF(ISNUMBER(G41),D41*G41,0)</f>
        <v>11254</v>
      </c>
      <c r="I41" s="8" t="n">
        <f aca="false">H41-N(E41)</f>
        <v>918</v>
      </c>
      <c r="J41" s="9" t="n">
        <f aca="false">IF(N(E41)&gt;0,I41/E41,"")</f>
        <v>0.0888157894736842</v>
      </c>
      <c r="K41" s="9" t="n">
        <f aca="false">IF($H$54=0,"",H41/$H$54)</f>
        <v>0.000952060648627376</v>
      </c>
      <c r="L41" s="61" t="s">
        <v>257</v>
      </c>
    </row>
    <row r="42" customFormat="false" ht="15" hidden="false" customHeight="false" outlineLevel="0" collapsed="false">
      <c r="A42" s="5" t="n">
        <v>36</v>
      </c>
      <c r="B42" s="5" t="s">
        <v>149</v>
      </c>
      <c r="C42" s="5" t="s">
        <v>238</v>
      </c>
      <c r="D42" s="60" t="n">
        <v>14</v>
      </c>
      <c r="E42" s="57" t="n">
        <v>22090</v>
      </c>
      <c r="F42" s="8" t="n">
        <f aca="false">IF(AND(D42&gt;0,N(E42)&gt;0),E42/D42,"")</f>
        <v>1577.85714285714</v>
      </c>
      <c r="G42" s="7" t="n">
        <f aca="false">IFERROR(INDEX(Prices!$C$6:$C$300,MATCH(B42,Prices!$A$6:$A$300,0)),"")</f>
        <v>740.3</v>
      </c>
      <c r="H42" s="8" t="n">
        <f aca="false">IF(ISNUMBER(G42),D42*G42,0)</f>
        <v>10364.2</v>
      </c>
      <c r="I42" s="8" t="n">
        <f aca="false">H42-N(E42)</f>
        <v>-11725.8</v>
      </c>
      <c r="J42" s="9" t="n">
        <f aca="false">IF(N(E42)&gt;0,I42/E42,"")</f>
        <v>-0.530819375282934</v>
      </c>
      <c r="K42" s="9" t="n">
        <f aca="false">IF($H$54=0,"",H42/$H$54)</f>
        <v>0.000876785762795792</v>
      </c>
      <c r="L42" s="61"/>
    </row>
    <row r="43" customFormat="false" ht="15" hidden="false" customHeight="false" outlineLevel="0" collapsed="false">
      <c r="A43" s="5" t="n">
        <v>37</v>
      </c>
      <c r="B43" s="5" t="s">
        <v>107</v>
      </c>
      <c r="C43" s="5" t="s">
        <v>238</v>
      </c>
      <c r="D43" s="60" t="n">
        <v>32</v>
      </c>
      <c r="E43" s="57" t="n">
        <v>3256</v>
      </c>
      <c r="F43" s="8" t="n">
        <f aca="false">IF(AND(D43&gt;0,N(E43)&gt;0),E43/D43,"")</f>
        <v>101.75</v>
      </c>
      <c r="G43" s="7" t="n">
        <f aca="false">IFERROR(INDEX(Prices!$C$6:$C$300,MATCH(B43,Prices!$A$6:$A$300,0)),"")</f>
        <v>206.43</v>
      </c>
      <c r="H43" s="8" t="n">
        <f aca="false">IF(ISNUMBER(G43),D43*G43,0)</f>
        <v>6605.76</v>
      </c>
      <c r="I43" s="8" t="n">
        <f aca="false">H43-N(E43)</f>
        <v>3349.76</v>
      </c>
      <c r="J43" s="9" t="n">
        <f aca="false">IF(N(E43)&gt;0,I43/E43,"")</f>
        <v>1.02879606879607</v>
      </c>
      <c r="K43" s="9" t="n">
        <f aca="false">IF($H$54=0,"",H43/$H$54)</f>
        <v>0.000558831006777748</v>
      </c>
      <c r="L43" s="61"/>
    </row>
    <row r="44" customFormat="false" ht="15" hidden="false" customHeight="false" outlineLevel="0" collapsed="false">
      <c r="A44" s="5" t="n">
        <v>38</v>
      </c>
      <c r="B44" s="5" t="s">
        <v>153</v>
      </c>
      <c r="C44" s="5" t="s">
        <v>244</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0.000470277691995698</v>
      </c>
      <c r="L44" s="61" t="s">
        <v>258</v>
      </c>
    </row>
    <row r="45" customFormat="false" ht="15" hidden="false" customHeight="false" outlineLevel="0" collapsed="false">
      <c r="A45" s="5" t="n">
        <v>39</v>
      </c>
      <c r="B45" s="5" t="s">
        <v>154</v>
      </c>
      <c r="C45" s="5" t="s">
        <v>238</v>
      </c>
      <c r="D45" s="60" t="n">
        <v>3</v>
      </c>
      <c r="E45" s="57" t="n">
        <v>12327</v>
      </c>
      <c r="F45" s="8" t="n">
        <f aca="false">IF(AND(D45&gt;0,N(E45)&gt;0),E45/D45,"")</f>
        <v>4109</v>
      </c>
      <c r="G45" s="7" t="n">
        <f aca="false">IFERROR(INDEX(Prices!$C$6:$C$300,MATCH(B45,Prices!$A$6:$A$300,0)),"")</f>
        <v>1656.3</v>
      </c>
      <c r="H45" s="8" t="n">
        <f aca="false">IF(ISNUMBER(G45),D45*G45,0)</f>
        <v>4968.9</v>
      </c>
      <c r="I45" s="8" t="n">
        <f aca="false">H45-N(E45)</f>
        <v>-7358.1</v>
      </c>
      <c r="J45" s="9" t="n">
        <f aca="false">IF(N(E45)&gt;0,I45/E45,"")</f>
        <v>-0.596909223655391</v>
      </c>
      <c r="K45" s="9" t="n">
        <f aca="false">IF($H$54=0,"",H45/$H$54)</f>
        <v>0.000420356687130315</v>
      </c>
      <c r="L45" s="61"/>
    </row>
    <row r="46" customFormat="false" ht="15" hidden="false" customHeight="false" outlineLevel="0" collapsed="false">
      <c r="A46" s="5" t="n">
        <v>40</v>
      </c>
      <c r="B46" s="59" t="s">
        <v>103</v>
      </c>
      <c r="C46" s="5" t="s">
        <v>238</v>
      </c>
      <c r="D46" s="60" t="n">
        <v>5</v>
      </c>
      <c r="E46" s="57" t="n">
        <v>3317</v>
      </c>
      <c r="F46" s="8" t="n">
        <f aca="false">IF(AND(D46&gt;0,N(E46)&gt;0),E46/D46,"")</f>
        <v>663.4</v>
      </c>
      <c r="G46" s="7" t="n">
        <f aca="false">IFERROR(INDEX(Prices!$C$6:$C$300,MATCH(B46,Prices!$A$6:$A$300,0)),"")</f>
        <v>804.05</v>
      </c>
      <c r="H46" s="8" t="n">
        <f aca="false">IF(ISNUMBER(G46),D46*G46,0)</f>
        <v>4020.25</v>
      </c>
      <c r="I46" s="8" t="n">
        <f aca="false">H46-N(E46)</f>
        <v>703.25</v>
      </c>
      <c r="J46" s="9" t="n">
        <f aca="false">IF(N(E46)&gt;0,I46/E46,"")</f>
        <v>0.21201386795297</v>
      </c>
      <c r="K46" s="9" t="n">
        <f aca="false">IF($H$54=0,"",H46/$H$54)</f>
        <v>0.000340103236417648</v>
      </c>
      <c r="L46" s="61"/>
    </row>
    <row r="47" customFormat="false" ht="15" hidden="false" customHeight="false" outlineLevel="0" collapsed="false">
      <c r="A47" s="5" t="n">
        <v>41</v>
      </c>
      <c r="B47" s="5" t="s">
        <v>157</v>
      </c>
      <c r="C47" s="5" t="s">
        <v>238</v>
      </c>
      <c r="D47" s="60" t="n">
        <v>1</v>
      </c>
      <c r="E47" s="57" t="n">
        <v>6103</v>
      </c>
      <c r="F47" s="8" t="n">
        <f aca="false">IF(AND(D47&gt;0,N(E47)&gt;0),E47/D47,"")</f>
        <v>6103</v>
      </c>
      <c r="G47" s="7" t="n">
        <f aca="false">IFERROR(INDEX(Prices!$C$6:$C$300,MATCH(B47,Prices!$A$6:$A$300,0)),"")</f>
        <v>3768.9</v>
      </c>
      <c r="H47" s="8" t="n">
        <f aca="false">IF(ISNUMBER(G47),D47*G47,0)</f>
        <v>3768.9</v>
      </c>
      <c r="I47" s="8" t="n">
        <f aca="false">H47-N(E47)</f>
        <v>-2334.1</v>
      </c>
      <c r="J47" s="9" t="n">
        <f aca="false">IF(N(E47)&gt;0,I47/E47,"")</f>
        <v>-0.382451253481894</v>
      </c>
      <c r="K47" s="9" t="n">
        <f aca="false">IF($H$54=0,"",H47/$H$54)</f>
        <v>0.000318839646224606</v>
      </c>
      <c r="L47" s="61"/>
    </row>
    <row r="48" customFormat="false" ht="15" hidden="false" customHeight="false" outlineLevel="0" collapsed="false">
      <c r="A48" s="5" t="n">
        <v>42</v>
      </c>
      <c r="B48" s="5" t="s">
        <v>158</v>
      </c>
      <c r="C48" s="5" t="s">
        <v>238</v>
      </c>
      <c r="D48" s="60" t="n">
        <v>5</v>
      </c>
      <c r="E48" s="57" t="n">
        <v>3380</v>
      </c>
      <c r="F48" s="8" t="n">
        <f aca="false">IF(AND(D48&gt;0,N(E48)&gt;0),E48/D48,"")</f>
        <v>676</v>
      </c>
      <c r="G48" s="7" t="n">
        <f aca="false">IFERROR(INDEX(Prices!$C$6:$C$300,MATCH(B48,Prices!$A$6:$A$300,0)),"")</f>
        <v>744.1</v>
      </c>
      <c r="H48" s="8" t="n">
        <f aca="false">IF(ISNUMBER(G48),D48*G48,0)</f>
        <v>3720.5</v>
      </c>
      <c r="I48" s="8" t="n">
        <f aca="false">H48-N(E48)</f>
        <v>340.5</v>
      </c>
      <c r="J48" s="9" t="n">
        <f aca="false">IF(N(E48)&gt;0,I48/E48,"")</f>
        <v>0.100739644970414</v>
      </c>
      <c r="K48" s="9" t="n">
        <f aca="false">IF($H$54=0,"",H48/$H$54)</f>
        <v>0.000314745125574742</v>
      </c>
      <c r="L48" s="61"/>
    </row>
    <row r="49" customFormat="false" ht="15" hidden="false" customHeight="false" outlineLevel="0" collapsed="false">
      <c r="A49" s="5" t="n">
        <v>43</v>
      </c>
      <c r="B49" s="5" t="s">
        <v>151</v>
      </c>
      <c r="C49" s="5" t="s">
        <v>244</v>
      </c>
      <c r="D49" s="60" t="n">
        <v>5</v>
      </c>
      <c r="E49" s="57" t="n">
        <v>5105</v>
      </c>
      <c r="F49" s="8" t="n">
        <f aca="false">IF(AND(D49&gt;0,N(E49)&gt;0),E49/D49,"")</f>
        <v>1021</v>
      </c>
      <c r="G49" s="7" t="n">
        <f aca="false">IFERROR(INDEX(Prices!$C$6:$C$300,MATCH(B49,Prices!$A$6:$A$300,0)),"")</f>
        <v>679.75</v>
      </c>
      <c r="H49" s="8" t="n">
        <f aca="false">IF(ISNUMBER(G49),D49*G49,0)</f>
        <v>3398.75</v>
      </c>
      <c r="I49" s="8" t="n">
        <f aca="false">H49-N(E49)</f>
        <v>-1706.25</v>
      </c>
      <c r="J49" s="9" t="n">
        <f aca="false">IF(N(E49)&gt;0,I49/E49,"")</f>
        <v>-0.334231145935357</v>
      </c>
      <c r="K49" s="9" t="n">
        <f aca="false">IF($H$54=0,"",H49/$H$54)</f>
        <v>0.000287525868981899</v>
      </c>
      <c r="L49" s="61" t="s">
        <v>259</v>
      </c>
    </row>
    <row r="50" customFormat="false" ht="15" hidden="false" customHeight="false" outlineLevel="0" collapsed="false">
      <c r="A50" s="5" t="n">
        <v>44</v>
      </c>
      <c r="B50" s="5" t="s">
        <v>159</v>
      </c>
      <c r="C50" s="5" t="s">
        <v>238</v>
      </c>
      <c r="D50" s="60" t="n">
        <v>6</v>
      </c>
      <c r="E50" s="57" t="n">
        <v>3768</v>
      </c>
      <c r="F50" s="8" t="n">
        <f aca="false">IF(AND(D50&gt;0,N(E50)&gt;0),E50/D50,"")</f>
        <v>628</v>
      </c>
      <c r="G50" s="7" t="n">
        <f aca="false">IFERROR(INDEX(Prices!$C$6:$C$300,MATCH(B50,Prices!$A$6:$A$300,0)),"")</f>
        <v>449.35</v>
      </c>
      <c r="H50" s="8" t="n">
        <f aca="false">IF(ISNUMBER(G50),D50*G50,0)</f>
        <v>2696.1</v>
      </c>
      <c r="I50" s="8" t="n">
        <f aca="false">H50-N(E50)</f>
        <v>-1071.9</v>
      </c>
      <c r="J50" s="9" t="n">
        <f aca="false">IF(N(E50)&gt;0,I50/E50,"")</f>
        <v>-0.284474522292994</v>
      </c>
      <c r="K50" s="9" t="n">
        <f aca="false">IF($H$54=0,"",H50/$H$54)</f>
        <v>0.000228083411654902</v>
      </c>
      <c r="L50" s="61"/>
    </row>
    <row r="51" customFormat="false" ht="15" hidden="false" customHeight="false" outlineLevel="0" collapsed="false">
      <c r="A51" s="5" t="n">
        <v>45</v>
      </c>
      <c r="B51" s="5" t="s">
        <v>161</v>
      </c>
      <c r="C51" s="5" t="s">
        <v>238</v>
      </c>
      <c r="D51" s="60" t="n">
        <v>1</v>
      </c>
      <c r="E51" s="57" t="n">
        <v>2393</v>
      </c>
      <c r="F51" s="8" t="n">
        <f aca="false">IF(AND(D51&gt;0,N(E51)&gt;0),E51/D51,"")</f>
        <v>2393</v>
      </c>
      <c r="G51" s="7" t="n">
        <f aca="false">IFERROR(INDEX(Prices!$C$6:$C$300,MATCH(B51,Prices!$A$6:$A$300,0)),"")</f>
        <v>1489.8</v>
      </c>
      <c r="H51" s="8" t="n">
        <f aca="false">IF(ISNUMBER(G51),D51*G51,0)</f>
        <v>1489.8</v>
      </c>
      <c r="I51" s="8" t="n">
        <f aca="false">H51-N(E51)</f>
        <v>-903.2</v>
      </c>
      <c r="J51" s="9" t="n">
        <f aca="false">IF(N(E51)&gt;0,I51/E51,"")</f>
        <v>-0.377434183033849</v>
      </c>
      <c r="K51" s="9" t="n">
        <f aca="false">IF($H$54=0,"",H51/$H$54)</f>
        <v>0.000126033406284438</v>
      </c>
      <c r="L51" s="61"/>
    </row>
    <row r="52" customFormat="false" ht="15" hidden="false" customHeight="false" outlineLevel="0" collapsed="false">
      <c r="A52" s="5" t="n">
        <v>46</v>
      </c>
      <c r="B52" s="5" t="s">
        <v>137</v>
      </c>
      <c r="C52" s="5" t="s">
        <v>238</v>
      </c>
      <c r="D52" s="60" t="n">
        <v>12</v>
      </c>
      <c r="E52" s="57" t="n">
        <v>2262</v>
      </c>
      <c r="F52" s="8" t="n">
        <f aca="false">IF(AND(D52&gt;0,N(E52)&gt;0),E52/D52,"")</f>
        <v>188.5</v>
      </c>
      <c r="G52" s="7" t="n">
        <f aca="false">IFERROR(INDEX(Prices!$C$6:$C$300,MATCH(B52,Prices!$A$6:$A$300,0)),"")</f>
        <v>103.62</v>
      </c>
      <c r="H52" s="8" t="n">
        <f aca="false">IF(ISNUMBER(G52),D52*G52,0)</f>
        <v>1243.44</v>
      </c>
      <c r="I52" s="8" t="n">
        <f aca="false">H52-N(E52)</f>
        <v>-1018.56</v>
      </c>
      <c r="J52" s="9" t="n">
        <f aca="false">IF(N(E52)&gt;0,I52/E52,"")</f>
        <v>-0.450291777188329</v>
      </c>
      <c r="K52" s="9" t="n">
        <f aca="false">IF($H$54=0,"",H52/$H$54)</f>
        <v>0.000105191957786496</v>
      </c>
      <c r="L52" s="61"/>
    </row>
    <row r="53" customFormat="false" ht="15" hidden="false" customHeight="false" outlineLevel="0" collapsed="false">
      <c r="A53" s="5" t="n">
        <v>47</v>
      </c>
      <c r="B53" s="5" t="s">
        <v>163</v>
      </c>
      <c r="C53" s="5" t="s">
        <v>238</v>
      </c>
      <c r="D53" s="60" t="n">
        <v>5</v>
      </c>
      <c r="E53" s="57" t="n">
        <v>1680</v>
      </c>
      <c r="F53" s="8" t="n">
        <f aca="false">IF(AND(D53&gt;0,N(E53)&gt;0),E53/D53,"")</f>
        <v>336</v>
      </c>
      <c r="G53" s="7" t="n">
        <f aca="false">IFERROR(INDEX(Prices!$C$6:$C$300,MATCH(B53,Prices!$A$6:$A$300,0)),"")</f>
        <v>158.91</v>
      </c>
      <c r="H53" s="8" t="n">
        <f aca="false">IF(ISNUMBER(G53),D53*G53,0)</f>
        <v>794.55</v>
      </c>
      <c r="I53" s="8" t="n">
        <f aca="false">H53-N(E53)</f>
        <v>-885.45</v>
      </c>
      <c r="J53" s="9" t="n">
        <f aca="false">IF(N(E53)&gt;0,I53/E53,"")</f>
        <v>-0.527053571428572</v>
      </c>
      <c r="K53" s="9" t="n">
        <f aca="false">IF($H$54=0,"",H53/$H$54)</f>
        <v>6.72169707096927E-005</v>
      </c>
      <c r="L53" s="61"/>
    </row>
    <row r="54" customFormat="false" ht="15" hidden="false" customHeight="false" outlineLevel="0" collapsed="false">
      <c r="A54" s="89"/>
      <c r="B54" s="89" t="s">
        <v>78</v>
      </c>
      <c r="C54" s="89"/>
      <c r="D54" s="89"/>
      <c r="E54" s="90"/>
      <c r="F54" s="89"/>
      <c r="G54" s="89"/>
      <c r="H54" s="90" t="n">
        <f aca="false">SUM(H7:H53)</f>
        <v>11820675.5170748</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260</v>
      </c>
      <c r="E57" s="76" t="n">
        <v>11949395</v>
      </c>
    </row>
    <row r="58" customFormat="false" ht="15" hidden="false" customHeight="false" outlineLevel="0" collapsed="false">
      <c r="B58" s="75" t="s">
        <v>210</v>
      </c>
      <c r="E58" s="76" t="n">
        <v>850000</v>
      </c>
    </row>
    <row r="59" customFormat="false" ht="15" hidden="false" customHeight="false" outlineLevel="0" collapsed="false">
      <c r="B59" s="75" t="s">
        <v>261</v>
      </c>
      <c r="E59" s="76" t="n">
        <v>60000</v>
      </c>
    </row>
    <row r="60" customFormat="false" ht="15" hidden="false" customHeight="false" outlineLevel="0" collapsed="false">
      <c r="B60" s="92" t="s">
        <v>212</v>
      </c>
      <c r="C60" s="93"/>
      <c r="D60" s="93"/>
      <c r="E60" s="94" t="n">
        <f aca="false">SUM(E57:E59)</f>
        <v>12859395</v>
      </c>
      <c r="F60" s="93"/>
    </row>
    <row r="61" customFormat="false" ht="15" hidden="false" customHeight="false" outlineLevel="0" collapsed="false">
      <c r="B61" s="75" t="s">
        <v>213</v>
      </c>
      <c r="E61" s="80" t="n">
        <f aca="false">H54</f>
        <v>11820675.5170748</v>
      </c>
    </row>
    <row r="62" customFormat="false" ht="15" hidden="false" customHeight="false" outlineLevel="0" collapsed="false">
      <c r="B62" s="92" t="s">
        <v>214</v>
      </c>
      <c r="C62" s="93"/>
      <c r="D62" s="93"/>
      <c r="E62" s="94" t="n">
        <f aca="false">E61-E60</f>
        <v>-1038719.48292517</v>
      </c>
      <c r="F62" s="95" t="n">
        <f aca="false">IF(E60&gt;0,E62/E60,"")</f>
        <v>-0.0807751440036774</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262</v>
      </c>
    </row>
    <row r="2" customFormat="false" ht="15" hidden="false" customHeight="false" outlineLevel="0" collapsed="false">
      <c r="A2" s="2" t="s">
        <v>263</v>
      </c>
    </row>
    <row r="3" customFormat="false" ht="15" hidden="false" customHeight="false" outlineLevel="0" collapsed="false">
      <c r="A3" s="2" t="s">
        <v>187</v>
      </c>
    </row>
    <row r="5" customFormat="false" ht="15" hidden="false" customHeight="false" outlineLevel="0" collapsed="false">
      <c r="Q5" s="30" t="s">
        <v>264</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925.8</v>
      </c>
      <c r="H7" s="8" t="n">
        <f aca="false">IF(ISNUMBER(G7),D7*G7,0)</f>
        <v>4573452</v>
      </c>
      <c r="I7" s="8" t="n">
        <f aca="false">H7-N(E7)</f>
        <v>-77526</v>
      </c>
      <c r="J7" s="9" t="n">
        <f aca="false">IF(N(E7)&gt;0,I7/E7,"")</f>
        <v>-0.0166687522495269</v>
      </c>
      <c r="K7" s="9" t="n">
        <f aca="false">IF($H$32=0,"",H7/$H$32)</f>
        <v>0.386860944700498</v>
      </c>
      <c r="L7" s="61" t="s">
        <v>265</v>
      </c>
      <c r="Q7" s="62" t="s">
        <v>266</v>
      </c>
      <c r="R7" s="62" t="s">
        <v>205</v>
      </c>
      <c r="S7" s="62" t="s">
        <v>111</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4402.7</v>
      </c>
      <c r="H8" s="8" t="n">
        <f aca="false">IF(ISNUMBER(G8),D8*G8,0)</f>
        <v>1100675</v>
      </c>
      <c r="I8" s="8" t="n">
        <f aca="false">H8-N(E8)</f>
        <v>28728</v>
      </c>
      <c r="J8" s="9" t="n">
        <f aca="false">IF(N(E8)&gt;0,I8/E8,"")</f>
        <v>0.0267998324544031</v>
      </c>
      <c r="K8" s="9" t="n">
        <f aca="false">IF($H$32=0,"",H8/$H$32)</f>
        <v>0.093104326952206</v>
      </c>
      <c r="L8" s="61" t="s">
        <v>267</v>
      </c>
      <c r="Q8" s="62" t="s">
        <v>266</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421.45</v>
      </c>
      <c r="H9" s="8" t="n">
        <f aca="false">IF(ISNUMBER(G9),D9*G9,0)</f>
        <v>842900</v>
      </c>
      <c r="I9" s="8" t="n">
        <f aca="false">H9-N(E9)</f>
        <v>-2400</v>
      </c>
      <c r="J9" s="9" t="n">
        <f aca="false">IF(N(E9)&gt;0,I9/E9,"")</f>
        <v>-0.00283922867620963</v>
      </c>
      <c r="K9" s="9" t="n">
        <f aca="false">IF($H$32=0,"",H9/$H$32)</f>
        <v>0.0712995545351847</v>
      </c>
      <c r="L9" s="61"/>
      <c r="Q9" s="62" t="s">
        <v>266</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1918</v>
      </c>
      <c r="E10" s="57" t="n">
        <v>824630</v>
      </c>
      <c r="F10" s="8" t="n">
        <f aca="false">IF(AND(D10&gt;0,N(E10)&gt;0),E10/D10,"")</f>
        <v>429.942648592284</v>
      </c>
      <c r="G10" s="7" t="n">
        <f aca="false">IFERROR(INDEX(Prices!$C$6:$C$300,MATCH(B10,Prices!$A$6:$A$300,0)),"")</f>
        <v>433.25</v>
      </c>
      <c r="H10" s="8" t="n">
        <f aca="false">IF(ISNUMBER(G10),D10*G10,0)</f>
        <v>830973.5</v>
      </c>
      <c r="I10" s="8" t="n">
        <f aca="false">H10-N(E10)</f>
        <v>6343.5</v>
      </c>
      <c r="J10" s="9" t="n">
        <f aca="false">IF(N(E10)&gt;0,I10/E10,"")</f>
        <v>0.00769254089712962</v>
      </c>
      <c r="K10" s="9" t="n">
        <f aca="false">IF($H$32=0,"",H10/$H$32)</f>
        <v>0.0702907110933009</v>
      </c>
      <c r="L10" s="61" t="s">
        <v>268</v>
      </c>
      <c r="Q10" s="62" t="s">
        <v>266</v>
      </c>
      <c r="R10" s="62" t="s">
        <v>201</v>
      </c>
      <c r="S10" s="62" t="s">
        <v>83</v>
      </c>
      <c r="T10" s="62" t="n">
        <v>79</v>
      </c>
      <c r="U10" s="57" t="n">
        <v>710.85</v>
      </c>
      <c r="V10" s="57" t="n">
        <v>56157</v>
      </c>
    </row>
    <row r="11" customFormat="false" ht="15" hidden="false" customHeight="false" outlineLevel="0" collapsed="false">
      <c r="A11" s="5" t="n">
        <v>5</v>
      </c>
      <c r="B11" s="59" t="s">
        <v>83</v>
      </c>
      <c r="C11" s="5" t="s">
        <v>28</v>
      </c>
      <c r="D11" s="60" t="n">
        <v>1140</v>
      </c>
      <c r="E11" s="57" t="n">
        <v>876490</v>
      </c>
      <c r="F11" s="8" t="n">
        <f aca="false">IF(AND(D11&gt;0,N(E11)&gt;0),E11/D11,"")</f>
        <v>768.850877192983</v>
      </c>
      <c r="G11" s="7" t="n">
        <f aca="false">IFERROR(INDEX(Prices!$C$6:$C$300,MATCH(B11,Prices!$A$6:$A$300,0)),"")</f>
        <v>684.6</v>
      </c>
      <c r="H11" s="8" t="n">
        <f aca="false">IF(ISNUMBER(G11),D11*G11,0)</f>
        <v>780444</v>
      </c>
      <c r="I11" s="8" t="n">
        <f aca="false">H11-N(E11)</f>
        <v>-96046</v>
      </c>
      <c r="J11" s="9" t="n">
        <f aca="false">IF(N(E11)&gt;0,I11/E11,"")</f>
        <v>-0.109580257618455</v>
      </c>
      <c r="K11" s="9" t="n">
        <f aca="false">IF($H$32=0,"",H11/$H$32)</f>
        <v>0.0660165020045767</v>
      </c>
      <c r="L11" s="61" t="s">
        <v>269</v>
      </c>
      <c r="Q11" s="62" t="s">
        <v>266</v>
      </c>
      <c r="R11" s="62" t="s">
        <v>201</v>
      </c>
      <c r="S11" s="62" t="s">
        <v>82</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2479</v>
      </c>
      <c r="H12" s="8" t="n">
        <f aca="false">IF(ISNUMBER(G12),D12*G12,0)</f>
        <v>756095</v>
      </c>
      <c r="I12" s="8" t="n">
        <f aca="false">H12-N(E12)</f>
        <v>96685</v>
      </c>
      <c r="J12" s="9" t="n">
        <f aca="false">IF(N(E12)&gt;0,I12/E12,"")</f>
        <v>0.146623496762257</v>
      </c>
      <c r="K12" s="9" t="n">
        <f aca="false">IF($H$32=0,"",H12/$H$32)</f>
        <v>0.0639568592790135</v>
      </c>
      <c r="L12" s="61"/>
      <c r="Q12" s="62" t="s">
        <v>266</v>
      </c>
      <c r="R12" s="62" t="s">
        <v>205</v>
      </c>
      <c r="S12" s="62" t="s">
        <v>270</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1329</v>
      </c>
      <c r="H13" s="8" t="n">
        <f aca="false">IF(ISNUMBER(G13),D13*G13,0)</f>
        <v>478440</v>
      </c>
      <c r="I13" s="8" t="n">
        <f aca="false">H13-N(E13)</f>
        <v>117360</v>
      </c>
      <c r="J13" s="9" t="n">
        <f aca="false">IF(N(E13)&gt;0,I13/E13,"")</f>
        <v>0.325024925224327</v>
      </c>
      <c r="K13" s="9" t="n">
        <f aca="false">IF($H$32=0,"",H13/$H$32)</f>
        <v>0.0404704696545424</v>
      </c>
      <c r="L13" s="61"/>
      <c r="Q13" s="62" t="s">
        <v>266</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4089.2</v>
      </c>
      <c r="H14" s="8" t="n">
        <f aca="false">IF(ISNUMBER(G14),D14*G14,0)</f>
        <v>339403.6</v>
      </c>
      <c r="I14" s="8" t="n">
        <f aca="false">H14-N(E14)</f>
        <v>15877.6</v>
      </c>
      <c r="J14" s="9" t="n">
        <f aca="false">IF(N(E14)&gt;0,I14/E14,"")</f>
        <v>0.0490767357183039</v>
      </c>
      <c r="K14" s="9" t="n">
        <f aca="false">IF($H$32=0,"",H14/$H$32)</f>
        <v>0.0287096043274861</v>
      </c>
      <c r="L14" s="61"/>
      <c r="Q14" s="62" t="s">
        <v>271</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78.1</v>
      </c>
      <c r="H15" s="8" t="n">
        <f aca="false">IF(ISNUMBER(G15),D15*G15,0)</f>
        <v>330128.7</v>
      </c>
      <c r="I15" s="8" t="n">
        <f aca="false">H15-N(E15)</f>
        <v>-29949.3</v>
      </c>
      <c r="J15" s="9" t="n">
        <f aca="false">IF(N(E15)&gt;0,I15/E15,"")</f>
        <v>-0.0831744788629132</v>
      </c>
      <c r="K15" s="9" t="n">
        <f aca="false">IF($H$32=0,"",H15/$H$32)</f>
        <v>0.0279250554624269</v>
      </c>
      <c r="L15" s="61" t="s">
        <v>272</v>
      </c>
      <c r="Q15" s="62" t="s">
        <v>271</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4199</v>
      </c>
      <c r="H16" s="8" t="n">
        <f aca="false">IF(ISNUMBER(G16),D16*G16,0)</f>
        <v>327522</v>
      </c>
      <c r="I16" s="8" t="n">
        <f aca="false">H16-N(E16)</f>
        <v>57978</v>
      </c>
      <c r="J16" s="9" t="n">
        <f aca="false">IF(N(E16)&gt;0,I16/E16,"")</f>
        <v>0.215096607603953</v>
      </c>
      <c r="K16" s="9" t="n">
        <f aca="false">IF($H$32=0,"",H16/$H$32)</f>
        <v>0.0277045589043454</v>
      </c>
      <c r="L16" s="61" t="s">
        <v>273</v>
      </c>
      <c r="Q16" s="62" t="s">
        <v>271</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408.9</v>
      </c>
      <c r="H17" s="8" t="n">
        <f aca="false">IF(ISNUMBER(G17),D17*G17,0)</f>
        <v>286230</v>
      </c>
      <c r="I17" s="8" t="n">
        <f aca="false">H17-N(E17)</f>
        <v>-54075</v>
      </c>
      <c r="J17" s="9" t="n">
        <f aca="false">IF(N(E17)&gt;0,I17/E17,"")</f>
        <v>-0.158901573588399</v>
      </c>
      <c r="K17" s="9" t="n">
        <f aca="false">IF($H$32=0,"",H17/$H$32)</f>
        <v>0.0242117350748676</v>
      </c>
      <c r="L17" s="61"/>
      <c r="Q17" s="62" t="s">
        <v>271</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51.15</v>
      </c>
      <c r="H18" s="8" t="n">
        <f aca="false">IF(ISNUMBER(G18),D18*G18,0)</f>
        <v>262962.15</v>
      </c>
      <c r="I18" s="8" t="n">
        <f aca="false">H18-N(E18)</f>
        <v>38142.15</v>
      </c>
      <c r="J18" s="9" t="n">
        <f aca="false">IF(N(E18)&gt;0,I18/E18,"")</f>
        <v>0.169656391780091</v>
      </c>
      <c r="K18" s="9" t="n">
        <f aca="false">IF($H$32=0,"",H18/$H$32)</f>
        <v>0.0222435450879279</v>
      </c>
      <c r="L18" s="61" t="s">
        <v>274</v>
      </c>
      <c r="Q18" s="62" t="s">
        <v>271</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3794.1</v>
      </c>
      <c r="H19" s="8" t="n">
        <f aca="false">IF(ISNUMBER(G19),D19*G19,0)</f>
        <v>246616.5</v>
      </c>
      <c r="I19" s="8" t="n">
        <f aca="false">H19-N(E19)</f>
        <v>-15443.5</v>
      </c>
      <c r="J19" s="9" t="n">
        <f aca="false">IF(N(E19)&gt;0,I19/E19,"")</f>
        <v>-0.0589311608028696</v>
      </c>
      <c r="K19" s="9" t="n">
        <f aca="false">IF($H$32=0,"",H19/$H$32)</f>
        <v>0.020860892859208</v>
      </c>
      <c r="L19" s="61" t="s">
        <v>275</v>
      </c>
      <c r="Q19" s="62" t="s">
        <v>271</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240</v>
      </c>
      <c r="H20" s="8" t="n">
        <f aca="false">IF(ISNUMBER(G20),D20*G20,0)</f>
        <v>192000</v>
      </c>
      <c r="I20" s="8" t="n">
        <f aca="false">H20-N(E20)</f>
        <v>21800</v>
      </c>
      <c r="J20" s="9" t="n">
        <f aca="false">IF(N(E20)&gt;0,I20/E20,"")</f>
        <v>0.128084606345476</v>
      </c>
      <c r="K20" s="9" t="n">
        <f aca="false">IF($H$32=0,"",H20/$H$32)</f>
        <v>0.0162409710176242</v>
      </c>
      <c r="L20" s="61"/>
      <c r="Q20" s="62" t="s">
        <v>271</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1395.7</v>
      </c>
      <c r="H21" s="8" t="n">
        <f aca="false">IF(ISNUMBER(G21),D21*G21,0)</f>
        <v>108864.6</v>
      </c>
      <c r="I21" s="8" t="n">
        <f aca="false">H21-N(E21)</f>
        <v>-5662.39999999999</v>
      </c>
      <c r="J21" s="9" t="n">
        <f aca="false">IF(N(E21)&gt;0,I21/E21,"")</f>
        <v>-0.0494416163874021</v>
      </c>
      <c r="K21" s="9" t="n">
        <f aca="false">IF($H$32=0,"",H21/$H$32)</f>
        <v>0.00920868132002737</v>
      </c>
      <c r="L21" s="61" t="s">
        <v>276</v>
      </c>
      <c r="Q21" s="62" t="s">
        <v>271</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5883.5</v>
      </c>
      <c r="H22" s="8" t="n">
        <f aca="false">IF(ISNUMBER(G22),D22*G22,0)</f>
        <v>76485.5</v>
      </c>
      <c r="I22" s="8" t="n">
        <f aca="false">H22-N(E22)</f>
        <v>7979.5</v>
      </c>
      <c r="J22" s="9" t="n">
        <f aca="false">IF(N(E22)&gt;0,I22/E22,"")</f>
        <v>0.116478848568009</v>
      </c>
      <c r="K22" s="9" t="n">
        <f aca="false">IF($H$32=0,"",H22/$H$32)</f>
        <v>0.00646978535816926</v>
      </c>
      <c r="L22" s="61" t="s">
        <v>273</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1063.4</v>
      </c>
      <c r="H23" s="8" t="n">
        <f aca="false">IF(ISNUMBER(G23),D23*G23,0)</f>
        <v>72311.2</v>
      </c>
      <c r="I23" s="8" t="n">
        <f aca="false">H23-N(E23)</f>
        <v>-11902.8</v>
      </c>
      <c r="J23" s="9" t="n">
        <f aca="false">IF(N(E23)&gt;0,I23/E23,"")</f>
        <v>-0.141339919728311</v>
      </c>
      <c r="K23" s="9" t="n">
        <f aca="false">IF($H$32=0,"",H23/$H$32)</f>
        <v>0.00611668803880016</v>
      </c>
      <c r="L23" s="61" t="s">
        <v>274</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804.05</v>
      </c>
      <c r="H24" s="8" t="n">
        <f aca="false">IF(ISNUMBER(G24),D24*G24,0)</f>
        <v>65932.1</v>
      </c>
      <c r="I24" s="8" t="n">
        <f aca="false">H24-N(E24)</f>
        <v>-5064.90000000001</v>
      </c>
      <c r="J24" s="9" t="n">
        <f aca="false">IF(N(E24)&gt;0,I24/E24,"")</f>
        <v>-0.0713396340690453</v>
      </c>
      <c r="K24" s="9" t="n">
        <f aca="false">IF($H$32=0,"",H24/$H$32)</f>
        <v>0.00557709023557866</v>
      </c>
      <c r="L24" s="61" t="s">
        <v>277</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7244</v>
      </c>
      <c r="H25" s="8" t="n">
        <f aca="false">IF(ISNUMBER(G25),D25*G25,0)</f>
        <v>57952</v>
      </c>
      <c r="I25" s="8" t="n">
        <f aca="false">H25-N(E25)</f>
        <v>508</v>
      </c>
      <c r="J25" s="9" t="n">
        <f aca="false">IF(N(E25)&gt;0,I25/E25,"")</f>
        <v>0.00884339530673351</v>
      </c>
      <c r="K25" s="9" t="n">
        <f aca="false">IF($H$32=0,"",H25/$H$32)</f>
        <v>0.00490206641881958</v>
      </c>
      <c r="L25" s="61" t="s">
        <v>278</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3153.9</v>
      </c>
      <c r="H26" s="8" t="n">
        <f aca="false">IF(ISNUMBER(G26),D26*G26,0)</f>
        <v>31539</v>
      </c>
      <c r="I26" s="8" t="n">
        <f aca="false">H26-N(E26)</f>
        <v>-3568</v>
      </c>
      <c r="J26" s="9" t="n">
        <f aca="false">IF(N(E26)&gt;0,I26/E26,"")</f>
        <v>-0.101632153131854</v>
      </c>
      <c r="K26" s="9" t="n">
        <f aca="false">IF($H$32=0,"",H26/$H$32)</f>
        <v>0.00266783325481693</v>
      </c>
      <c r="L26" s="61" t="s">
        <v>278</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2298.1</v>
      </c>
      <c r="H27" s="8" t="n">
        <f aca="false">IF(ISNUMBER(G27),D27*G27,0)</f>
        <v>25279.1</v>
      </c>
      <c r="I27" s="8" t="n">
        <f aca="false">H27-N(E27)</f>
        <v>-6155.9</v>
      </c>
      <c r="J27" s="9" t="n">
        <f aca="false">IF(N(E27)&gt;0,I27/E27,"")</f>
        <v>-0.195829489422618</v>
      </c>
      <c r="K27" s="9" t="n">
        <f aca="false">IF($H$32=0,"",H27/$H$32)</f>
        <v>0.00213831838776888</v>
      </c>
      <c r="L27" s="61" t="s">
        <v>274</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2847.8</v>
      </c>
      <c r="H28" s="8" t="n">
        <f aca="false">IF(ISNUMBER(G28),D28*G28,0)</f>
        <v>22782.4</v>
      </c>
      <c r="I28" s="8" t="n">
        <f aca="false">H28-N(E28)</f>
        <v>652.400000000002</v>
      </c>
      <c r="J28" s="9" t="n">
        <f aca="false">IF(N(E28)&gt;0,I28/E28,"")</f>
        <v>0.0294803434252147</v>
      </c>
      <c r="K28" s="9" t="n">
        <f aca="false">IF($H$32=0,"",H28/$H$32)</f>
        <v>0.00192712655266626</v>
      </c>
      <c r="L28" s="61" t="s">
        <v>279</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1178.4</v>
      </c>
      <c r="H29" s="8" t="n">
        <f aca="false">IF(ISNUMBER(G29),D29*G29,0)</f>
        <v>8248.8</v>
      </c>
      <c r="I29" s="8" t="n">
        <f aca="false">H29-N(E29)</f>
        <v>-861.199999999999</v>
      </c>
      <c r="J29" s="9" t="n">
        <f aca="false">IF(N(E29)&gt;0,I29/E29,"")</f>
        <v>-0.0945334796926453</v>
      </c>
      <c r="K29" s="9" t="n">
        <f aca="false">IF($H$32=0,"",H29/$H$32)</f>
        <v>0.000697752717344681</v>
      </c>
      <c r="L29" s="61" t="s">
        <v>274</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679.75</v>
      </c>
      <c r="H30" s="8" t="n">
        <f aca="false">IF(ISNUMBER(G30),D30*G30,0)</f>
        <v>3398.75</v>
      </c>
      <c r="I30" s="8" t="n">
        <f aca="false">H30-N(E30)</f>
        <v>-882.25</v>
      </c>
      <c r="J30" s="9" t="n">
        <f aca="false">IF(N(E30)&gt;0,I30/E30,"")</f>
        <v>-0.206085026862883</v>
      </c>
      <c r="K30" s="9" t="n">
        <f aca="false">IF($H$32=0,"",H30/$H$32)</f>
        <v>0.0002874947929487</v>
      </c>
      <c r="L30" s="61" t="s">
        <v>274</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0.000111431969851099</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11821953.2435374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280</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83</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82</v>
      </c>
      <c r="T38" s="62" t="n">
        <v>651</v>
      </c>
      <c r="U38" s="57" t="n">
        <v>417.5</v>
      </c>
      <c r="V38" s="57" t="n">
        <v>271792</v>
      </c>
    </row>
    <row r="39" customFormat="false" ht="15" hidden="false" customHeight="false" outlineLevel="0" collapsed="false">
      <c r="B39" s="75" t="s">
        <v>213</v>
      </c>
      <c r="E39" s="80" t="n">
        <f aca="false">H32</f>
        <v>11821953.2435374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-1309866.75646259</v>
      </c>
      <c r="F40" s="102" t="n">
        <f aca="false">IF(E38&gt;0,E40/E38,"")</f>
        <v>-0.0997475411985989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187</v>
      </c>
    </row>
    <row r="5" customFormat="false" ht="15" hidden="false" customHeight="false" outlineLevel="0" collapsed="false">
      <c r="Q5" s="30" t="s">
        <v>283</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925.8</v>
      </c>
      <c r="H7" s="8" t="n">
        <f aca="false">IF(ISNUMBER(G7),D7*G7,0)</f>
        <v>112021.8</v>
      </c>
      <c r="I7" s="8" t="n">
        <f aca="false">H7-N(E7)</f>
        <v>19093.8</v>
      </c>
      <c r="J7" s="9" t="n">
        <f aca="false">IF(N(E7)&gt;0,I7/E7,"")</f>
        <v>0.20546875</v>
      </c>
      <c r="K7" s="9" t="n">
        <f aca="false">IF($H$19=0,"",H7/$H$19)</f>
        <v>0.499825780092661</v>
      </c>
      <c r="L7" s="61"/>
      <c r="Q7" s="62" t="s">
        <v>284</v>
      </c>
      <c r="R7" s="62" t="s">
        <v>201</v>
      </c>
      <c r="S7" s="62" t="s">
        <v>82</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4402.7</v>
      </c>
      <c r="H8" s="8" t="n">
        <f aca="false">IF(ISNUMBER(G8),D8*G8,0)</f>
        <v>39624.3</v>
      </c>
      <c r="I8" s="8" t="n">
        <f aca="false">H8-N(E8)</f>
        <v>11183.3</v>
      </c>
      <c r="J8" s="9" t="n">
        <f aca="false">IF(N(E8)&gt;0,I8/E8,"")</f>
        <v>0.393210505959706</v>
      </c>
      <c r="K8" s="9" t="n">
        <f aca="false">IF($H$19=0,"",H8/$H$19)</f>
        <v>0.17679814695109</v>
      </c>
      <c r="L8" s="61"/>
      <c r="Q8" s="62" t="s">
        <v>285</v>
      </c>
      <c r="R8" s="62" t="s">
        <v>201</v>
      </c>
      <c r="S8" s="62" t="s">
        <v>83</v>
      </c>
      <c r="T8" s="62" t="n">
        <v>2</v>
      </c>
      <c r="U8" s="57" t="n">
        <v>707</v>
      </c>
      <c r="V8" s="57" t="n">
        <v>1414</v>
      </c>
    </row>
    <row r="9" customFormat="false" ht="15" hidden="false" customHeight="false" outlineLevel="0" collapsed="false">
      <c r="A9" s="5" t="n">
        <v>3</v>
      </c>
      <c r="B9" s="59" t="s">
        <v>82</v>
      </c>
      <c r="C9" s="5" t="s">
        <v>32</v>
      </c>
      <c r="D9" s="60" t="n">
        <v>38</v>
      </c>
      <c r="E9" s="57" t="n">
        <v>17192</v>
      </c>
      <c r="F9" s="8" t="n">
        <f aca="false">IF(AND(D9&gt;0,N(E9)&gt;0),E9/D9,"")</f>
        <v>452.421052631579</v>
      </c>
      <c r="G9" s="7" t="n">
        <f aca="false">IFERROR(INDEX(Prices!$C$6:$C$300,MATCH(B9,Prices!$A$6:$A$300,0)),"")</f>
        <v>433.25</v>
      </c>
      <c r="H9" s="8" t="n">
        <f aca="false">IF(ISNUMBER(G9),D9*G9,0)</f>
        <v>16463.5</v>
      </c>
      <c r="I9" s="8" t="n">
        <f aca="false">H9-N(E9)</f>
        <v>-728.5</v>
      </c>
      <c r="J9" s="9" t="n">
        <f aca="false">IF(N(E9)&gt;0,I9/E9,"")</f>
        <v>-0.0423743601675198</v>
      </c>
      <c r="K9" s="9" t="n">
        <f aca="false">IF($H$19=0,"",H9/$H$19)</f>
        <v>0.0734578602607307</v>
      </c>
      <c r="L9" s="61"/>
      <c r="Q9" s="62" t="s">
        <v>286</v>
      </c>
      <c r="R9" s="62" t="s">
        <v>201</v>
      </c>
      <c r="S9" s="62" t="s">
        <v>79</v>
      </c>
      <c r="T9" s="62" t="n">
        <v>5</v>
      </c>
      <c r="U9" s="57" t="n">
        <v>974</v>
      </c>
      <c r="V9" s="57" t="n">
        <v>4869</v>
      </c>
    </row>
    <row r="10" customFormat="false" ht="15" hidden="false" customHeight="false" outlineLevel="0" collapsed="false">
      <c r="A10" s="5" t="n">
        <v>4</v>
      </c>
      <c r="B10" s="59" t="s">
        <v>83</v>
      </c>
      <c r="C10" s="5" t="s">
        <v>32</v>
      </c>
      <c r="D10" s="60" t="n">
        <v>21</v>
      </c>
      <c r="E10" s="57" t="n">
        <v>16598</v>
      </c>
      <c r="F10" s="8" t="n">
        <f aca="false">IF(AND(D10&gt;0,N(E10)&gt;0),E10/D10,"")</f>
        <v>790.380952380952</v>
      </c>
      <c r="G10" s="7" t="n">
        <f aca="false">IFERROR(INDEX(Prices!$C$6:$C$300,MATCH(B10,Prices!$A$6:$A$300,0)),"")</f>
        <v>684.6</v>
      </c>
      <c r="H10" s="8" t="n">
        <f aca="false">IF(ISNUMBER(G10),D10*G10,0)</f>
        <v>14376.6</v>
      </c>
      <c r="I10" s="8" t="n">
        <f aca="false">H10-N(E10)</f>
        <v>-2221.4</v>
      </c>
      <c r="J10" s="9" t="n">
        <f aca="false">IF(N(E10)&gt;0,I10/E10,"")</f>
        <v>-0.133835401855645</v>
      </c>
      <c r="K10" s="9" t="n">
        <f aca="false">IF($H$19=0,"",H10/$H$19)</f>
        <v>0.0641464010583667</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1409.3</v>
      </c>
      <c r="H11" s="8" t="n">
        <f aca="false">IF(ISNUMBER(G11),D11*G11,0)</f>
        <v>12683.7</v>
      </c>
      <c r="I11" s="8" t="n">
        <f aca="false">H11-N(E11)</f>
        <v>2399.7</v>
      </c>
      <c r="J11" s="9" t="n">
        <f aca="false">IF(N(E11)&gt;0,I11/E11,"")</f>
        <v>0.233343057176196</v>
      </c>
      <c r="K11" s="9" t="n">
        <f aca="false">IF($H$19=0,"",H11/$H$19)</f>
        <v>0.0565929153696984</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78.1</v>
      </c>
      <c r="H12" s="8" t="n">
        <f aca="false">IF(ISNUMBER(G12),D12*G12,0)</f>
        <v>9450.1</v>
      </c>
      <c r="I12" s="8" t="n">
        <f aca="false">H12-N(E12)</f>
        <v>-4517.9</v>
      </c>
      <c r="J12" s="9" t="n">
        <f aca="false">IF(N(E12)&gt;0,I12/E12,"")</f>
        <v>-0.323446449026346</v>
      </c>
      <c r="K12" s="9" t="n">
        <f aca="false">IF($H$19=0,"",H12/$H$19)</f>
        <v>0.0421650393446066</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4089.2</v>
      </c>
      <c r="H13" s="8" t="n">
        <f aca="false">IF(ISNUMBER(G13),D13*G13,0)</f>
        <v>8178.4</v>
      </c>
      <c r="I13" s="8" t="n">
        <f aca="false">H13-N(E13)</f>
        <v>-2019.6</v>
      </c>
      <c r="J13" s="9" t="n">
        <f aca="false">IF(N(E13)&gt;0,I13/E13,"")</f>
        <v>-0.198038831143362</v>
      </c>
      <c r="K13" s="9" t="n">
        <f aca="false">IF($H$19=0,"",H13/$H$19)</f>
        <v>0.0364908898081428</v>
      </c>
      <c r="L13" s="61"/>
    </row>
    <row r="14" customFormat="false" ht="15" hidden="false" customHeight="false" outlineLevel="0" collapsed="false">
      <c r="A14" s="5" t="n">
        <v>8</v>
      </c>
      <c r="B14" s="59" t="s">
        <v>88</v>
      </c>
      <c r="C14" s="5" t="s">
        <v>32</v>
      </c>
      <c r="D14" s="60" t="n">
        <v>1</v>
      </c>
      <c r="E14" s="57" t="n">
        <v>4607</v>
      </c>
      <c r="F14" s="8" t="n">
        <f aca="false">IF(AND(D14&gt;0,N(E14)&gt;0),E14/D14,"")</f>
        <v>4607</v>
      </c>
      <c r="G14" s="7" t="n">
        <f aca="false">IFERROR(INDEX(Prices!$C$6:$C$300,MATCH(B14,Prices!$A$6:$A$300,0)),"")</f>
        <v>4199</v>
      </c>
      <c r="H14" s="8" t="n">
        <f aca="false">IF(ISNUMBER(G14),D14*G14,0)</f>
        <v>4199</v>
      </c>
      <c r="I14" s="8" t="n">
        <f aca="false">H14-N(E14)</f>
        <v>-408</v>
      </c>
      <c r="J14" s="9" t="n">
        <f aca="false">IF(N(E14)&gt;0,I14/E14,"")</f>
        <v>-0.0885608856088561</v>
      </c>
      <c r="K14" s="9" t="n">
        <f aca="false">IF($H$19=0,"",H14/$H$19)</f>
        <v>0.0187353573198171</v>
      </c>
      <c r="L14" s="61"/>
    </row>
    <row r="15" customFormat="false" ht="15" hidden="false" customHeight="false" outlineLevel="0" collapsed="false">
      <c r="A15" s="5" t="n">
        <v>9</v>
      </c>
      <c r="B15" s="59" t="s">
        <v>94</v>
      </c>
      <c r="C15" s="5" t="s">
        <v>32</v>
      </c>
      <c r="D15" s="60" t="n">
        <v>3</v>
      </c>
      <c r="E15" s="57" t="n">
        <v>4954</v>
      </c>
      <c r="F15" s="8" t="n">
        <f aca="false">IF(AND(D15&gt;0,N(E15)&gt;0),E15/D15,"")</f>
        <v>1651.33333333333</v>
      </c>
      <c r="G15" s="7" t="n">
        <f aca="false">IFERROR(INDEX(Prices!$C$6:$C$300,MATCH(B15,Prices!$A$6:$A$300,0)),"")</f>
        <v>1395.7</v>
      </c>
      <c r="H15" s="8" t="n">
        <f aca="false">IF(ISNUMBER(G15),D15*G15,0)</f>
        <v>4187.1</v>
      </c>
      <c r="I15" s="8" t="n">
        <f aca="false">H15-N(E15)</f>
        <v>-766.9</v>
      </c>
      <c r="J15" s="9" t="n">
        <f aca="false">IF(N(E15)&gt;0,I15/E15,"")</f>
        <v>-0.154804198627372</v>
      </c>
      <c r="K15" s="9" t="n">
        <f aca="false">IF($H$19=0,"",H15/$H$19)</f>
        <v>0.0186822611654694</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51.15</v>
      </c>
      <c r="H16" s="8" t="n">
        <f aca="false">IF(ISNUMBER(G16),D16*G16,0)</f>
        <v>2557.5</v>
      </c>
      <c r="I16" s="8" t="n">
        <f aca="false">H16-N(E16)</f>
        <v>680.5</v>
      </c>
      <c r="J16" s="9" t="n">
        <f aca="false">IF(N(E16)&gt;0,I16/E16,"")</f>
        <v>0.362546616941929</v>
      </c>
      <c r="K16" s="9" t="n">
        <f aca="false">IF($H$19=0,"",H16/$H$19)</f>
        <v>0.0114112113230369</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0.00114532831606473</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0.000548808990316146</v>
      </c>
      <c r="L18" s="61"/>
    </row>
    <row r="19" customFormat="false" ht="15" hidden="false" customHeight="false" outlineLevel="0" collapsed="false">
      <c r="A19" s="103"/>
      <c r="B19" s="103" t="s">
        <v>78</v>
      </c>
      <c r="C19" s="103"/>
      <c r="D19" s="103"/>
      <c r="E19" s="104"/>
      <c r="F19" s="103"/>
      <c r="G19" s="103"/>
      <c r="H19" s="104" t="n">
        <f aca="false">SUM(H7:H18)</f>
        <v>224121.692921147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280</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224121.692921147</v>
      </c>
    </row>
    <row r="26" customFormat="false" ht="15" hidden="false" customHeight="false" outlineLevel="0" collapsed="false">
      <c r="B26" s="106" t="s">
        <v>214</v>
      </c>
      <c r="C26" s="107"/>
      <c r="D26" s="107"/>
      <c r="E26" s="108" t="n">
        <f aca="false">E25-E24</f>
        <v>-3400.30707885308</v>
      </c>
      <c r="F26" s="109" t="n">
        <f aca="false">IF(E24&gt;0,E26/E24,"")</f>
        <v>-0.0149449595153571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287</v>
      </c>
    </row>
    <row r="2" customFormat="false" ht="15" hidden="false" customHeight="false" outlineLevel="0" collapsed="false">
      <c r="A2" s="2" t="s">
        <v>288</v>
      </c>
    </row>
    <row r="3" customFormat="false" ht="15" hidden="false" customHeight="false" outlineLevel="0" collapsed="false">
      <c r="A3" s="2" t="s">
        <v>187</v>
      </c>
    </row>
    <row r="5" customFormat="false" ht="15" hidden="false" customHeight="false" outlineLevel="0" collapsed="false">
      <c r="Q5" s="30" t="s">
        <v>289</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925.8</v>
      </c>
      <c r="H7" s="8" t="n">
        <f aca="false">IF(ISNUMBER(G7),D7*G7,0)</f>
        <v>2233029.6</v>
      </c>
      <c r="I7" s="8" t="n">
        <f aca="false">H7-N(E7)</f>
        <v>302743.6</v>
      </c>
      <c r="J7" s="9" t="n">
        <f aca="false">IF(N(E7)&gt;0,I7/E7,"")</f>
        <v>0.156838727525351</v>
      </c>
      <c r="K7" s="9" t="n">
        <f aca="false">IF($H$28=0,"",H7/$H$28)</f>
        <v>0.415517595713456</v>
      </c>
      <c r="L7" s="61"/>
      <c r="Q7" s="62" t="s">
        <v>290</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4402.7</v>
      </c>
      <c r="H8" s="8" t="n">
        <f aca="false">IF(ISNUMBER(G8),D8*G8,0)</f>
        <v>757264.4</v>
      </c>
      <c r="I8" s="8" t="n">
        <f aca="false">H8-N(E8)</f>
        <v>139797.4</v>
      </c>
      <c r="J8" s="9" t="n">
        <f aca="false">IF(N(E8)&gt;0,I8/E8,"")</f>
        <v>0.226404649965099</v>
      </c>
      <c r="K8" s="9" t="n">
        <f aca="false">IF($H$28=0,"",H8/$H$28)</f>
        <v>0.140910215792658</v>
      </c>
      <c r="L8" s="61"/>
      <c r="Q8" s="62" t="s">
        <v>290</v>
      </c>
      <c r="R8" s="62" t="s">
        <v>201</v>
      </c>
      <c r="S8" s="62" t="s">
        <v>82</v>
      </c>
      <c r="T8" s="62" t="n">
        <v>176</v>
      </c>
      <c r="U8" s="57" t="n">
        <v>442.07</v>
      </c>
      <c r="V8" s="57" t="n">
        <v>77804</v>
      </c>
    </row>
    <row r="9" customFormat="false" ht="15" hidden="false" customHeight="false" outlineLevel="0" collapsed="false">
      <c r="A9" s="5" t="n">
        <v>3</v>
      </c>
      <c r="B9" s="59" t="s">
        <v>83</v>
      </c>
      <c r="C9" s="5" t="s">
        <v>36</v>
      </c>
      <c r="D9" s="60" t="n">
        <v>673</v>
      </c>
      <c r="E9" s="57" t="n">
        <v>599414</v>
      </c>
      <c r="F9" s="8" t="n">
        <f aca="false">IF(AND(D9&gt;0,N(E9)&gt;0),E9/D9,"")</f>
        <v>890.659732540862</v>
      </c>
      <c r="G9" s="7" t="n">
        <f aca="false">IFERROR(INDEX(Prices!$C$6:$C$300,MATCH(B9,Prices!$A$6:$A$300,0)),"")</f>
        <v>684.6</v>
      </c>
      <c r="H9" s="8" t="n">
        <f aca="false">IF(ISNUMBER(G9),D9*G9,0)</f>
        <v>460735.8</v>
      </c>
      <c r="I9" s="8" t="n">
        <f aca="false">H9-N(E9)</f>
        <v>-138678.2</v>
      </c>
      <c r="J9" s="9" t="n">
        <f aca="false">IF(N(E9)&gt;0,I9/E9,"")</f>
        <v>-0.231356291311181</v>
      </c>
      <c r="K9" s="9" t="n">
        <f aca="false">IF($H$28=0,"",H9/$H$28)</f>
        <v>0.0857327784079153</v>
      </c>
      <c r="L9" s="61"/>
      <c r="Q9" s="62" t="s">
        <v>290</v>
      </c>
      <c r="R9" s="62" t="s">
        <v>201</v>
      </c>
      <c r="S9" s="62" t="s">
        <v>83</v>
      </c>
      <c r="T9" s="62" t="n">
        <v>55</v>
      </c>
      <c r="U9" s="57" t="n">
        <v>701.55</v>
      </c>
      <c r="V9" s="57" t="n">
        <v>38585</v>
      </c>
    </row>
    <row r="10" customFormat="false" ht="15" hidden="false" customHeight="false" outlineLevel="0" collapsed="false">
      <c r="A10" s="5" t="n">
        <v>4</v>
      </c>
      <c r="B10" s="59" t="s">
        <v>82</v>
      </c>
      <c r="C10" s="5" t="s">
        <v>36</v>
      </c>
      <c r="D10" s="60" t="n">
        <v>769</v>
      </c>
      <c r="E10" s="57" t="n">
        <v>346990</v>
      </c>
      <c r="F10" s="8" t="n">
        <f aca="false">IF(AND(D10&gt;0,N(E10)&gt;0),E10/D10,"")</f>
        <v>451.222366710013</v>
      </c>
      <c r="G10" s="7" t="n">
        <f aca="false">IFERROR(INDEX(Prices!$C$6:$C$300,MATCH(B10,Prices!$A$6:$A$300,0)),"")</f>
        <v>433.25</v>
      </c>
      <c r="H10" s="8" t="n">
        <f aca="false">IF(ISNUMBER(G10),D10*G10,0)</f>
        <v>333169.25</v>
      </c>
      <c r="I10" s="8" t="n">
        <f aca="false">H10-N(E10)</f>
        <v>-13820.75</v>
      </c>
      <c r="J10" s="9" t="n">
        <f aca="false">IF(N(E10)&gt;0,I10/E10,"")</f>
        <v>-0.039830398570564</v>
      </c>
      <c r="K10" s="9" t="n">
        <f aca="false">IF($H$28=0,"",H10/$H$28)</f>
        <v>0.061995454841107</v>
      </c>
      <c r="L10" s="61"/>
      <c r="Q10" s="62" t="s">
        <v>290</v>
      </c>
      <c r="R10" s="62" t="s">
        <v>201</v>
      </c>
      <c r="S10" s="62" t="s">
        <v>80</v>
      </c>
      <c r="T10" s="62" t="n">
        <v>6</v>
      </c>
      <c r="U10" s="57" t="n">
        <v>4375</v>
      </c>
      <c r="V10" s="57" t="n">
        <v>26250</v>
      </c>
    </row>
    <row r="11" customFormat="false" ht="15" hidden="false" customHeight="false" outlineLevel="0" collapsed="false">
      <c r="A11" s="5" t="n">
        <v>5</v>
      </c>
      <c r="B11" s="59" t="s">
        <v>84</v>
      </c>
      <c r="C11" s="5" t="s">
        <v>36</v>
      </c>
      <c r="D11" s="60" t="n">
        <v>240</v>
      </c>
      <c r="E11" s="57" t="n">
        <v>203179</v>
      </c>
      <c r="F11" s="8" t="n">
        <f aca="false">IF(AND(D11&gt;0,N(E11)&gt;0),E11/D11,"")</f>
        <v>846.579166666667</v>
      </c>
      <c r="G11" s="7" t="n">
        <f aca="false">IFERROR(INDEX(Prices!$C$6:$C$300,MATCH(B11,Prices!$A$6:$A$300,0)),"")</f>
        <v>1329</v>
      </c>
      <c r="H11" s="8" t="n">
        <f aca="false">IF(ISNUMBER(G11),D11*G11,0)</f>
        <v>318960</v>
      </c>
      <c r="I11" s="8" t="n">
        <f aca="false">H11-N(E11)</f>
        <v>115781</v>
      </c>
      <c r="J11" s="9" t="n">
        <f aca="false">IF(N(E11)&gt;0,I11/E11,"")</f>
        <v>0.56984727752376</v>
      </c>
      <c r="K11" s="9" t="n">
        <f aca="false">IF($H$28=0,"",H11/$H$28)</f>
        <v>0.0593514265680866</v>
      </c>
      <c r="L11" s="61" t="s">
        <v>291</v>
      </c>
      <c r="Q11" s="62" t="s">
        <v>290</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240</v>
      </c>
      <c r="H12" s="8" t="n">
        <f aca="false">IF(ISNUMBER(G12),D12*G12,0)</f>
        <v>192000</v>
      </c>
      <c r="I12" s="8" t="n">
        <f aca="false">H12-N(E12)</f>
        <v>8008</v>
      </c>
      <c r="J12" s="9" t="n">
        <f aca="false">IF(N(E12)&gt;0,I12/E12,"")</f>
        <v>0.0435236314622375</v>
      </c>
      <c r="K12" s="9" t="n">
        <f aca="false">IF($H$28=0,"",H12/$H$28)</f>
        <v>0.0357269685887655</v>
      </c>
      <c r="L12" s="61" t="s">
        <v>291</v>
      </c>
      <c r="Q12" s="62" t="s">
        <v>290</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78.1</v>
      </c>
      <c r="H13" s="8" t="n">
        <f aca="false">IF(ISNUMBER(G13),D13*G13,0)</f>
        <v>171663.8</v>
      </c>
      <c r="I13" s="8" t="n">
        <f aca="false">H13-N(E13)</f>
        <v>-84136.2</v>
      </c>
      <c r="J13" s="9" t="n">
        <f aca="false">IF(N(E13)&gt;0,I13/E13,"")</f>
        <v>-0.328913995308835</v>
      </c>
      <c r="K13" s="9" t="n">
        <f aca="false">IF($H$28=0,"",H13/$H$28)</f>
        <v>0.0319428499501465</v>
      </c>
      <c r="L13" s="61"/>
      <c r="Q13" s="62" t="s">
        <v>290</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4089.2</v>
      </c>
      <c r="H14" s="8" t="n">
        <f aca="false">IF(ISNUMBER(G14),D14*G14,0)</f>
        <v>151300.4</v>
      </c>
      <c r="I14" s="8" t="n">
        <f aca="false">H14-N(E14)</f>
        <v>-65301.6</v>
      </c>
      <c r="J14" s="9" t="n">
        <f aca="false">IF(N(E14)&gt;0,I14/E14,"")</f>
        <v>-0.301481980775801</v>
      </c>
      <c r="K14" s="9" t="n">
        <f aca="false">IF($H$28=0,"",H14/$H$28)</f>
        <v>0.0281536699909774</v>
      </c>
      <c r="L14" s="61" t="s">
        <v>202</v>
      </c>
      <c r="Q14" s="62" t="s">
        <v>290</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4199</v>
      </c>
      <c r="H15" s="8" t="n">
        <f aca="false">IF(ISNUMBER(G15),D15*G15,0)</f>
        <v>134368</v>
      </c>
      <c r="I15" s="8" t="n">
        <f aca="false">H15-N(E15)</f>
        <v>-16671</v>
      </c>
      <c r="J15" s="9" t="n">
        <f aca="false">IF(N(E15)&gt;0,I15/E15,"")</f>
        <v>-0.110375465939261</v>
      </c>
      <c r="K15" s="9" t="n">
        <f aca="false">IF($H$28=0,"",H15/$H$28)</f>
        <v>0.025002923517371</v>
      </c>
      <c r="L15" s="61"/>
      <c r="Q15" s="62" t="s">
        <v>290</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51.15</v>
      </c>
      <c r="H16" s="8" t="n">
        <f aca="false">IF(ISNUMBER(G16),D16*G16,0)</f>
        <v>121225.5</v>
      </c>
      <c r="I16" s="8" t="n">
        <f aca="false">H16-N(E16)</f>
        <v>26828.5</v>
      </c>
      <c r="J16" s="9" t="n">
        <f aca="false">IF(N(E16)&gt;0,I16/E16,"")</f>
        <v>0.284209243937837</v>
      </c>
      <c r="K16" s="9" t="n">
        <f aca="false">IF($H$28=0,"",H16/$H$28)</f>
        <v>0.0225573939096739</v>
      </c>
      <c r="L16" s="61"/>
      <c r="Q16" s="62" t="s">
        <v>290</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5883.5</v>
      </c>
      <c r="H17" s="8" t="n">
        <f aca="false">IF(ISNUMBER(G17),D17*G17,0)</f>
        <v>100019.5</v>
      </c>
      <c r="I17" s="8" t="n">
        <f aca="false">H17-N(E17)</f>
        <v>13286.5</v>
      </c>
      <c r="J17" s="9" t="n">
        <f aca="false">IF(N(E17)&gt;0,I17/E17,"")</f>
        <v>0.153188521093471</v>
      </c>
      <c r="K17" s="9" t="n">
        <f aca="false">IF($H$28=0,"",H17/$H$28)</f>
        <v>0.0186114246602293</v>
      </c>
      <c r="L17" s="61"/>
      <c r="Q17" s="62" t="s">
        <v>290</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1063.4</v>
      </c>
      <c r="H18" s="8" t="n">
        <f aca="false">IF(ISNUMBER(G18),D18*G18,0)</f>
        <v>87198.8</v>
      </c>
      <c r="I18" s="8" t="n">
        <f aca="false">H18-N(E18)</f>
        <v>-73542.2</v>
      </c>
      <c r="J18" s="9" t="n">
        <f aca="false">IF(N(E18)&gt;0,I18/E18,"")</f>
        <v>-0.457519861143081</v>
      </c>
      <c r="K18" s="9" t="n">
        <f aca="false">IF($H$28=0,"",H18/$H$28)</f>
        <v>0.0162257749405106</v>
      </c>
      <c r="L18" s="61"/>
      <c r="Q18" s="62" t="s">
        <v>290</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3794.1</v>
      </c>
      <c r="H19" s="8" t="n">
        <f aca="false">IF(ISNUMBER(G19),D19*G19,0)</f>
        <v>83470.2</v>
      </c>
      <c r="I19" s="8" t="n">
        <f aca="false">H19-N(E19)</f>
        <v>-2807.8</v>
      </c>
      <c r="J19" s="9" t="n">
        <f aca="false">IF(N(E19)&gt;0,I19/E19,"")</f>
        <v>-0.0325436380073716</v>
      </c>
      <c r="K19" s="9" t="n">
        <f aca="false">IF($H$28=0,"",H19/$H$28)</f>
        <v>0.0155319646536353</v>
      </c>
      <c r="L19" s="61"/>
      <c r="Q19" s="62" t="s">
        <v>290</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2479</v>
      </c>
      <c r="H20" s="8" t="n">
        <f aca="false">IF(ISNUMBER(G20),D20*G20,0)</f>
        <v>71891</v>
      </c>
      <c r="I20" s="8" t="n">
        <f aca="false">H20-N(E20)</f>
        <v>-50712</v>
      </c>
      <c r="J20" s="9" t="n">
        <f aca="false">IF(N(E20)&gt;0,I20/E20,"")</f>
        <v>-0.413627725259578</v>
      </c>
      <c r="K20" s="9" t="n">
        <f aca="false">IF($H$28=0,"",H20/$H$28)</f>
        <v>0.0133773307229945</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1395.7</v>
      </c>
      <c r="H21" s="8" t="n">
        <f aca="false">IF(ISNUMBER(G21),D21*G21,0)</f>
        <v>65597.9</v>
      </c>
      <c r="I21" s="8" t="n">
        <f aca="false">H21-N(E21)</f>
        <v>-6850.09999999999</v>
      </c>
      <c r="J21" s="9" t="n">
        <f aca="false">IF(N(E21)&gt;0,I21/E21,"")</f>
        <v>-0.0945519545053002</v>
      </c>
      <c r="K21" s="9" t="n">
        <f aca="false">IF($H$28=0,"",H21/$H$28)</f>
        <v>0.0122063235041093</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0.00669880661039353</v>
      </c>
      <c r="L22" s="61" t="s">
        <v>292</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7244</v>
      </c>
      <c r="H23" s="8" t="n">
        <f aca="false">IF(ISNUMBER(G23),D23*G23,0)</f>
        <v>21732</v>
      </c>
      <c r="I23" s="8" t="n">
        <f aca="false">H23-N(E23)</f>
        <v>1015</v>
      </c>
      <c r="J23" s="9" t="n">
        <f aca="false">IF(N(E23)&gt;0,I23/E23,"")</f>
        <v>0.0489935801515663</v>
      </c>
      <c r="K23" s="9" t="n">
        <f aca="false">IF($H$28=0,"",H23/$H$28)</f>
        <v>0.00404384625714089</v>
      </c>
      <c r="L23" s="61" t="s">
        <v>293</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2847.8</v>
      </c>
      <c r="H24" s="8" t="n">
        <f aca="false">IF(ISNUMBER(G24),D24*G24,0)</f>
        <v>14239</v>
      </c>
      <c r="I24" s="8" t="n">
        <f aca="false">H24-N(E24)</f>
        <v>-310</v>
      </c>
      <c r="J24" s="9" t="n">
        <f aca="false">IF(N(E24)&gt;0,I24/E24,"")</f>
        <v>-0.0213073063440786</v>
      </c>
      <c r="K24" s="9" t="n">
        <f aca="false">IF($H$28=0,"",H24/$H$28)</f>
        <v>0.00264956409237204</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3153.9</v>
      </c>
      <c r="H25" s="8" t="n">
        <f aca="false">IF(ISNUMBER(G25),D25*G25,0)</f>
        <v>12615.6</v>
      </c>
      <c r="I25" s="8" t="n">
        <f aca="false">H25-N(E25)</f>
        <v>-2124.4</v>
      </c>
      <c r="J25" s="9" t="n">
        <f aca="false">IF(N(E25)&gt;0,I25/E25,"")</f>
        <v>-0.144124830393487</v>
      </c>
      <c r="K25" s="9" t="n">
        <f aca="false">IF($H$28=0,"",H25/$H$28)</f>
        <v>0.00234748512983557</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804.05</v>
      </c>
      <c r="H26" s="8" t="n">
        <f aca="false">IF(ISNUMBER(G26),D26*G26,0)</f>
        <v>6432.4</v>
      </c>
      <c r="I26" s="8" t="n">
        <f aca="false">H26-N(E26)</f>
        <v>-327.6</v>
      </c>
      <c r="J26" s="9" t="n">
        <f aca="false">IF(N(E26)&gt;0,I26/E26,"")</f>
        <v>-0.0484615384615385</v>
      </c>
      <c r="K26" s="9" t="n">
        <f aca="false">IF($H$28=0,"",H26/$H$28)</f>
        <v>0.0011969278789082</v>
      </c>
      <c r="L26" s="61" t="s">
        <v>293</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1178.4</v>
      </c>
      <c r="H27" s="8" t="n">
        <f aca="false">IF(ISNUMBER(G27),D27*G27,0)</f>
        <v>1178.4</v>
      </c>
      <c r="I27" s="8" t="n">
        <f aca="false">H27-N(E27)</f>
        <v>-315.6</v>
      </c>
      <c r="J27" s="9" t="n">
        <f aca="false">IF(N(E27)&gt;0,I27/E27,"")</f>
        <v>-0.211244979919679</v>
      </c>
      <c r="K27" s="9" t="n">
        <f aca="false">IF($H$28=0,"",H27/$H$28)</f>
        <v>0.000219274269713548</v>
      </c>
      <c r="L27" s="61"/>
    </row>
    <row r="28" customFormat="false" ht="15" hidden="false" customHeight="false" outlineLevel="0" collapsed="false">
      <c r="A28" s="110"/>
      <c r="B28" s="110" t="s">
        <v>78</v>
      </c>
      <c r="C28" s="110"/>
      <c r="D28" s="110"/>
      <c r="E28" s="111"/>
      <c r="F28" s="110"/>
      <c r="G28" s="110"/>
      <c r="H28" s="111" t="n">
        <f aca="false">SUM(H7:H27)</f>
        <v>5374091.55</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280</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5374091.55</v>
      </c>
    </row>
    <row r="35" customFormat="false" ht="15" hidden="false" customHeight="false" outlineLevel="0" collapsed="false">
      <c r="B35" s="113" t="s">
        <v>214</v>
      </c>
      <c r="C35" s="114"/>
      <c r="D35" s="114"/>
      <c r="E35" s="115" t="n">
        <f aca="false">E34-E33</f>
        <v>408536.550000001</v>
      </c>
      <c r="F35" s="116" t="n">
        <f aca="false">IF(E33&gt;0,E35/E33,"")</f>
        <v>0.0822740962490599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294</v>
      </c>
    </row>
    <row r="2" customFormat="false" ht="15" hidden="false" customHeight="false" outlineLevel="0" collapsed="false">
      <c r="A2" s="0" t="s">
        <v>295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2026-10-29T05:45:02Z</dcterms:created>
  <dc:creator>openpyxl</dc:creator>
  <dc:description/>
  <dc:language>en-US</dc:language>
  <cp:lastModifiedBy/>
  <dcterms:modified xsi:type="dcterms:W3CDTF">2026-10-29T05:45:03Z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